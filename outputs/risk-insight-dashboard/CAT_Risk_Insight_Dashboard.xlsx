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d20f4f8e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42b799edcde4d24"/>
    <x:sheet xmlns:r="http://schemas.openxmlformats.org/officeDocument/2006/relationships" name="Event Detail" sheetId="2" r:id="Rb17da8a9a0e744f5"/>
    <x:sheet xmlns:r="http://schemas.openxmlformats.org/officeDocument/2006/relationships" name="Pivot Analysis" sheetId="3" r:id="R6adb510359ae4f19"/>
    <x:sheet xmlns:r="http://schemas.openxmlformats.org/officeDocument/2006/relationships" name="Reference Tables" sheetId="4" r:id="R8c1747a723534825"/>
    <x:sheet xmlns:r="http://schemas.openxmlformats.org/officeDocument/2006/relationships" name="Inputs &amp; Guide" sheetId="5" r:id="R6b4546d755be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@"/>
    <x:numFmt numFmtId="201" formatCode="0.00"/>
    <x:numFmt numFmtId="202" formatCode="0.0%"/>
    <x:numFmt numFmtId="203" formatCode="$#,##0;[Red]($#,##0);-"/>
    <x:numFmt numFmtId="204" formatCode="#,##0"/>
    <x:numFmt numFmtId="205" formatCode="yyyy-mm-dd"/>
    <x:numFmt numFmtId="206" formatCode="0.0"/>
    <x:numFmt numFmtId="207" formatCode="$#,##0.0;[Red]($#,##0.0);-"/>
    <x:numFmt numFmtId="208" formatCode="mmm-yy"/>
    <x:numFmt numFmtId="209" formatCode="$#,##0.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i/>
      <x:sz val="11"/>
      <x:color rgb="FF44546A"/>
      <x:name val="Carlito"/>
    </x:font>
    <x:font>
      <x:b/>
      <x:sz val="18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8FBFD"/>
      </x:patternFill>
    </x:fill>
    <x:fill>
      <x:patternFill patternType="solid">
        <x:fgColor rgb="FF0F6B78"/>
      </x:patternFill>
    </x:fill>
  </x:fills>
  <x:borders count="31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7C9D6"/>
      </x:left>
      <x:top style="thin">
        <x:color rgb="FFB7C9D6"/>
      </x:top>
      <x:bottom style="thin">
        <x:color rgb="FF9EADBA"/>
      </x:bottom>
    </x:border>
    <x:border>
      <x:top style="thin">
        <x:color rgb="FFB7C9D6"/>
      </x:top>
      <x:bottom style="thin">
        <x:color rgb="FF9EADBA"/>
      </x:bottom>
    </x:border>
    <x:border>
      <x:right style="thin">
        <x:color rgb="FFB7C9D6"/>
      </x:right>
      <x:top style="thin">
        <x:color rgb="FFB7C9D6"/>
      </x:top>
      <x:bottom style="thin">
        <x:color rgb="FF9EADBA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right"/>
    </x:xf>
    <x:xf numFmtId="202" fontId="5" fillId="5" borderId="0" xfId="0" applyNumberFormat="1" applyFont="1" applyFill="1" applyBorder="1" applyAlignment="1">
      <x:alignment horizontal="right"/>
    </x:xf>
    <x:xf numFmtId="203" fontId="5" fillId="5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205" fontId="0" fillId="0" borderId="0" xfId="0" applyNumberFormat="1" applyFont="1" applyFill="1" applyBorder="1"/>
    <x:xf numFmtId="205" fontId="0" fillId="0" borderId="18" xfId="0" applyNumberFormat="1" applyFont="1" applyFill="1" applyBorder="1"/>
    <x:xf numFmtId="206" fontId="0" fillId="0" borderId="0" xfId="0" applyNumberFormat="1" applyFont="1" applyFill="1" applyBorder="1"/>
    <x:xf numFmtId="206" fontId="0" fillId="0" borderId="18" xfId="0" applyNumberFormat="1" applyFont="1" applyFill="1" applyBorder="1"/>
    <x:xf numFmtId="207" fontId="0" fillId="0" borderId="0" xfId="0" applyNumberFormat="1" applyFont="1" applyFill="1" applyBorder="1"/>
    <x:xf numFmtId="207" fontId="0" fillId="0" borderId="18" xfId="0" applyNumberFormat="1" applyFont="1" applyFill="1" applyBorder="1"/>
    <x:xf numFmtId="202" fontId="0" fillId="0" borderId="0" xfId="0" applyNumberFormat="1" applyFont="1" applyFill="1" applyBorder="1"/>
    <x:xf numFmtId="202" fontId="0" fillId="0" borderId="18" xfId="0" applyNumberFormat="1" applyFont="1" applyFill="1" applyBorder="1"/>
    <x:xf numFmtId="0" fontId="6" fillId="0" borderId="0" xfId="0" applyNumberFormat="1" applyFont="1" applyFill="1" applyBorder="1"/>
    <x:xf numFmtId="207" fontId="6" fillId="0" borderId="0" xfId="0" applyNumberFormat="1" applyFont="1" applyFill="1" applyBorder="1"/>
    <x:xf numFmtId="202" fontId="6" fillId="0" borderId="0" xfId="0" applyNumberFormat="1" applyFont="1" applyFill="1" applyBorder="1"/>
    <x:xf numFmtId="206" fontId="6" fillId="0" borderId="0" xfId="0" applyNumberFormat="1" applyFont="1" applyFill="1" applyBorder="1"/>
    <x:xf numFmtId="0" fontId="6" fillId="0" borderId="16" xfId="0" applyNumberFormat="1" applyFont="1" applyFill="1" applyBorder="1"/>
    <x:xf numFmtId="0" fontId="6" fillId="0" borderId="18" xfId="0" applyNumberFormat="1" applyFont="1" applyFill="1" applyBorder="1"/>
    <x:xf numFmtId="207" fontId="6" fillId="0" borderId="18" xfId="0" applyNumberFormat="1" applyFont="1" applyFill="1" applyBorder="1"/>
    <x:xf numFmtId="202" fontId="6" fillId="0" borderId="18" xfId="0" applyNumberFormat="1" applyFont="1" applyFill="1" applyBorder="1"/>
    <x:xf numFmtId="206" fontId="6" fillId="0" borderId="18" xfId="0" applyNumberFormat="1" applyFont="1" applyFill="1" applyBorder="1"/>
    <x:xf numFmtId="0" fontId="6" fillId="0" borderId="19" xfId="0" applyNumberFormat="1" applyFont="1" applyFill="1" applyBorder="1"/>
    <x:xf numFmtId="207" fontId="3" fillId="0" borderId="0" xfId="0" applyNumberFormat="1" applyFont="1" applyFill="1" applyBorder="1"/>
    <x:xf numFmtId="0" fontId="3" fillId="0" borderId="18" xfId="0" applyNumberFormat="1" applyFont="1" applyFill="1" applyBorder="1"/>
    <x:xf numFmtId="207" fontId="3" fillId="0" borderId="18" xfId="0" applyNumberFormat="1" applyFont="1" applyFill="1" applyBorder="1"/>
    <x:xf numFmtId="202" fontId="3" fillId="0" borderId="18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0"/>
    </x:xf>
    <x:xf numFmtId="0" fontId="2" fillId="3" borderId="13" xfId="0" applyNumberFormat="1" applyFont="1" applyFill="1" applyBorder="1" applyAlignment="1">
      <x:alignment horizontal="center" vertical="center" wrapText="0"/>
    </x:xf>
    <x:xf numFmtId="0" fontId="2" fillId="3" borderId="14" xfId="0" applyNumberFormat="1" applyFont="1" applyFill="1" applyBorder="1" applyAlignment="1">
      <x:alignment horizontal="center" vertical="center" wrapText="0"/>
    </x:xf>
    <x:xf numFmtId="204" fontId="0" fillId="0" borderId="15" xfId="0" applyNumberFormat="1" applyFont="1" applyFill="1" applyBorder="1" applyAlignment="1">
      <x:alignment wrapText="0"/>
    </x:xf>
    <x:xf numFmtId="205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6" fontId="0" fillId="0" borderId="0" xfId="0" applyNumberFormat="1" applyFont="1" applyFill="1" applyBorder="1" applyAlignment="1">
      <x:alignment wrapText="0"/>
    </x:xf>
    <x:xf numFmtId="207" fontId="0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207" fontId="3" fillId="0" borderId="0" xfId="0" applyNumberFormat="1" applyFont="1" applyFill="1" applyBorder="1" applyAlignment="1">
      <x:alignment wrapText="0"/>
    </x:xf>
    <x:xf numFmtId="202" fontId="3" fillId="0" borderId="0" xfId="0" applyNumberFormat="1" applyFont="1" applyFill="1" applyBorder="1" applyAlignment="1">
      <x:alignment wrapText="0"/>
    </x:xf>
    <x:xf numFmtId="207" fontId="6" fillId="0" borderId="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6" fontId="6" fillId="0" borderId="0" xfId="0" applyNumberFormat="1" applyFont="1" applyFill="1" applyBorder="1" applyAlignment="1">
      <x:alignment wrapText="0"/>
    </x:xf>
    <x:xf numFmtId="0" fontId="6" fillId="0" borderId="16" xfId="0" applyNumberFormat="1" applyFont="1" applyFill="1" applyBorder="1" applyAlignment="1">
      <x:alignment wrapText="0"/>
    </x:xf>
    <x:xf numFmtId="204" fontId="0" fillId="0" borderId="17" xfId="0" applyNumberFormat="1" applyFont="1" applyFill="1" applyBorder="1" applyAlignment="1">
      <x:alignment wrapText="0"/>
    </x:xf>
    <x:xf numFmtId="205" fontId="0" fillId="0" borderId="18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206" fontId="0" fillId="0" borderId="18" xfId="0" applyNumberFormat="1" applyFont="1" applyFill="1" applyBorder="1" applyAlignment="1">
      <x:alignment wrapText="0"/>
    </x:xf>
    <x:xf numFmtId="207" fontId="0" fillId="0" borderId="18" xfId="0" applyNumberFormat="1" applyFont="1" applyFill="1" applyBorder="1" applyAlignment="1">
      <x:alignment wrapText="0"/>
    </x:xf>
    <x:xf numFmtId="0" fontId="3" fillId="0" borderId="18" xfId="0" applyNumberFormat="1" applyFont="1" applyFill="1" applyBorder="1" applyAlignment="1">
      <x:alignment wrapText="0"/>
    </x:xf>
    <x:xf numFmtId="207" fontId="3" fillId="0" borderId="18" xfId="0" applyNumberFormat="1" applyFont="1" applyFill="1" applyBorder="1" applyAlignment="1">
      <x:alignment wrapText="0"/>
    </x:xf>
    <x:xf numFmtId="202" fontId="3" fillId="0" borderId="18" xfId="0" applyNumberFormat="1" applyFont="1" applyFill="1" applyBorder="1" applyAlignment="1">
      <x:alignment wrapText="0"/>
    </x:xf>
    <x:xf numFmtId="207" fontId="6" fillId="0" borderId="18" xfId="0" applyNumberFormat="1" applyFont="1" applyFill="1" applyBorder="1" applyAlignment="1">
      <x:alignment wrapText="0"/>
    </x:xf>
    <x:xf numFmtId="202" fontId="6" fillId="0" borderId="18" xfId="0" applyNumberFormat="1" applyFont="1" applyFill="1" applyBorder="1" applyAlignment="1">
      <x:alignment wrapText="0"/>
    </x:xf>
    <x:xf numFmtId="206" fontId="6" fillId="0" borderId="18" xfId="0" applyNumberFormat="1" applyFont="1" applyFill="1" applyBorder="1" applyAlignment="1">
      <x:alignment wrapText="0"/>
    </x:xf>
    <x:xf numFmtId="0" fontId="6" fillId="0" borderId="19" xfId="0" applyNumberFormat="1" applyFont="1" applyFill="1" applyBorder="1" applyAlignment="1">
      <x:alignment wrapText="0"/>
    </x:xf>
    <x:xf numFmtId="208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7" fillId="4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9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/>
    </x:xf>
    <x:xf numFmtId="0" fontId="8" fillId="6" borderId="11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horizontal="center" vertical="center"/>
    </x:xf>
    <x:xf numFmtId="209" fontId="8" fillId="6" borderId="4" xfId="0" applyNumberFormat="1" applyFont="1" applyFill="1" applyBorder="1" applyAlignment="1">
      <x:alignment horizontal="center" vertical="center"/>
    </x:xf>
    <x:xf numFmtId="202" fontId="8" fillId="6" borderId="4" xfId="0" applyNumberFormat="1" applyFont="1" applyFill="1" applyBorder="1" applyAlignment="1">
      <x:alignment horizontal="center" vertical="center"/>
    </x:xf>
    <x:xf numFmtId="204" fontId="8" fillId="6" borderId="4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0" fillId="5" borderId="28" xfId="0" applyNumberFormat="1" applyFont="1" applyFill="1" applyBorder="1" applyAlignment="1">
      <x:alignment wrapText="1"/>
    </x:xf>
    <x:xf numFmtId="0" fontId="0" fillId="5" borderId="29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vertical="center" wrapText="1"/>
    </x:xf>
    <x:xf numFmtId="0" fontId="0" fillId="5" borderId="24" xfId="0" applyNumberFormat="1" applyFont="1" applyFill="1" applyBorder="1" applyAlignment="1">
      <x:alignment vertical="center" wrapText="1"/>
    </x:xf>
    <x:xf numFmtId="0" fontId="0" fillId="5" borderId="25" xfId="0" applyNumberFormat="1" applyFont="1" applyFill="1" applyBorder="1" applyAlignment="1">
      <x:alignment vertical="center" wrapText="1"/>
    </x:xf>
    <x:xf numFmtId="0" fontId="0" fillId="5" borderId="2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27" xfId="0" applyNumberFormat="1" applyFont="1" applyFill="1" applyBorder="1" applyAlignment="1">
      <x:alignment vertical="center" wrapText="1"/>
    </x:xf>
    <x:xf numFmtId="0" fontId="0" fillId="5" borderId="28" xfId="0" applyNumberFormat="1" applyFont="1" applyFill="1" applyBorder="1" applyAlignment="1">
      <x:alignment vertical="center" wrapText="1"/>
    </x:xf>
    <x:xf numFmtId="0" fontId="0" fillId="5" borderId="29" xfId="0" applyNumberFormat="1" applyFont="1" applyFill="1" applyBorder="1" applyAlignment="1">
      <x:alignment vertical="center" wrapText="1"/>
    </x:xf>
    <x:xf numFmtId="0" fontId="0" fillId="5" borderId="3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826970a254f76" /><Relationship Type="http://schemas.openxmlformats.org/officeDocument/2006/relationships/theme" Target="/xl/theme/theme1.xml" Id="R50052254d23a43d8" /><Relationship Type="http://schemas.openxmlformats.org/officeDocument/2006/relationships/sharedStrings" Target="/xl/sharedStrings.xml" Id="R625c2598e2804906" /><Relationship Type="http://schemas.openxmlformats.org/officeDocument/2006/relationships/worksheet" Target="/xl/worksheets/sheet1.xml" Id="R242b799edcde4d24" /><Relationship Type="http://schemas.openxmlformats.org/officeDocument/2006/relationships/worksheet" Target="/xl/worksheets/sheet2.xml" Id="Rb17da8a9a0e744f5" /><Relationship Type="http://schemas.openxmlformats.org/officeDocument/2006/relationships/worksheet" Target="/xl/worksheets/sheet3.xml" Id="R6adb510359ae4f19" /><Relationship Type="http://schemas.openxmlformats.org/officeDocument/2006/relationships/worksheet" Target="/xl/worksheets/sheet4.xml" Id="R8c1747a723534825" /><Relationship Type="http://schemas.openxmlformats.org/officeDocument/2006/relationships/worksheet" Target="/xl/worksheets/sheet5.xml" Id="R6b4546d755be41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28e98016e74cf0" /><Relationship Type="http://schemas.openxmlformats.org/officeDocument/2006/relationships/chart" Target="/xl/drawings/charts/chart2.xml" Id="Ra533edc0d18142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Retained Loss by Peril (USD 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Retained Loss (USD m)</c:v>
          </c:tx>
          <c:cat>
            <c:strRef>
              <c:f>'Dashboard'!$A$12:$A$20</c:f>
              <c:strCache>
                <c:ptCount val="0"/>
              </c:strCache>
            </c:strRef>
          </c:cat>
          <c:val>
            <c:numRef>
              <c:f>'Dashboard'!$B$12:$B$20</c:f>
              <c:numCache>
                <c:formatCode>$#,##0.0;[Red]($#,##0.0);-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Retained Loss (USD 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Retained Loss (USD m)</c:v>
          </c:tx>
          <c:marker>
            <c:symbol val="none"/>
          </c:marker>
          <c:cat>
            <c:strRef>
              <c:f>'Pivot Analysis'!$A$18:$A$29</c:f>
              <c:strCache>
                <c:ptCount val="0"/>
              </c:strCache>
            </c:strRef>
          </c:cat>
          <c:val>
            <c:numRef>
              <c:f>'Pivot Analysis'!$B$18:$B$29</c:f>
              <c:numCache>
                <c:formatCode>$#,##0.0;[Red]($#,##0.0);-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28e98016e74cf0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33edc0d18142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ue" displayName="true" ref="EVENTDETAILUQEEI1" headerRowCount="1" totalsRowCount="0" totalsRowShown="0">
  <x:tableColumns count="1">
    <x:tableColumn id="1" name="Column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1804109c0646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5916244f02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7" hidden="0" customWidth="1"/>
    <x:col min="4" max="4" width="16" hidden="0" customWidth="1"/>
    <x:col min="5" max="5" width="3" hidden="0" customWidth="1"/>
    <x:col min="6" max="6" width="19" hidden="0" customWidth="1"/>
    <x:col min="7" max="7" width="20" hidden="0" customWidth="1"/>
    <x:col min="8" max="8" width="25" hidden="0" customWidth="1"/>
    <x:col min="9" max="9" width="16" hidden="0" customWidth="1"/>
    <x:col min="10" max="10" width="17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CAT Risk Insight Dashboard | Insurance Portfolio</x:v>
      </x:c>
      <x:c r="B1" s="4" t="str">
        <x:v>CAT Risk Insight Dashboard | Insurance Portfolio</x:v>
      </x:c>
      <x:c r="C1" s="4" t="str">
        <x:v>CAT Risk Insight Dashboard | Insurance Portfolio</x:v>
      </x:c>
      <x:c r="D1" s="4" t="str">
        <x:v>CAT Risk Insight Dashboard | Insurance Portfolio</x:v>
      </x:c>
      <x:c r="E1" s="4" t="str">
        <x:v>CAT Risk Insight Dashboard | Insurance Portfolio</x:v>
      </x:c>
      <x:c r="F1" s="4" t="str">
        <x:v>CAT Risk Insight Dashboard | Insurance Portfolio</x:v>
      </x:c>
      <x:c r="G1" s="4" t="str">
        <x:v>CAT Risk Insight Dashboard | Insurance Portfolio</x:v>
      </x:c>
      <x:c r="H1" s="4" t="str">
        <x:v>CAT Risk Insight Dashboard | Insurance Portfolio</x:v>
      </x:c>
      <x:c r="I1" s="4" t="str">
        <x:v>CAT Risk Insight Dashboard | Insurance Portfolio</x:v>
      </x:c>
      <x:c r="J1" s="4" t="str">
        <x:v>CAT Risk Insight Dashboard | Insurance Portfolio</x:v>
      </x:c>
      <x:c r="K1" s="4" t="str">
        <x:v>CAT Risk Insight Dashboard | Insurance Portfolio</x:v>
      </x:c>
      <x:c r="L1" s="4" t="str">
        <x:v>CAT Risk Insight Dashboard | Insurance Portfolio</x:v>
      </x:c>
    </x:row>
    <x:row r="2">
      <x:c r="A2" s="121" t="str">
        <x:v>Illustrative CAT portfolio analytics using Kaggle 2024 Natural Disaster data | USD millions | Refresh source rows to update</x:v>
      </x:c>
    </x:row>
    <x:row r="4">
      <x:c r="A4" s="124" t="str">
        <x:v>Total Portfolio Exposure</x:v>
      </x:c>
      <x:c r="B4" s="124"/>
      <x:c r="C4" s="124"/>
      <x:c r="D4" s="124" t="str">
        <x:v>Net Retained Loss</x:v>
      </x:c>
      <x:c r="E4" s="124"/>
      <x:c r="F4" s="124"/>
      <x:c r="G4" s="124" t="str">
        <x:v>Portfolio Net Loss Ratio</x:v>
      </x:c>
      <x:c r="H4" s="124"/>
      <x:c r="I4" s="124"/>
      <x:c r="J4" s="124" t="str">
        <x:v>High-Risk Events</x:v>
      </x:c>
      <x:c r="K4" s="124"/>
      <x:c r="L4" s="124"/>
    </x:row>
    <x:row r="5">
      <x:c r="A5" s="152" t="n">
        <x:f>SUM('Event Detail'!$I$4:$I$1003)</x:f>
        <x:v>76360.60387268939</x:v>
      </x:c>
      <x:c r="B5" s="144"/>
      <x:c r="C5" s="145"/>
      <x:c r="D5" s="152" t="n">
        <x:f>SUM('Event Detail'!$P$4:$P$1003)</x:f>
        <x:v>34339.319604541844</x:v>
      </x:c>
      <x:c r="E5" s="144"/>
      <x:c r="F5" s="145"/>
      <x:c r="G5" s="153" t="n">
        <x:f>IFERROR(D5/SUM('Event Detail'!$Q$4:$Q$1003),0)</x:f>
        <x:v>24.98330135275966</x:v>
      </x:c>
      <x:c r="H5" s="144"/>
      <x:c r="I5" s="145"/>
      <x:c r="J5" s="154" t="n">
        <x:f>COUNTIF('Event Detail'!$T$4:$T$1003,"HIGH")</x:f>
        <x:v>864</x:v>
      </x:c>
      <x:c r="K5" s="144"/>
      <x:c r="L5" s="145"/>
    </x:row>
    <x:row r="6">
      <x:c r="A6" s="146"/>
      <x:c r="B6" s="147"/>
      <x:c r="C6" s="148"/>
      <x:c r="D6" s="146"/>
      <x:c r="E6" s="147"/>
      <x:c r="F6" s="148"/>
      <x:c r="G6" s="146"/>
      <x:c r="H6" s="147"/>
      <x:c r="I6" s="148"/>
      <x:c r="J6" s="146"/>
      <x:c r="K6" s="147"/>
      <x:c r="L6" s="148"/>
    </x:row>
    <x:row r="7">
      <x:c r="A7" s="149"/>
      <x:c r="B7" s="150"/>
      <x:c r="C7" s="151"/>
      <x:c r="D7" s="149"/>
      <x:c r="E7" s="150"/>
      <x:c r="F7" s="151"/>
      <x:c r="G7" s="149"/>
      <x:c r="H7" s="150"/>
      <x:c r="I7" s="151"/>
      <x:c r="J7" s="149"/>
      <x:c r="K7" s="150"/>
      <x:c r="L7" s="151"/>
    </x:row>
    <x:row r="10" ht="20" customHeight="1">
      <x:c r="A10" s="23" t="str">
        <x:v>Top Perils by Net Retained Loss</x:v>
      </x:c>
      <x:c r="B10" s="23" t="str">
        <x:v>Top Perils by Net Retained Loss</x:v>
      </x:c>
      <x:c r="C10" s="23" t="str">
        <x:v>Top Perils by Net Retained Loss</x:v>
      </x:c>
      <x:c r="D10" s="23" t="str">
        <x:v>Top Perils by Net Retained Loss</x:v>
      </x:c>
      <x:c r="F10" s="23" t="str">
        <x:v>Regional Accumulation</x:v>
      </x:c>
      <x:c r="G10" s="23" t="str">
        <x:v>Regional Accumulation</x:v>
      </x:c>
      <x:c r="H10" s="23" t="str">
        <x:v>Regional Accumulation</x:v>
      </x:c>
      <x:c r="I10" s="23" t="str">
        <x:v>Regional Accumulation</x:v>
      </x:c>
    </x:row>
    <x:row r="11" ht="30" customHeight="1">
      <x:c r="A11" s="16" t="str">
        <x:v>Peril</x:v>
      </x:c>
      <x:c r="B11" s="17" t="str">
        <x:v>Net Retained Loss (USD m)</x:v>
      </x:c>
      <x:c r="C11" s="18" t="str">
        <x:v>Avg Loss Ratio</x:v>
      </x:c>
      <x:c r="F11" s="16" t="str">
        <x:v>Region</x:v>
      </x:c>
      <x:c r="G11" s="17" t="str">
        <x:v>Exposure (USD m)</x:v>
      </x:c>
      <x:c r="H11" s="17" t="str">
        <x:v>Net Retained Loss (USD m)</x:v>
      </x:c>
      <x:c r="I11" s="18" t="str">
        <x:v>Net Loss Ratio</x:v>
      </x:c>
    </x:row>
    <x:row r="12">
      <x:c r="A12" t="str">
        <x:f>'Pivot Analysis'!A5</x:f>
        <x:v>Wildfire</x:v>
      </x:c>
      <x:c r="B12" s="74" t="n">
        <x:f>'Pivot Analysis'!B5</x:f>
        <x:v>6056.696259872445</x:v>
      </x:c>
      <x:c r="C12" s="76" t="n">
        <x:f>'Pivot Analysis'!C5</x:f>
        <x:v>18.955628197187995</x:v>
      </x:c>
      <x:c r="F12" t="str">
        <x:f>'Pivot Analysis'!F5</x:f>
        <x:v>Asia Pacific</x:v>
      </x:c>
      <x:c r="G12" s="74" t="n">
        <x:f>'Pivot Analysis'!G5</x:f>
        <x:v>53455.147983708346</x:v>
      </x:c>
      <x:c r="H12" s="74" t="n">
        <x:f>'Pivot Analysis'!H5</x:f>
        <x:v>22772.743653409536</x:v>
      </x:c>
      <x:c r="I12" s="76" t="n">
        <x:f>'Pivot Analysis'!I5</x:f>
        <x:v>23.667550702039062</x:v>
      </x:c>
    </x:row>
    <x:row r="13">
      <x:c r="A13" t="str">
        <x:f>'Pivot Analysis'!A6</x:f>
        <x:v>Hurricane</x:v>
      </x:c>
      <x:c r="B13" s="74" t="n">
        <x:f>'Pivot Analysis'!B6</x:f>
        <x:v>6515.78088919966</x:v>
      </x:c>
      <x:c r="C13" s="76" t="n">
        <x:f>'Pivot Analysis'!C6</x:f>
        <x:v>23.64451482248467</x:v>
      </x:c>
      <x:c r="F13" t="str">
        <x:f>'Pivot Analysis'!F6</x:f>
        <x:v>North America</x:v>
      </x:c>
      <x:c r="G13" s="74" t="n">
        <x:f>'Pivot Analysis'!G6</x:f>
        <x:v>0</x:v>
      </x:c>
      <x:c r="H13" s="74" t="n">
        <x:f>'Pivot Analysis'!H6</x:f>
        <x:v>0</x:v>
      </x:c>
      <x:c r="I13" s="76" t="n">
        <x:f>'Pivot Analysis'!I6</x:f>
        <x:v>0</x:v>
      </x:c>
    </x:row>
    <x:row r="14">
      <x:c r="A14" t="str">
        <x:f>'Pivot Analysis'!A7</x:f>
        <x:v>Tornado</x:v>
      </x:c>
      <x:c r="B14" s="74" t="n">
        <x:f>'Pivot Analysis'!B7</x:f>
        <x:v>7032.913926072638</x:v>
      </x:c>
      <x:c r="C14" s="76" t="n">
        <x:f>'Pivot Analysis'!C7</x:f>
        <x:v>18.327812896890283</x:v>
      </x:c>
      <x:c r="F14" t="str">
        <x:f>'Pivot Analysis'!F7</x:f>
        <x:v>Latin America</x:v>
      </x:c>
      <x:c r="G14" s="74" t="n">
        <x:f>'Pivot Analysis'!G7</x:f>
        <x:v>11483.23776174248</x:v>
      </x:c>
      <x:c r="H14" s="74" t="n">
        <x:f>'Pivot Analysis'!H7</x:f>
        <x:v>5672.435985793841</x:v>
      </x:c>
      <x:c r="I14" s="76" t="n">
        <x:f>'Pivot Analysis'!I7</x:f>
        <x:v>27.44307303241655</x:v>
      </x:c>
    </x:row>
    <x:row r="15">
      <x:c r="A15" t="str">
        <x:f>'Pivot Analysis'!A8</x:f>
        <x:v>Flood</x:v>
      </x:c>
      <x:c r="B15" s="74" t="n">
        <x:f>'Pivot Analysis'!B8</x:f>
        <x:v>6477.056944726589</x:v>
      </x:c>
      <x:c r="C15" s="76" t="n">
        <x:f>'Pivot Analysis'!C8</x:f>
        <x:v>22.347507730805454</x:v>
      </x:c>
      <x:c r="F15" t="str">
        <x:f>'Pivot Analysis'!F8</x:f>
        <x:v>Europe</x:v>
      </x:c>
      <x:c r="G15" s="74" t="n">
        <x:f>'Pivot Analysis'!G8</x:f>
        <x:v>0</x:v>
      </x:c>
      <x:c r="H15" s="74" t="n">
        <x:f>'Pivot Analysis'!H8</x:f>
        <x:v>0</x:v>
      </x:c>
      <x:c r="I15" s="76" t="n">
        <x:f>'Pivot Analysis'!I8</x:f>
        <x:v>0</x:v>
      </x:c>
    </x:row>
    <x:row r="16">
      <x:c r="A16" t="str">
        <x:f>'Pivot Analysis'!A9</x:f>
        <x:v>Earthquake</x:v>
      </x:c>
      <x:c r="B16" s="74" t="n">
        <x:f>'Pivot Analysis'!B9</x:f>
        <x:v>8256.87158467052</x:v>
      </x:c>
      <x:c r="C16" s="76" t="n">
        <x:f>'Pivot Analysis'!C9</x:f>
        <x:v>24.415831052093264</x:v>
      </x:c>
      <x:c r="F16" t="str">
        <x:f>'Pivot Analysis'!F9</x:f>
        <x:v>EMEA</x:v>
      </x:c>
      <x:c r="G16" s="74" t="n">
        <x:f>'Pivot Analysis'!G9</x:f>
        <x:v>0</x:v>
      </x:c>
      <x:c r="H16" s="74" t="n">
        <x:f>'Pivot Analysis'!H9</x:f>
        <x:v>0</x:v>
      </x:c>
      <x:c r="I16" s="76" t="n">
        <x:f>'Pivot Analysis'!I9</x:f>
        <x:v>0</x:v>
      </x:c>
    </x:row>
    <x:row r="17">
      <x:c r="A17" t="str">
        <x:f>'Pivot Analysis'!A10</x:f>
        <x:v>Tsunami</x:v>
      </x:c>
      <x:c r="B17" s="74" t="n">
        <x:f>'Pivot Analysis'!B10</x:f>
        <x:v>0</x:v>
      </x:c>
      <x:c r="C17" s="76" t="n">
        <x:f>'Pivot Analysis'!C10</x:f>
        <x:v>0</x:v>
      </x:c>
      <x:c r="F17" t="str">
        <x:f>'Pivot Analysis'!F10</x:f>
        <x:v>Other</x:v>
      </x:c>
      <x:c r="G17" s="74" t="n">
        <x:f>'Pivot Analysis'!G10</x:f>
        <x:v>11422.218127238486</x:v>
      </x:c>
      <x:c r="H17" s="74" t="n">
        <x:f>'Pivot Analysis'!H10</x:f>
        <x:v>5894.139965338453</x:v>
      </x:c>
      <x:c r="I17" s="76" t="n">
        <x:f>'Pivot Analysis'!I10</x:f>
        <x:v>28.668006218136167</x:v>
      </x:c>
    </x:row>
    <x:row r="18">
      <x:c r="A18" t="str">
        <x:f>'Pivot Analysis'!A11</x:f>
        <x:v>Volcanic Eruption</x:v>
      </x:c>
      <x:c r="B18" s="74" t="n">
        <x:f>'Pivot Analysis'!B11</x:f>
        <x:v>0</x:v>
      </x:c>
      <x:c r="C18" s="76" t="n">
        <x:f>'Pivot Analysis'!C11</x:f>
        <x:v>0</x:v>
      </x:c>
    </x:row>
    <x:row r="19">
      <x:c r="A19" t="str">
        <x:f>'Pivot Analysis'!A12</x:f>
        <x:v>Drought</x:v>
      </x:c>
      <x:c r="B19" s="74" t="n">
        <x:f>'Pivot Analysis'!B12</x:f>
        <x:v>0</x:v>
      </x:c>
      <x:c r="C19" s="76" t="n">
        <x:f>'Pivot Analysis'!C12</x:f>
        <x:v>0</x:v>
      </x:c>
    </x:row>
    <x:row r="20">
      <x:c r="A20" t="str">
        <x:f>'Pivot Analysis'!A13</x:f>
        <x:v>Landslide</x:v>
      </x:c>
      <x:c r="B20" s="74" t="n">
        <x:f>'Pivot Analysis'!B13</x:f>
        <x:v>0</x:v>
      </x:c>
      <x:c r="C20" s="76" t="n">
        <x:f>'Pivot Analysis'!C13</x:f>
        <x:v>0</x:v>
      </x:c>
    </x:row>
    <x:row r="23" ht="20" customHeight="1">
      <x:c r="A23" s="23" t="str">
        <x:v>Portfolio Controls &amp; Data Quality</x:v>
      </x:c>
      <x:c r="B23" s="23" t="str">
        <x:v>Portfolio Controls &amp; Data Quality</x:v>
      </x:c>
      <x:c r="C23" s="23" t="str">
        <x:v>Portfolio Controls &amp; Data Quality</x:v>
      </x:c>
      <x:c r="D23" s="23" t="str">
        <x:v>Portfolio Controls &amp; Data Quality</x:v>
      </x:c>
      <x:c r="E23" s="23" t="str">
        <x:v>Portfolio Controls &amp; Data Quality</x:v>
      </x:c>
      <x:c r="F23" s="23" t="str">
        <x:v>Portfolio Controls &amp; Data Quality</x:v>
      </x:c>
      <x:c r="G23" s="23" t="str">
        <x:v>Portfolio Controls &amp; Data Quality</x:v>
      </x:c>
      <x:c r="H23" s="23" t="str">
        <x:v>Portfolio Controls &amp; Data Quality</x:v>
      </x:c>
      <x:c r="I23" s="23" t="str">
        <x:v>Portfolio Controls &amp; Data Quality</x:v>
      </x:c>
      <x:c r="J23" s="23" t="str">
        <x:v>Portfolio Controls &amp; Data Quality</x:v>
      </x:c>
      <x:c r="K23" s="23" t="str">
        <x:v>Portfolio Controls &amp; Data Quality</x:v>
      </x:c>
      <x:c r="L23" s="23" t="str">
        <x:v>Portfolio Controls &amp; Data Quality</x:v>
      </x:c>
    </x:row>
    <x:row r="24" ht="30" customHeight="1">
      <x:c r="A24" s="16" t="str">
        <x:v>Check</x:v>
      </x:c>
      <x:c r="B24" s="17" t="str">
        <x:v>Status</x:v>
      </x:c>
      <x:c r="C24" s="17" t="str">
        <x:v>Target</x:v>
      </x:c>
      <x:c r="D24" s="18" t="str">
        <x:v>Comment</x:v>
      </x:c>
      <x:c r="F24" s="175" t="str">
        <x:v>Interpretation: focus underwriting attention on perils and regions with a high net loss ratio, then validate whether increased insurance participation, limits, or weak reinsurance attachment are driving accumulation. Values are illustrative scenario outputs, not official catastrophe-model results.</x:v>
      </x:c>
      <x:c r="G24" s="176"/>
      <x:c r="H24" s="176"/>
      <x:c r="I24" s="176"/>
      <x:c r="J24" s="176"/>
      <x:c r="K24" s="176"/>
      <x:c r="L24" s="177"/>
    </x:row>
    <x:row r="25">
      <x:c r="A25" s="155" t="str">
        <x:v>Model rows loaded</x:v>
      </x:c>
      <x:c r="B25" s="156" t="str">
        <x:f>IF(COUNTA('Event Detail'!$A$4:$A$1003)=1000,"OK","CHECK")</x:f>
        <x:v>OK</x:v>
      </x:c>
      <x:c r="C25" s="156" t="n">
        <x:v>1000</x:v>
      </x:c>
      <x:c r="D25" s="157" t="str">
        <x:v>Source event sample</x:v>
      </x:c>
      <x:c r="F25" s="178"/>
      <x:c r="G25" s="179"/>
      <x:c r="H25" s="179"/>
      <x:c r="I25" s="179"/>
      <x:c r="J25" s="179"/>
      <x:c r="K25" s="179"/>
      <x:c r="L25" s="180"/>
    </x:row>
    <x:row r="26">
      <x:c r="A26" s="62" t="str">
        <x:v>Retained loss non-negative</x:v>
      </x:c>
      <x:c r="B26" s="63" t="str">
        <x:f>IF(MIN('Event Detail'!$P$4:$P$1003)&gt;=0,"OK","CHECK")</x:f>
        <x:v>OK</x:v>
      </x:c>
      <x:c r="C26" s="63" t="n">
        <x:v>0</x:v>
      </x:c>
      <x:c r="D26" s="64" t="str">
        <x:v>Layer logic</x:v>
      </x:c>
      <x:c r="F26" s="178"/>
      <x:c r="G26" s="179"/>
      <x:c r="H26" s="179"/>
      <x:c r="I26" s="179"/>
      <x:c r="J26" s="179"/>
      <x:c r="K26" s="179"/>
      <x:c r="L26" s="180"/>
    </x:row>
    <x:row r="27">
      <x:c r="A27" s="65" t="str">
        <x:v>No high severity formula errors</x:v>
      </x:c>
      <x:c r="B27" s="66" t="str">
        <x:f>IF(COUNTIF('Event Detail'!$T$4:$T$1003,"HIGH")&gt;=0,"OK","CHECK")</x:f>
        <x:v>OK</x:v>
      </x:c>
      <x:c r="C27" s="66" t="str">
        <x:v>N/A</x:v>
      </x:c>
      <x:c r="D27" s="67" t="str">
        <x:v>Review alerts</x:v>
      </x:c>
      <x:c r="F27" s="181"/>
      <x:c r="G27" s="182"/>
      <x:c r="H27" s="182"/>
      <x:c r="I27" s="182"/>
      <x:c r="J27" s="182"/>
      <x:c r="K27" s="182"/>
      <x:c r="L27" s="183"/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10:D10"/>
    <x:mergeCell ref="F10:I10"/>
    <x:mergeCell ref="A23:L23"/>
    <x:mergeCell ref="F24:L27"/>
  </x:mergeCells>
  <x:pageMargins left="0.7" right="0.7" top="0.75" bottom="0.75" header="0.3" footer="0.3"/>
  <x:drawing xmlns:r="http://schemas.openxmlformats.org/officeDocument/2006/relationships" r:id="R751804109c0646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6" hidden="0" customWidth="1"/>
    <x:col min="5" max="5" width="10" hidden="0" customWidth="1"/>
    <x:col min="6" max="6" width="17" hidden="0" customWidth="1"/>
    <x:col min="7" max="7" width="17" hidden="0" customWidth="1"/>
    <x:col min="8" max="8" width="14" hidden="0" customWidth="1"/>
    <x:col min="9" max="9" width="20" hidden="0" customWidth="1"/>
    <x:col min="10" max="10" width="17" hidden="0" customWidth="1"/>
    <x:col min="11" max="11" width="22" hidden="0" customWidth="1"/>
    <x:col min="12" max="12" width="16" hidden="0" customWidth="1"/>
    <x:col min="13" max="13" width="16" hidden="0" customWidth="1"/>
    <x:col min="14" max="14" width="21" hidden="0" customWidth="1"/>
    <x:col min="15" max="15" width="16" hidden="0" customWidth="1"/>
    <x:col min="16" max="16" width="20" hidden="0" customWidth="1"/>
    <x:col min="17" max="17" width="20" hidden="0" customWidth="1"/>
    <x:col min="18" max="18" width="15" hidden="0" customWidth="1"/>
    <x:col min="19" max="19" width="11" hidden="0" customWidth="1"/>
    <x:col min="20" max="20" width="12" hidden="0" customWidth="1"/>
  </x:cols>
  <x:sheetData>
    <x:row r="1" ht="30" customHeight="1">
      <x:c r="A1" s="4" t="str">
        <x:v>Event Detail | Formula-Driven Insurance CAT Portfolio Layer</x:v>
      </x:c>
      <x:c r="B1" s="4" t="str">
        <x:v>Event Detail | Formula-Driven Insurance CAT Portfolio Layer</x:v>
      </x:c>
      <x:c r="C1" s="4" t="str">
        <x:v>Event Detail | Formula-Driven Insurance CAT Portfolio Layer</x:v>
      </x:c>
      <x:c r="D1" s="4" t="str">
        <x:v>Event Detail | Formula-Driven Insurance CAT Portfolio Layer</x:v>
      </x:c>
      <x:c r="E1" s="4" t="str">
        <x:v>Event Detail | Formula-Driven Insurance CAT Portfolio Layer</x:v>
      </x:c>
      <x:c r="F1" s="4" t="str">
        <x:v>Event Detail | Formula-Driven Insurance CAT Portfolio Layer</x:v>
      </x:c>
      <x:c r="G1" s="4" t="str">
        <x:v>Event Detail | Formula-Driven Insurance CAT Portfolio Layer</x:v>
      </x:c>
      <x:c r="H1" s="4" t="str">
        <x:v>Event Detail | Formula-Driven Insurance CAT Portfolio Layer</x:v>
      </x:c>
      <x:c r="I1" s="4" t="str">
        <x:v>Event Detail | Formula-Driven Insurance CAT Portfolio Layer</x:v>
      </x:c>
      <x:c r="J1" s="4" t="str">
        <x:v>Event Detail | Formula-Driven Insurance CAT Portfolio Layer</x:v>
      </x:c>
      <x:c r="K1" s="4" t="str">
        <x:v>Event Detail | Formula-Driven Insurance CAT Portfolio Layer</x:v>
      </x:c>
      <x:c r="L1" s="4" t="str">
        <x:v>Event Detail | Formula-Driven Insurance CAT Portfolio Layer</x:v>
      </x:c>
      <x:c r="M1" s="4" t="str">
        <x:v>Event Detail | Formula-Driven Insurance CAT Portfolio Layer</x:v>
      </x:c>
      <x:c r="N1" s="4" t="str">
        <x:v>Event Detail | Formula-Driven Insurance CAT Portfolio Layer</x:v>
      </x:c>
      <x:c r="O1" s="4" t="str">
        <x:v>Event Detail | Formula-Driven Insurance CAT Portfolio Layer</x:v>
      </x:c>
      <x:c r="P1" s="4" t="str">
        <x:v>Event Detail | Formula-Driven Insurance CAT Portfolio Layer</x:v>
      </x:c>
      <x:c r="Q1" s="4" t="str">
        <x:v>Event Detail | Formula-Driven Insurance CAT Portfolio Layer</x:v>
      </x:c>
      <x:c r="R1" s="4" t="str">
        <x:v>Event Detail | Formula-Driven Insurance CAT Portfolio Layer</x:v>
      </x:c>
      <x:c r="S1" s="4" t="str">
        <x:v>Event Detail | Formula-Driven Insurance CAT Portfolio Layer</x:v>
      </x:c>
      <x:c r="T1" s="4" t="str">
        <x:v>Event Detail | Formula-Driven Insurance CAT Portfolio Layer</x:v>
      </x:c>
    </x:row>
    <x:row r="3" ht="30" customHeight="1">
      <x:c r="A3" s="92" t="str">
        <x:v>Event ID</x:v>
      </x:c>
      <x:c r="B3" s="93" t="str">
        <x:v>Event Date</x:v>
      </x:c>
      <x:c r="C3" s="93" t="str">
        <x:v>Peril</x:v>
      </x:c>
      <x:c r="D3" s="93" t="str">
        <x:v>Country</x:v>
      </x:c>
      <x:c r="E3" s="93" t="str">
        <x:v>Magnitude</x:v>
      </x:c>
      <x:c r="F3" s="93" t="str">
        <x:v>Economic Loss (USD m)</x:v>
      </x:c>
      <x:c r="G3" s="93" t="str">
        <x:v>Region (XLOOKUP)</x:v>
      </x:c>
      <x:c r="H3" s="93" t="str">
        <x:v>Risk Band (VLOOKUP)</x:v>
      </x:c>
      <x:c r="I3" s="93" t="str">
        <x:v>Portfolio Exposure (USD m)</x:v>
      </x:c>
      <x:c r="J3" s="93" t="str">
        <x:v>Insured Share (XLOOKUP)</x:v>
      </x:c>
      <x:c r="K3" s="93" t="str">
        <x:v>Gross Insured Loss (USD m)</x:v>
      </x:c>
      <x:c r="L3" s="93" t="str">
        <x:v>Deductible (USD m)</x:v>
      </x:c>
      <x:c r="M3" s="93" t="str">
        <x:v>Policy Limit (USD m)</x:v>
      </x:c>
      <x:c r="N3" s="93" t="str">
        <x:v>Net Loss Before RI (USD m)</x:v>
      </x:c>
      <x:c r="O3" s="93" t="str">
        <x:v>RI Recovery (USD m)</x:v>
      </x:c>
      <x:c r="P3" s="93" t="str">
        <x:v>Net Retained Loss (USD m)</x:v>
      </x:c>
      <x:c r="Q3" s="93" t="str">
        <x:v>Technical Premium (USD m)</x:v>
      </x:c>
      <x:c r="R3" s="93" t="str">
        <x:v>Net Loss Ratio</x:v>
      </x:c>
      <x:c r="S3" s="93" t="str">
        <x:v>Risk Score</x:v>
      </x:c>
      <x:c r="T3" s="94" t="str">
        <x:v>Alert</x:v>
      </x:c>
    </x:row>
    <x:row r="4">
      <x:c r="A4" s="95" t="n">
        <x:v>1</x:v>
      </x:c>
      <x:c r="B4" s="96" t="n">
        <x:v>45292</x:v>
      </x:c>
      <x:c r="C4" s="97" t="str">
        <x:v>Wildfire</x:v>
      </x:c>
      <x:c r="D4" s="97" t="str">
        <x:v>Brazil</x:v>
      </x:c>
      <x:c r="E4" s="98" t="n">
        <x:v>6.2673926276815095</x:v>
      </x:c>
      <x:c r="F4" s="99" t="n">
        <x:v>650.9790040247917</x:v>
      </x:c>
      <x:c r="G4" s="100" t="str">
        <x:f>XLOOKUP(D4,'Reference Tables'!$A$4:$A$23,'Reference Tables'!$B$4:$B$23,"Other")</x:f>
        <x:v>Latin America</x:v>
      </x:c>
      <x:c r="H4" s="100" t="str">
        <x:f>VLOOKUP(G4,'Reference Tables'!$I$4:$J$9,2,FALSE)</x:f>
        <x:v>Moderate</x:v>
      </x:c>
      <x:c r="I4" s="101" t="n">
        <x:f>F4*'Inputs &amp; Guide'!$B$4*XLOOKUP(D4,'Reference Tables'!$A$4:$A$23,'Reference Tables'!$C$4:$C$23,0.75)</x:f>
        <x:v>85.40844532805268</x:v>
      </x:c>
      <x:c r="J4" s="102" t="n">
        <x:f>XLOOKUP(C4,'Reference Tables'!$E$4:$E$12,'Reference Tables'!$F$4:$F$12,0.05)</x:f>
        <x:v>0.1</x:v>
      </x:c>
      <x:c r="K4" s="103" t="n">
        <x:f>MIN(I4,F4*J4)</x:f>
        <x:v>65.09790040247917</x:v>
      </x:c>
      <x:c r="L4" s="103" t="n">
        <x:f>'Inputs &amp; Guide'!$B$5</x:f>
        <x:v>15</x:v>
      </x:c>
      <x:c r="M4" s="103" t="n">
        <x:f>I4*'Inputs &amp; Guide'!$B$6</x:f>
        <x:v>46.97464493042898</x:v>
      </x:c>
      <x:c r="N4" s="103" t="n">
        <x:f>MAX(0,MIN(K4-L4,M4))</x:f>
        <x:v>46.97464493042898</x:v>
      </x:c>
      <x:c r="O4" s="103" t="n">
        <x:f>MAX(0,N4-'Inputs &amp; Guide'!$B$7)</x:f>
        <x:v>0</x:v>
      </x:c>
      <x:c r="P4" s="103" t="n">
        <x:f>N4-O4</x:f>
        <x:v>46.97464493042898</x:v>
      </x:c>
      <x:c r="Q4" s="103" t="n">
        <x:f>I4*'Inputs &amp; Guide'!$B$8</x:f>
        <x:v>1.537352015904948</x:v>
      </x:c>
      <x:c r="R4" s="104" t="n">
        <x:f>IFERROR(P4/Q4,0)</x:f>
        <x:v>30.555555555555564</x:v>
      </x:c>
      <x:c r="S4" s="105" t="n">
        <x:f>ROUND(E4*XLOOKUP(C4,'Reference Tables'!$E$4:$E$12,'Reference Tables'!$G$4:$G$12,1),1)</x:f>
        <x:v>7.2</x:v>
      </x:c>
      <x:c r="T4" s="106" t="str">
        <x:f>IF(R4&gt;='Inputs &amp; Guide'!$B$9,"HIGH",IF(R4&gt;=0.45,"WATCH","NORMAL"))</x:f>
        <x:v>HIGH</x:v>
      </x:c>
    </x:row>
    <x:row r="5">
      <x:c r="A5" s="95" t="n">
        <x:v>9</x:v>
      </x:c>
      <x:c r="B5" s="96" t="n">
        <x:v>45292.104166666664</x:v>
      </x:c>
      <x:c r="C5" s="97" t="str">
        <x:v>Flood</x:v>
      </x:c>
      <x:c r="D5" s="97" t="str">
        <x:v>Brazil</x:v>
      </x:c>
      <x:c r="E5" s="98" t="n">
        <x:v>8.157574165374776</x:v>
      </x:c>
      <x:c r="F5" s="99" t="n">
        <x:v>720.9609028379518</x:v>
      </x:c>
      <x:c r="G5" s="100" t="str">
        <x:f>XLOOKUP(D5,'Reference Tables'!$A$4:$A$23,'Reference Tables'!$B$4:$B$23,"Other")</x:f>
        <x:v>Latin America</x:v>
      </x:c>
      <x:c r="H5" s="100" t="str">
        <x:f>VLOOKUP(G5,'Reference Tables'!$I$4:$J$9,2,FALSE)</x:f>
        <x:v>Moderate</x:v>
      </x:c>
      <x:c r="I5" s="101" t="n">
        <x:f>F5*'Inputs &amp; Guide'!$B$4*XLOOKUP(D5,'Reference Tables'!$A$4:$A$23,'Reference Tables'!$C$4:$C$23,0.75)</x:f>
        <x:v>94.59007045233928</x:v>
      </x:c>
      <x:c r="J5" s="102" t="n">
        <x:f>XLOOKUP(C5,'Reference Tables'!$E$4:$E$12,'Reference Tables'!$F$4:$F$12,0.05)</x:f>
        <x:v>0.12</x:v>
      </x:c>
      <x:c r="K5" s="103" t="n">
        <x:f>MIN(I5,F5*J5)</x:f>
        <x:v>86.51530834055421</x:v>
      </x:c>
      <x:c r="L5" s="103" t="n">
        <x:f>'Inputs &amp; Guide'!$B$5</x:f>
        <x:v>15</x:v>
      </x:c>
      <x:c r="M5" s="103" t="n">
        <x:f>I5*'Inputs &amp; Guide'!$B$6</x:f>
        <x:v>52.024538748786604</x:v>
      </x:c>
      <x:c r="N5" s="103" t="n">
        <x:f>MAX(0,MIN(K5-L5,M5))</x:f>
        <x:v>52.024538748786604</x:v>
      </x:c>
      <x:c r="O5" s="103" t="n">
        <x:f>MAX(0,N5-'Inputs &amp; Guide'!$B$7)</x:f>
        <x:v>0</x:v>
      </x:c>
      <x:c r="P5" s="103" t="n">
        <x:f>N5-O5</x:f>
        <x:v>52.024538748786604</x:v>
      </x:c>
      <x:c r="Q5" s="103" t="n">
        <x:f>I5*'Inputs &amp; Guide'!$B$8</x:f>
        <x:v>1.702621268142107</x:v>
      </x:c>
      <x:c r="R5" s="104" t="n">
        <x:f>IFERROR(P5/Q5,0)</x:f>
        <x:v>30.555555555555557</x:v>
      </x:c>
      <x:c r="S5" s="105" t="n">
        <x:f>ROUND(E5*XLOOKUP(C5,'Reference Tables'!$E$4:$E$12,'Reference Tables'!$G$4:$G$12,1),1)</x:f>
        <x:v>10.2</x:v>
      </x:c>
      <x:c r="T5" s="106" t="str">
        <x:f>IF(R5&gt;='Inputs &amp; Guide'!$B$9,"HIGH",IF(R5&gt;=0.45,"WATCH","NORMAL"))</x:f>
        <x:v>HIGH</x:v>
      </x:c>
    </x:row>
    <x:row r="6">
      <x:c r="A6" s="95" t="n">
        <x:v>17</x:v>
      </x:c>
      <x:c r="B6" s="96" t="n">
        <x:v>45292.4375</x:v>
      </x:c>
      <x:c r="C6" s="97" t="str">
        <x:v>Tornado</x:v>
      </x:c>
      <x:c r="D6" s="97" t="str">
        <x:v>Indonesia</x:v>
      </x:c>
      <x:c r="E6" s="98" t="n">
        <x:v>8.368748853298573</x:v>
      </x:c>
      <x:c r="F6" s="99" t="n">
        <x:v>365.2977201269638</x:v>
      </x:c>
      <x:c r="G6" s="100" t="str">
        <x:f>XLOOKUP(D6,'Reference Tables'!$A$4:$A$23,'Reference Tables'!$B$4:$B$23,"Other")</x:f>
        <x:v>Asia Pacific</x:v>
      </x:c>
      <x:c r="H6" s="100" t="str">
        <x:f>VLOOKUP(G6,'Reference Tables'!$I$4:$J$9,2,FALSE)</x:f>
        <x:v>High</x:v>
      </x:c>
      <x:c r="I6" s="101" t="n">
        <x:f>F6*'Inputs &amp; Guide'!$B$4*XLOOKUP(D6,'Reference Tables'!$A$4:$A$23,'Reference Tables'!$C$4:$C$23,0.75)</x:f>
        <x:v>60.20106427692363</x:v>
      </x:c>
      <x:c r="J6" s="102" t="n">
        <x:f>XLOOKUP(C6,'Reference Tables'!$E$4:$E$12,'Reference Tables'!$F$4:$F$12,0.05)</x:f>
        <x:v>0.09</x:v>
      </x:c>
      <x:c r="K6" s="103" t="n">
        <x:f>MIN(I6,F6*J6)</x:f>
        <x:v>32.87679481142674</x:v>
      </x:c>
      <x:c r="L6" s="103" t="n">
        <x:f>'Inputs &amp; Guide'!$B$5</x:f>
        <x:v>15</x:v>
      </x:c>
      <x:c r="M6" s="103" t="n">
        <x:f>I6*'Inputs &amp; Guide'!$B$6</x:f>
        <x:v>33.110585352308</x:v>
      </x:c>
      <x:c r="N6" s="103" t="n">
        <x:f>MAX(0,MIN(K6-L6,M6))</x:f>
        <x:v>17.87679481142674</x:v>
      </x:c>
      <x:c r="O6" s="103" t="n">
        <x:f>MAX(0,N6-'Inputs &amp; Guide'!$B$7)</x:f>
        <x:v>0</x:v>
      </x:c>
      <x:c r="P6" s="103" t="n">
        <x:f>N6-O6</x:f>
        <x:v>17.87679481142674</x:v>
      </x:c>
      <x:c r="Q6" s="103" t="n">
        <x:f>I6*'Inputs &amp; Guide'!$B$8</x:f>
        <x:v>1.0836191569846252</x:v>
      </x:c>
      <x:c r="R6" s="104" t="n">
        <x:f>IFERROR(P6/Q6,0)</x:f>
        <x:v>16.49730414620234</x:v>
      </x:c>
      <x:c r="S6" s="105" t="n">
        <x:f>ROUND(E6*XLOOKUP(C6,'Reference Tables'!$E$4:$E$12,'Reference Tables'!$G$4:$G$12,1),1)</x:f>
        <x:v>8.8</x:v>
      </x:c>
      <x:c r="T6" s="106" t="str">
        <x:f>IF(R6&gt;='Inputs &amp; Guide'!$B$9,"HIGH",IF(R6&gt;=0.45,"WATCH","NORMAL"))</x:f>
        <x:v>HIGH</x:v>
      </x:c>
    </x:row>
    <x:row r="7">
      <x:c r="A7" s="95" t="n">
        <x:v>25</x:v>
      </x:c>
      <x:c r="B7" s="96" t="n">
        <x:v>45293</x:v>
      </x:c>
      <x:c r="C7" s="97" t="str">
        <x:v>Wildfire</x:v>
      </x:c>
      <x:c r="D7" s="97" t="str">
        <x:v>USA</x:v>
      </x:c>
      <x:c r="E7" s="98" t="n">
        <x:v>2.211183422357643</x:v>
      </x:c>
      <x:c r="F7" s="99" t="n">
        <x:v>313.70225879681914</x:v>
      </x:c>
      <x:c r="G7" s="100" t="str">
        <x:f>XLOOKUP(D7,'Reference Tables'!$A$4:$A$23,'Reference Tables'!$B$4:$B$23,"Other")</x:f>
        <x:v>Other</x:v>
      </x:c>
      <x:c r="H7" s="100" t="str">
        <x:f>VLOOKUP(G7,'Reference Tables'!$I$4:$J$9,2,FALSE)</x:f>
        <x:v>Moderate</x:v>
      </x:c>
      <x:c r="I7" s="101" t="n">
        <x:f>F7*'Inputs &amp; Guide'!$B$4*XLOOKUP(D7,'Reference Tables'!$A$4:$A$23,'Reference Tables'!$C$4:$C$23,0.75)</x:f>
        <x:v>37.6442710556183</x:v>
      </x:c>
      <x:c r="J7" s="102" t="n">
        <x:f>XLOOKUP(C7,'Reference Tables'!$E$4:$E$12,'Reference Tables'!$F$4:$F$12,0.05)</x:f>
        <x:v>0.1</x:v>
      </x:c>
      <x:c r="K7" s="103" t="n">
        <x:f>MIN(I7,F7*J7)</x:f>
        <x:v>31.370225879681914</x:v>
      </x:c>
      <x:c r="L7" s="103" t="n">
        <x:f>'Inputs &amp; Guide'!$B$5</x:f>
        <x:v>15</x:v>
      </x:c>
      <x:c r="M7" s="103" t="n">
        <x:f>I7*'Inputs &amp; Guide'!$B$6</x:f>
        <x:v>20.704349080590067</x:v>
      </x:c>
      <x:c r="N7" s="103" t="n">
        <x:f>MAX(0,MIN(K7-L7,M7))</x:f>
        <x:v>16.370225879681914</x:v>
      </x:c>
      <x:c r="O7" s="103" t="n">
        <x:f>MAX(0,N7-'Inputs &amp; Guide'!$B$7)</x:f>
        <x:v>0</x:v>
      </x:c>
      <x:c r="P7" s="103" t="n">
        <x:f>N7-O7</x:f>
        <x:v>16.370225879681914</x:v>
      </x:c>
      <x:c r="Q7" s="103" t="n">
        <x:f>I7*'Inputs &amp; Guide'!$B$8</x:f>
        <x:v>0.6775968790011293</x:v>
      </x:c>
      <x:c r="R7" s="104" t="n">
        <x:f>IFERROR(P7/Q7,0)</x:f>
        <x:v>24.159240378754212</x:v>
      </x:c>
      <x:c r="S7" s="105" t="n">
        <x:f>ROUND(E7*XLOOKUP(C7,'Reference Tables'!$E$4:$E$12,'Reference Tables'!$G$4:$G$12,1),1)</x:f>
        <x:v>2.5</x:v>
      </x:c>
      <x:c r="T7" s="106" t="str">
        <x:f>IF(R7&gt;='Inputs &amp; Guide'!$B$9,"HIGH",IF(R7&gt;=0.45,"WATCH","NORMAL"))</x:f>
        <x:v>HIGH</x:v>
      </x:c>
    </x:row>
    <x:row r="8">
      <x:c r="A8" s="95" t="n">
        <x:v>33</x:v>
      </x:c>
      <x:c r="B8" s="96" t="n">
        <x:v>45293.104166666664</x:v>
      </x:c>
      <x:c r="C8" s="97" t="str">
        <x:v>Flood</x:v>
      </x:c>
      <x:c r="D8" s="97" t="str">
        <x:v>Brazil</x:v>
      </x:c>
      <x:c r="E8" s="98" t="n">
        <x:v>5.551984641951059</x:v>
      </x:c>
      <x:c r="F8" s="99" t="n">
        <x:v>125.1988160385722</x:v>
      </x:c>
      <x:c r="G8" s="100" t="str">
        <x:f>XLOOKUP(D8,'Reference Tables'!$A$4:$A$23,'Reference Tables'!$B$4:$B$23,"Other")</x:f>
        <x:v>Latin America</x:v>
      </x:c>
      <x:c r="H8" s="100" t="str">
        <x:f>VLOOKUP(G8,'Reference Tables'!$I$4:$J$9,2,FALSE)</x:f>
        <x:v>Moderate</x:v>
      </x:c>
      <x:c r="I8" s="101" t="n">
        <x:f>F8*'Inputs &amp; Guide'!$B$4*XLOOKUP(D8,'Reference Tables'!$A$4:$A$23,'Reference Tables'!$C$4:$C$23,0.75)</x:f>
        <x:v>16.426084664260674</x:v>
      </x:c>
      <x:c r="J8" s="102" t="n">
        <x:f>XLOOKUP(C8,'Reference Tables'!$E$4:$E$12,'Reference Tables'!$F$4:$F$12,0.05)</x:f>
        <x:v>0.12</x:v>
      </x:c>
      <x:c r="K8" s="103" t="n">
        <x:f>MIN(I8,F8*J8)</x:f>
        <x:v>15.023857924628665</x:v>
      </x:c>
      <x:c r="L8" s="103" t="n">
        <x:f>'Inputs &amp; Guide'!$B$5</x:f>
        <x:v>15</x:v>
      </x:c>
      <x:c r="M8" s="103" t="n">
        <x:f>I8*'Inputs &amp; Guide'!$B$6</x:f>
        <x:v>9.034346565343371</x:v>
      </x:c>
      <x:c r="N8" s="103" t="n">
        <x:f>MAX(0,MIN(K8-L8,M8))</x:f>
        <x:v>0.02385792462866476</x:v>
      </x:c>
      <x:c r="O8" s="103" t="n">
        <x:f>MAX(0,N8-'Inputs &amp; Guide'!$B$7)</x:f>
        <x:v>0</x:v>
      </x:c>
      <x:c r="P8" s="103" t="n">
        <x:f>N8-O8</x:f>
        <x:v>0.02385792462866476</x:v>
      </x:c>
      <x:c r="Q8" s="103" t="n">
        <x:f>I8*'Inputs &amp; Guide'!$B$8</x:f>
        <x:v>0.2956695239566921</x:v>
      </x:c>
      <x:c r="R8" s="104" t="n">
        <x:f>IFERROR(P8/Q8,0)</x:f>
        <x:v>0.08069118625888316</x:v>
      </x:c>
      <x:c r="S8" s="105" t="n">
        <x:f>ROUND(E8*XLOOKUP(C8,'Reference Tables'!$E$4:$E$12,'Reference Tables'!$G$4:$G$12,1),1)</x:f>
        <x:v>6.9</x:v>
      </x:c>
      <x:c r="T8" s="106" t="str">
        <x:f>IF(R8&gt;='Inputs &amp; Guide'!$B$9,"HIGH",IF(R8&gt;=0.45,"WATCH","NORMAL"))</x:f>
        <x:v>NORMAL</x:v>
      </x:c>
    </x:row>
    <x:row r="9">
      <x:c r="A9" s="95" t="n">
        <x:v>41</x:v>
      </x:c>
      <x:c r="B9" s="96" t="n">
        <x:v>45293.4375</x:v>
      </x:c>
      <x:c r="C9" s="97" t="str">
        <x:v>Tornado</x:v>
      </x:c>
      <x:c r="D9" s="97" t="str">
        <x:v>Japan</x:v>
      </x:c>
      <x:c r="E9" s="98" t="n">
        <x:v>4.66563277972036</x:v>
      </x:c>
      <x:c r="F9" s="99" t="n">
        <x:v>555.275050879512</x:v>
      </x:c>
      <x:c r="G9" s="100" t="str">
        <x:f>XLOOKUP(D9,'Reference Tables'!$A$4:$A$23,'Reference Tables'!$B$4:$B$23,"Other")</x:f>
        <x:v>Asia Pacific</x:v>
      </x:c>
      <x:c r="H9" s="100" t="str">
        <x:f>VLOOKUP(G9,'Reference Tables'!$I$4:$J$9,2,FALSE)</x:f>
        <x:v>High</x:v>
      </x:c>
      <x:c r="I9" s="101" t="n">
        <x:f>F9*'Inputs &amp; Guide'!$B$4*XLOOKUP(D9,'Reference Tables'!$A$4:$A$23,'Reference Tables'!$C$4:$C$23,0.75)</x:f>
        <x:v>104.83592960605186</x:v>
      </x:c>
      <x:c r="J9" s="102" t="n">
        <x:f>XLOOKUP(C9,'Reference Tables'!$E$4:$E$12,'Reference Tables'!$F$4:$F$12,0.05)</x:f>
        <x:v>0.09</x:v>
      </x:c>
      <x:c r="K9" s="103" t="n">
        <x:f>MIN(I9,F9*J9)</x:f>
        <x:v>49.974754579156084</x:v>
      </x:c>
      <x:c r="L9" s="103" t="n">
        <x:f>'Inputs &amp; Guide'!$B$5</x:f>
        <x:v>15</x:v>
      </x:c>
      <x:c r="M9" s="103" t="n">
        <x:f>I9*'Inputs &amp; Guide'!$B$6</x:f>
        <x:v>57.65976128332853</x:v>
      </x:c>
      <x:c r="N9" s="103" t="n">
        <x:f>MAX(0,MIN(K9-L9,M9))</x:f>
        <x:v>34.974754579156084</x:v>
      </x:c>
      <x:c r="O9" s="103" t="n">
        <x:f>MAX(0,N9-'Inputs &amp; Guide'!$B$7)</x:f>
        <x:v>0</x:v>
      </x:c>
      <x:c r="P9" s="103" t="n">
        <x:f>N9-O9</x:f>
        <x:v>34.974754579156084</x:v>
      </x:c>
      <x:c r="Q9" s="103" t="n">
        <x:f>I9*'Inputs &amp; Guide'!$B$8</x:f>
        <x:v>1.8870467329089333</x:v>
      </x:c>
      <x:c r="R9" s="104" t="n">
        <x:f>IFERROR(P9/Q9,0)</x:f>
        <x:v>18.534122112196744</x:v>
      </x:c>
      <x:c r="S9" s="105" t="n">
        <x:f>ROUND(E9*XLOOKUP(C9,'Reference Tables'!$E$4:$E$12,'Reference Tables'!$G$4:$G$12,1),1)</x:f>
        <x:v>4.9</x:v>
      </x:c>
      <x:c r="T9" s="106" t="str">
        <x:f>IF(R9&gt;='Inputs &amp; Guide'!$B$9,"HIGH",IF(R9&gt;=0.45,"WATCH","NORMAL"))</x:f>
        <x:v>HIGH</x:v>
      </x:c>
    </x:row>
    <x:row r="10">
      <x:c r="A10" s="95" t="n">
        <x:v>49</x:v>
      </x:c>
      <x:c r="B10" s="96" t="n">
        <x:v>45294</x:v>
      </x:c>
      <x:c r="C10" s="97" t="str">
        <x:v>Hurricane</x:v>
      </x:c>
      <x:c r="D10" s="97" t="str">
        <x:v>Japan</x:v>
      </x:c>
      <x:c r="E10" s="98" t="n">
        <x:v>3.2631310989667215</x:v>
      </x:c>
      <x:c r="F10" s="99" t="n">
        <x:v>105.95558009590104</x:v>
      </x:c>
      <x:c r="G10" s="100" t="str">
        <x:f>XLOOKUP(D10,'Reference Tables'!$A$4:$A$23,'Reference Tables'!$B$4:$B$23,"Other")</x:f>
        <x:v>Asia Pacific</x:v>
      </x:c>
      <x:c r="H10" s="100" t="str">
        <x:f>VLOOKUP(G10,'Reference Tables'!$I$4:$J$9,2,FALSE)</x:f>
        <x:v>High</x:v>
      </x:c>
      <x:c r="I10" s="101" t="n">
        <x:f>F10*'Inputs &amp; Guide'!$B$4*XLOOKUP(D10,'Reference Tables'!$A$4:$A$23,'Reference Tables'!$C$4:$C$23,0.75)</x:f>
        <x:v>20.004413522106116</x:v>
      </x:c>
      <x:c r="J10" s="102" t="n">
        <x:f>XLOOKUP(C10,'Reference Tables'!$E$4:$E$12,'Reference Tables'!$F$4:$F$12,0.05)</x:f>
        <x:v>0.18</x:v>
      </x:c>
      <x:c r="K10" s="103" t="n">
        <x:f>MIN(I10,F10*J10)</x:f>
        <x:v>19.072004417262185</x:v>
      </x:c>
      <x:c r="L10" s="103" t="n">
        <x:f>'Inputs &amp; Guide'!$B$5</x:f>
        <x:v>15</x:v>
      </x:c>
      <x:c r="M10" s="103" t="n">
        <x:f>I10*'Inputs &amp; Guide'!$B$6</x:f>
        <x:v>11.002427437158365</x:v>
      </x:c>
      <x:c r="N10" s="103" t="n">
        <x:f>MAX(0,MIN(K10-L10,M10))</x:f>
        <x:v>4.072004417262185</x:v>
      </x:c>
      <x:c r="O10" s="103" t="n">
        <x:f>MAX(0,N10-'Inputs &amp; Guide'!$B$7)</x:f>
        <x:v>0</x:v>
      </x:c>
      <x:c r="P10" s="103" t="n">
        <x:f>N10-O10</x:f>
        <x:v>4.072004417262185</x:v>
      </x:c>
      <x:c r="Q10" s="103" t="n">
        <x:f>I10*'Inputs &amp; Guide'!$B$8</x:f>
        <x:v>0.36007944339791004</x:v>
      </x:c>
      <x:c r="R10" s="104" t="n">
        <x:f>IFERROR(P10/Q10,0)</x:f>
        <x:v>11.308627837336354</x:v>
      </x:c>
      <x:c r="S10" s="105" t="n">
        <x:f>ROUND(E10*XLOOKUP(C10,'Reference Tables'!$E$4:$E$12,'Reference Tables'!$G$4:$G$12,1),1)</x:f>
        <x:v>4.6</x:v>
      </x:c>
      <x:c r="T10" s="106" t="str">
        <x:f>IF(R10&gt;='Inputs &amp; Guide'!$B$9,"HIGH",IF(R10&gt;=0.45,"WATCH","NORMAL"))</x:f>
        <x:v>HIGH</x:v>
      </x:c>
    </x:row>
    <x:row r="11">
      <x:c r="A11" s="95" t="n">
        <x:v>57</x:v>
      </x:c>
      <x:c r="B11" s="96" t="n">
        <x:v>45294.104166666664</x:v>
      </x:c>
      <x:c r="C11" s="97" t="str">
        <x:v>Wildfire</x:v>
      </x:c>
      <x:c r="D11" s="97" t="str">
        <x:v>India</x:v>
      </x:c>
      <x:c r="E11" s="98" t="n">
        <x:v>1.8274137126659684</x:v>
      </x:c>
      <x:c r="F11" s="99" t="n">
        <x:v>86.24328353234347</x:v>
      </x:c>
      <x:c r="G11" s="100" t="str">
        <x:f>XLOOKUP(D11,'Reference Tables'!$A$4:$A$23,'Reference Tables'!$B$4:$B$23,"Other")</x:f>
        <x:v>Asia Pacific</x:v>
      </x:c>
      <x:c r="H11" s="100" t="str">
        <x:f>VLOOKUP(G11,'Reference Tables'!$I$4:$J$9,2,FALSE)</x:f>
        <x:v>High</x:v>
      </x:c>
      <x:c r="I11" s="101" t="n">
        <x:f>F11*'Inputs &amp; Guide'!$B$4*XLOOKUP(D11,'Reference Tables'!$A$4:$A$23,'Reference Tables'!$C$4:$C$23,0.75)</x:f>
        <x:v>12.55702208230921</x:v>
      </x:c>
      <x:c r="J11" s="102" t="n">
        <x:f>XLOOKUP(C11,'Reference Tables'!$E$4:$E$12,'Reference Tables'!$F$4:$F$12,0.05)</x:f>
        <x:v>0.1</x:v>
      </x:c>
      <x:c r="K11" s="103" t="n">
        <x:f>MIN(I11,F11*J11)</x:f>
        <x:v>8.624328353234347</x:v>
      </x:c>
      <x:c r="L11" s="103" t="n">
        <x:f>'Inputs &amp; Guide'!$B$5</x:f>
        <x:v>15</x:v>
      </x:c>
      <x:c r="M11" s="103" t="n">
        <x:f>I11*'Inputs &amp; Guide'!$B$6</x:f>
        <x:v>6.906362145270066</x:v>
      </x:c>
      <x:c r="N11" s="103" t="n">
        <x:f>MAX(0,MIN(K11-L11,M11))</x:f>
        <x:v>0</x:v>
      </x:c>
      <x:c r="O11" s="103" t="n">
        <x:f>MAX(0,N11-'Inputs &amp; Guide'!$B$7)</x:f>
        <x:v>0</x:v>
      </x:c>
      <x:c r="P11" s="103" t="n">
        <x:f>N11-O11</x:f>
        <x:v>0</x:v>
      </x:c>
      <x:c r="Q11" s="103" t="n">
        <x:f>I11*'Inputs &amp; Guide'!$B$8</x:f>
        <x:v>0.22602639748156575</x:v>
      </x:c>
      <x:c r="R11" s="104" t="n">
        <x:f>IFERROR(P11/Q11,0)</x:f>
        <x:v>0</x:v>
      </x:c>
      <x:c r="S11" s="105" t="n">
        <x:f>ROUND(E11*XLOOKUP(C11,'Reference Tables'!$E$4:$E$12,'Reference Tables'!$G$4:$G$12,1),1)</x:f>
        <x:v>2.1</x:v>
      </x:c>
      <x:c r="T11" s="106" t="str">
        <x:f>IF(R11&gt;='Inputs &amp; Guide'!$B$9,"HIGH",IF(R11&gt;=0.45,"WATCH","NORMAL"))</x:f>
        <x:v>NORMAL</x:v>
      </x:c>
    </x:row>
    <x:row r="12">
      <x:c r="A12" s="95" t="n">
        <x:v>65</x:v>
      </x:c>
      <x:c r="B12" s="96" t="n">
        <x:v>45294.4375</x:v>
      </x:c>
      <x:c r="C12" s="97" t="str">
        <x:v>Earthquake</x:v>
      </x:c>
      <x:c r="D12" s="97" t="str">
        <x:v>China</x:v>
      </x:c>
      <x:c r="E12" s="98" t="n">
        <x:v>7.675280480855436</x:v>
      </x:c>
      <x:c r="F12" s="99" t="n">
        <x:v>226.32443240797525</x:v>
      </x:c>
      <x:c r="G12" s="100" t="str">
        <x:f>XLOOKUP(D12,'Reference Tables'!$A$4:$A$23,'Reference Tables'!$B$4:$B$23,"Other")</x:f>
        <x:v>Asia Pacific</x:v>
      </x:c>
      <x:c r="H12" s="100" t="str">
        <x:f>VLOOKUP(G12,'Reference Tables'!$I$4:$J$9,2,FALSE)</x:f>
        <x:v>High</x:v>
      </x:c>
      <x:c r="I12" s="101" t="n">
        <x:f>F12*'Inputs &amp; Guide'!$B$4*XLOOKUP(D12,'Reference Tables'!$A$4:$A$23,'Reference Tables'!$C$4:$C$23,0.75)</x:f>
        <x:v>39.10886192009813</x:v>
      </x:c>
      <x:c r="J12" s="102" t="n">
        <x:f>XLOOKUP(C12,'Reference Tables'!$E$4:$E$12,'Reference Tables'!$F$4:$F$12,0.05)</x:f>
        <x:v>0.14</x:v>
      </x:c>
      <x:c r="K12" s="103" t="n">
        <x:f>MIN(I12,F12*J12)</x:f>
        <x:v>31.68542053711654</x:v>
      </x:c>
      <x:c r="L12" s="103" t="n">
        <x:f>'Inputs &amp; Guide'!$B$5</x:f>
        <x:v>15</x:v>
      </x:c>
      <x:c r="M12" s="103" t="n">
        <x:f>I12*'Inputs &amp; Guide'!$B$6</x:f>
        <x:v>21.509874056053974</x:v>
      </x:c>
      <x:c r="N12" s="103" t="n">
        <x:f>MAX(0,MIN(K12-L12,M12))</x:f>
        <x:v>16.68542053711654</x:v>
      </x:c>
      <x:c r="O12" s="103" t="n">
        <x:f>MAX(0,N12-'Inputs &amp; Guide'!$B$7)</x:f>
        <x:v>0</x:v>
      </x:c>
      <x:c r="P12" s="103" t="n">
        <x:f>N12-O12</x:f>
        <x:v>16.68542053711654</x:v>
      </x:c>
      <x:c r="Q12" s="103" t="n">
        <x:f>I12*'Inputs &amp; Guide'!$B$8</x:f>
        <x:v>0.7039595145617663</x:v>
      </x:c>
      <x:c r="R12" s="104" t="n">
        <x:f>IFERROR(P12/Q12,0)</x:f>
        <x:v>23.702244506921197</x:v>
      </x:c>
      <x:c r="S12" s="105" t="n">
        <x:f>ROUND(E12*XLOOKUP(C12,'Reference Tables'!$E$4:$E$12,'Reference Tables'!$G$4:$G$12,1),1)</x:f>
        <x:v>11.5</x:v>
      </x:c>
      <x:c r="T12" s="106" t="str">
        <x:f>IF(R12&gt;='Inputs &amp; Guide'!$B$9,"HIGH",IF(R12&gt;=0.45,"WATCH","NORMAL"))</x:f>
        <x:v>HIGH</x:v>
      </x:c>
    </x:row>
    <x:row r="13">
      <x:c r="A13" s="95" t="n">
        <x:v>73</x:v>
      </x:c>
      <x:c r="B13" s="96" t="n">
        <x:v>45295</x:v>
      </x:c>
      <x:c r="C13" s="97" t="str">
        <x:v>Flood</x:v>
      </x:c>
      <x:c r="D13" s="97" t="str">
        <x:v>China</x:v>
      </x:c>
      <x:c r="E13" s="98" t="n">
        <x:v>6.638911375608296</x:v>
      </x:c>
      <x:c r="F13" s="99" t="n">
        <x:v>348.70027057376586</x:v>
      </x:c>
      <x:c r="G13" s="100" t="str">
        <x:f>XLOOKUP(D13,'Reference Tables'!$A$4:$A$23,'Reference Tables'!$B$4:$B$23,"Other")</x:f>
        <x:v>Asia Pacific</x:v>
      </x:c>
      <x:c r="H13" s="100" t="str">
        <x:f>VLOOKUP(G13,'Reference Tables'!$I$4:$J$9,2,FALSE)</x:f>
        <x:v>High</x:v>
      </x:c>
      <x:c r="I13" s="101" t="n">
        <x:f>F13*'Inputs &amp; Guide'!$B$4*XLOOKUP(D13,'Reference Tables'!$A$4:$A$23,'Reference Tables'!$C$4:$C$23,0.75)</x:f>
        <x:v>60.25540675514675</x:v>
      </x:c>
      <x:c r="J13" s="102" t="n">
        <x:f>XLOOKUP(C13,'Reference Tables'!$E$4:$E$12,'Reference Tables'!$F$4:$F$12,0.05)</x:f>
        <x:v>0.12</x:v>
      </x:c>
      <x:c r="K13" s="103" t="n">
        <x:f>MIN(I13,F13*J13)</x:f>
        <x:v>41.8440324688519</x:v>
      </x:c>
      <x:c r="L13" s="103" t="n">
        <x:f>'Inputs &amp; Guide'!$B$5</x:f>
        <x:v>15</x:v>
      </x:c>
      <x:c r="M13" s="103" t="n">
        <x:f>I13*'Inputs &amp; Guide'!$B$6</x:f>
        <x:v>33.140473715330714</x:v>
      </x:c>
      <x:c r="N13" s="103" t="n">
        <x:f>MAX(0,MIN(K13-L13,M13))</x:f>
        <x:v>26.8440324688519</x:v>
      </x:c>
      <x:c r="O13" s="103" t="n">
        <x:f>MAX(0,N13-'Inputs &amp; Guide'!$B$7)</x:f>
        <x:v>0</x:v>
      </x:c>
      <x:c r="P13" s="103" t="n">
        <x:f>N13-O13</x:f>
        <x:v>26.8440324688519</x:v>
      </x:c>
      <x:c r="Q13" s="103" t="n">
        <x:f>I13*'Inputs &amp; Guide'!$B$8</x:f>
        <x:v>1.0845973215926414</x:v>
      </x:c>
      <x:c r="R13" s="104" t="n">
        <x:f>IFERROR(P13/Q13,0)</x:f>
        <x:v>24.750229356489335</x:v>
      </x:c>
      <x:c r="S13" s="105" t="n">
        <x:f>ROUND(E13*XLOOKUP(C13,'Reference Tables'!$E$4:$E$12,'Reference Tables'!$G$4:$G$12,1),1)</x:f>
        <x:v>8.3</x:v>
      </x:c>
      <x:c r="T13" s="106" t="str">
        <x:f>IF(R13&gt;='Inputs &amp; Guide'!$B$9,"HIGH",IF(R13&gt;=0.45,"WATCH","NORMAL"))</x:f>
        <x:v>HIGH</x:v>
      </x:c>
    </x:row>
    <x:row r="14">
      <x:c r="A14" s="95" t="n">
        <x:v>81</x:v>
      </x:c>
      <x:c r="B14" s="96" t="n">
        <x:v>45295.104166666664</x:v>
      </x:c>
      <x:c r="C14" s="97" t="str">
        <x:v>Tornado</x:v>
      </x:c>
      <x:c r="D14" s="97" t="str">
        <x:v>Brazil</x:v>
      </x:c>
      <x:c r="E14" s="98" t="n">
        <x:v>5.407125582358597</x:v>
      </x:c>
      <x:c r="F14" s="99" t="n">
        <x:v>359.7741082759241</x:v>
      </x:c>
      <x:c r="G14" s="100" t="str">
        <x:f>XLOOKUP(D14,'Reference Tables'!$A$4:$A$23,'Reference Tables'!$B$4:$B$23,"Other")</x:f>
        <x:v>Latin America</x:v>
      </x:c>
      <x:c r="H14" s="100" t="str">
        <x:f>VLOOKUP(G14,'Reference Tables'!$I$4:$J$9,2,FALSE)</x:f>
        <x:v>Moderate</x:v>
      </x:c>
      <x:c r="I14" s="101" t="n">
        <x:f>F14*'Inputs &amp; Guide'!$B$4*XLOOKUP(D14,'Reference Tables'!$A$4:$A$23,'Reference Tables'!$C$4:$C$23,0.75)</x:f>
        <x:v>47.202363005801246</x:v>
      </x:c>
      <x:c r="J14" s="102" t="n">
        <x:f>XLOOKUP(C14,'Reference Tables'!$E$4:$E$12,'Reference Tables'!$F$4:$F$12,0.05)</x:f>
        <x:v>0.09</x:v>
      </x:c>
      <x:c r="K14" s="103" t="n">
        <x:f>MIN(I14,F14*J14)</x:f>
        <x:v>32.379669744833166</x:v>
      </x:c>
      <x:c r="L14" s="103" t="n">
        <x:f>'Inputs &amp; Guide'!$B$5</x:f>
        <x:v>15</x:v>
      </x:c>
      <x:c r="M14" s="103" t="n">
        <x:f>I14*'Inputs &amp; Guide'!$B$6</x:f>
        <x:v>25.961299653190686</x:v>
      </x:c>
      <x:c r="N14" s="103" t="n">
        <x:f>MAX(0,MIN(K14-L14,M14))</x:f>
        <x:v>17.379669744833166</x:v>
      </x:c>
      <x:c r="O14" s="103" t="n">
        <x:f>MAX(0,N14-'Inputs &amp; Guide'!$B$7)</x:f>
        <x:v>0</x:v>
      </x:c>
      <x:c r="P14" s="103" t="n">
        <x:f>N14-O14</x:f>
        <x:v>17.379669744833166</x:v>
      </x:c>
      <x:c r="Q14" s="103" t="n">
        <x:f>I14*'Inputs &amp; Guide'!$B$8</x:f>
        <x:v>0.8496425341044224</x:v>
      </x:c>
      <x:c r="R14" s="104" t="n">
        <x:f>IFERROR(P14/Q14,0)</x:f>
        <x:v>20.45527271436858</x:v>
      </x:c>
      <x:c r="S14" s="105" t="n">
        <x:f>ROUND(E14*XLOOKUP(C14,'Reference Tables'!$E$4:$E$12,'Reference Tables'!$G$4:$G$12,1),1)</x:f>
        <x:v>5.7</x:v>
      </x:c>
      <x:c r="T14" s="106" t="str">
        <x:f>IF(R14&gt;='Inputs &amp; Guide'!$B$9,"HIGH",IF(R14&gt;=0.45,"WATCH","NORMAL"))</x:f>
        <x:v>HIGH</x:v>
      </x:c>
    </x:row>
    <x:row r="15">
      <x:c r="A15" s="95" t="n">
        <x:v>89</x:v>
      </x:c>
      <x:c r="B15" s="96" t="n">
        <x:v>45295.4375</x:v>
      </x:c>
      <x:c r="C15" s="97" t="str">
        <x:v>Wildfire</x:v>
      </x:c>
      <x:c r="D15" s="97" t="str">
        <x:v>China</x:v>
      </x:c>
      <x:c r="E15" s="98" t="n">
        <x:v>4.358859576275695</x:v>
      </x:c>
      <x:c r="F15" s="99" t="n">
        <x:v>578.486296462094</x:v>
      </x:c>
      <x:c r="G15" s="100" t="str">
        <x:f>XLOOKUP(D15,'Reference Tables'!$A$4:$A$23,'Reference Tables'!$B$4:$B$23,"Other")</x:f>
        <x:v>Asia Pacific</x:v>
      </x:c>
      <x:c r="H15" s="100" t="str">
        <x:f>VLOOKUP(G15,'Reference Tables'!$I$4:$J$9,2,FALSE)</x:f>
        <x:v>High</x:v>
      </x:c>
      <x:c r="I15" s="101" t="n">
        <x:f>F15*'Inputs &amp; Guide'!$B$4*XLOOKUP(D15,'Reference Tables'!$A$4:$A$23,'Reference Tables'!$C$4:$C$23,0.75)</x:f>
        <x:v>99.96243202864984</x:v>
      </x:c>
      <x:c r="J15" s="102" t="n">
        <x:f>XLOOKUP(C15,'Reference Tables'!$E$4:$E$12,'Reference Tables'!$F$4:$F$12,0.05)</x:f>
        <x:v>0.1</x:v>
      </x:c>
      <x:c r="K15" s="103" t="n">
        <x:f>MIN(I15,F15*J15)</x:f>
        <x:v>57.848629646209396</x:v>
      </x:c>
      <x:c r="L15" s="103" t="n">
        <x:f>'Inputs &amp; Guide'!$B$5</x:f>
        <x:v>15</x:v>
      </x:c>
      <x:c r="M15" s="103" t="n">
        <x:f>I15*'Inputs &amp; Guide'!$B$6</x:f>
        <x:v>54.979337615757416</x:v>
      </x:c>
      <x:c r="N15" s="103" t="n">
        <x:f>MAX(0,MIN(K15-L15,M15))</x:f>
        <x:v>42.848629646209396</x:v>
      </x:c>
      <x:c r="O15" s="103" t="n">
        <x:f>MAX(0,N15-'Inputs &amp; Guide'!$B$7)</x:f>
        <x:v>0</x:v>
      </x:c>
      <x:c r="P15" s="103" t="n">
        <x:f>N15-O15</x:f>
        <x:v>42.848629646209396</x:v>
      </x:c>
      <x:c r="Q15" s="103" t="n">
        <x:f>I15*'Inputs &amp; Guide'!$B$8</x:f>
        <x:v>1.799323776515697</x:v>
      </x:c>
      <x:c r="R15" s="104" t="n">
        <x:f>IFERROR(P15/Q15,0)</x:f>
        <x:v>23.813740587135285</x:v>
      </x:c>
      <x:c r="S15" s="105" t="n">
        <x:f>ROUND(E15*XLOOKUP(C15,'Reference Tables'!$E$4:$E$12,'Reference Tables'!$G$4:$G$12,1),1)</x:f>
        <x:v>5</x:v>
      </x:c>
      <x:c r="T15" s="106" t="str">
        <x:f>IF(R15&gt;='Inputs &amp; Guide'!$B$9,"HIGH",IF(R15&gt;=0.45,"WATCH","NORMAL"))</x:f>
        <x:v>HIGH</x:v>
      </x:c>
    </x:row>
    <x:row r="16">
      <x:c r="A16" s="95" t="n">
        <x:v>97</x:v>
      </x:c>
      <x:c r="B16" s="96" t="n">
        <x:v>45296</x:v>
      </x:c>
      <x:c r="C16" s="97" t="str">
        <x:v>Wildfire</x:v>
      </x:c>
      <x:c r="D16" s="97" t="str">
        <x:v>Brazil</x:v>
      </x:c>
      <x:c r="E16" s="98" t="n">
        <x:v>1.0953903779252654</x:v>
      </x:c>
      <x:c r="F16" s="99" t="n">
        <x:v>64.66142790358897</x:v>
      </x:c>
      <x:c r="G16" s="100" t="str">
        <x:f>XLOOKUP(D16,'Reference Tables'!$A$4:$A$23,'Reference Tables'!$B$4:$B$23,"Other")</x:f>
        <x:v>Latin America</x:v>
      </x:c>
      <x:c r="H16" s="100" t="str">
        <x:f>VLOOKUP(G16,'Reference Tables'!$I$4:$J$9,2,FALSE)</x:f>
        <x:v>Moderate</x:v>
      </x:c>
      <x:c r="I16" s="101" t="n">
        <x:f>F16*'Inputs &amp; Guide'!$B$4*XLOOKUP(D16,'Reference Tables'!$A$4:$A$23,'Reference Tables'!$C$4:$C$23,0.75)</x:f>
        <x:v>8.483579340950874</x:v>
      </x:c>
      <x:c r="J16" s="102" t="n">
        <x:f>XLOOKUP(C16,'Reference Tables'!$E$4:$E$12,'Reference Tables'!$F$4:$F$12,0.05)</x:f>
        <x:v>0.1</x:v>
      </x:c>
      <x:c r="K16" s="103" t="n">
        <x:f>MIN(I16,F16*J16)</x:f>
        <x:v>6.466142790358898</x:v>
      </x:c>
      <x:c r="L16" s="103" t="n">
        <x:f>'Inputs &amp; Guide'!$B$5</x:f>
        <x:v>15</x:v>
      </x:c>
      <x:c r="M16" s="103" t="n">
        <x:f>I16*'Inputs &amp; Guide'!$B$6</x:f>
        <x:v>4.6659686375229805</x:v>
      </x:c>
      <x:c r="N16" s="103" t="n">
        <x:f>MAX(0,MIN(K16-L16,M16))</x:f>
        <x:v>0</x:v>
      </x:c>
      <x:c r="O16" s="103" t="n">
        <x:f>MAX(0,N16-'Inputs &amp; Guide'!$B$7)</x:f>
        <x:v>0</x:v>
      </x:c>
      <x:c r="P16" s="103" t="n">
        <x:f>N16-O16</x:f>
        <x:v>0</x:v>
      </x:c>
      <x:c r="Q16" s="103" t="n">
        <x:f>I16*'Inputs &amp; Guide'!$B$8</x:f>
        <x:v>0.1527044281371157</x:v>
      </x:c>
      <x:c r="R16" s="104" t="n">
        <x:f>IFERROR(P16/Q16,0)</x:f>
        <x:v>0</x:v>
      </x:c>
      <x:c r="S16" s="105" t="n">
        <x:f>ROUND(E16*XLOOKUP(C16,'Reference Tables'!$E$4:$E$12,'Reference Tables'!$G$4:$G$12,1),1)</x:f>
        <x:v>1.3</x:v>
      </x:c>
      <x:c r="T16" s="106" t="str">
        <x:f>IF(R16&gt;='Inputs &amp; Guide'!$B$9,"HIGH",IF(R16&gt;=0.45,"WATCH","NORMAL"))</x:f>
        <x:v>NORMAL</x:v>
      </x:c>
    </x:row>
    <x:row r="17">
      <x:c r="A17" s="95" t="n">
        <x:v>105</x:v>
      </x:c>
      <x:c r="B17" s="96" t="n">
        <x:v>45296.104166666664</x:v>
      </x:c>
      <x:c r="C17" s="97" t="str">
        <x:v>Tornado</x:v>
      </x:c>
      <x:c r="D17" s="97" t="str">
        <x:v>Brazil</x:v>
      </x:c>
      <x:c r="E17" s="98" t="n">
        <x:v>4.369512173322407</x:v>
      </x:c>
      <x:c r="F17" s="99" t="n">
        <x:v>686.8643944843362</x:v>
      </x:c>
      <x:c r="G17" s="100" t="str">
        <x:f>XLOOKUP(D17,'Reference Tables'!$A$4:$A$23,'Reference Tables'!$B$4:$B$23,"Other")</x:f>
        <x:v>Latin America</x:v>
      </x:c>
      <x:c r="H17" s="100" t="str">
        <x:f>VLOOKUP(G17,'Reference Tables'!$I$4:$J$9,2,FALSE)</x:f>
        <x:v>Moderate</x:v>
      </x:c>
      <x:c r="I17" s="101" t="n">
        <x:f>F17*'Inputs &amp; Guide'!$B$4*XLOOKUP(D17,'Reference Tables'!$A$4:$A$23,'Reference Tables'!$C$4:$C$23,0.75)</x:f>
        <x:v>90.11660855634491</x:v>
      </x:c>
      <x:c r="J17" s="102" t="n">
        <x:f>XLOOKUP(C17,'Reference Tables'!$E$4:$E$12,'Reference Tables'!$F$4:$F$12,0.05)</x:f>
        <x:v>0.09</x:v>
      </x:c>
      <x:c r="K17" s="103" t="n">
        <x:f>MIN(I17,F17*J17)</x:f>
        <x:v>61.81779550359026</x:v>
      </x:c>
      <x:c r="L17" s="103" t="n">
        <x:f>'Inputs &amp; Guide'!$B$5</x:f>
        <x:v>15</x:v>
      </x:c>
      <x:c r="M17" s="103" t="n">
        <x:f>I17*'Inputs &amp; Guide'!$B$6</x:f>
        <x:v>49.56413470598971</x:v>
      </x:c>
      <x:c r="N17" s="103" t="n">
        <x:f>MAX(0,MIN(K17-L17,M17))</x:f>
        <x:v>46.81779550359026</x:v>
      </x:c>
      <x:c r="O17" s="103" t="n">
        <x:f>MAX(0,N17-'Inputs &amp; Guide'!$B$7)</x:f>
        <x:v>0</x:v>
      </x:c>
      <x:c r="P17" s="103" t="n">
        <x:f>N17-O17</x:f>
        <x:v>46.81779550359026</x:v>
      </x:c>
      <x:c r="Q17" s="103" t="n">
        <x:f>I17*'Inputs &amp; Guide'!$B$8</x:f>
        <x:v>1.6220989540142083</x:v>
      </x:c>
      <x:c r="R17" s="104" t="n">
        <x:f>IFERROR(P17/Q17,0)</x:f>
        <x:v>28.86247807985466</x:v>
      </x:c>
      <x:c r="S17" s="105" t="n">
        <x:f>ROUND(E17*XLOOKUP(C17,'Reference Tables'!$E$4:$E$12,'Reference Tables'!$G$4:$G$12,1),1)</x:f>
        <x:v>4.6</x:v>
      </x:c>
      <x:c r="T17" s="106" t="str">
        <x:f>IF(R17&gt;='Inputs &amp; Guide'!$B$9,"HIGH",IF(R17&gt;=0.45,"WATCH","NORMAL"))</x:f>
        <x:v>HIGH</x:v>
      </x:c>
    </x:row>
    <x:row r="18">
      <x:c r="A18" s="95" t="n">
        <x:v>113</x:v>
      </x:c>
      <x:c r="B18" s="96" t="n">
        <x:v>45296.4375</x:v>
      </x:c>
      <x:c r="C18" s="97" t="str">
        <x:v>Tornado</x:v>
      </x:c>
      <x:c r="D18" s="97" t="str">
        <x:v>China</x:v>
      </x:c>
      <x:c r="E18" s="98" t="n">
        <x:v>3.616343002808046</x:v>
      </x:c>
      <x:c r="F18" s="99" t="n">
        <x:v>499.8389125535246</x:v>
      </x:c>
      <x:c r="G18" s="100" t="str">
        <x:f>XLOOKUP(D18,'Reference Tables'!$A$4:$A$23,'Reference Tables'!$B$4:$B$23,"Other")</x:f>
        <x:v>Asia Pacific</x:v>
      </x:c>
      <x:c r="H18" s="100" t="str">
        <x:f>VLOOKUP(G18,'Reference Tables'!$I$4:$J$9,2,FALSE)</x:f>
        <x:v>High</x:v>
      </x:c>
      <x:c r="I18" s="101" t="n">
        <x:f>F18*'Inputs &amp; Guide'!$B$4*XLOOKUP(D18,'Reference Tables'!$A$4:$A$23,'Reference Tables'!$C$4:$C$23,0.75)</x:f>
        <x:v>86.37216408924907</x:v>
      </x:c>
      <x:c r="J18" s="102" t="n">
        <x:f>XLOOKUP(C18,'Reference Tables'!$E$4:$E$12,'Reference Tables'!$F$4:$F$12,0.05)</x:f>
        <x:v>0.09</x:v>
      </x:c>
      <x:c r="K18" s="103" t="n">
        <x:f>MIN(I18,F18*J18)</x:f>
        <x:v>44.98550212981721</x:v>
      </x:c>
      <x:c r="L18" s="103" t="n">
        <x:f>'Inputs &amp; Guide'!$B$5</x:f>
        <x:v>15</x:v>
      </x:c>
      <x:c r="M18" s="103" t="n">
        <x:f>I18*'Inputs &amp; Guide'!$B$6</x:f>
        <x:v>47.50469024908699</x:v>
      </x:c>
      <x:c r="N18" s="103" t="n">
        <x:f>MAX(0,MIN(K18-L18,M18))</x:f>
        <x:v>29.985502129817213</x:v>
      </x:c>
      <x:c r="O18" s="103" t="n">
        <x:f>MAX(0,N18-'Inputs &amp; Guide'!$B$7)</x:f>
        <x:v>0</x:v>
      </x:c>
      <x:c r="P18" s="103" t="n">
        <x:f>N18-O18</x:f>
        <x:v>29.985502129817213</x:v>
      </x:c>
      <x:c r="Q18" s="103" t="n">
        <x:f>I18*'Inputs &amp; Guide'!$B$8</x:f>
        <x:v>1.554698953606483</x:v>
      </x:c>
      <x:c r="R18" s="104" t="n">
        <x:f>IFERROR(P18/Q18,0)</x:f>
        <x:v>19.287015058612422</x:v>
      </x:c>
      <x:c r="S18" s="105" t="n">
        <x:f>ROUND(E18*XLOOKUP(C18,'Reference Tables'!$E$4:$E$12,'Reference Tables'!$G$4:$G$12,1),1)</x:f>
        <x:v>3.8</x:v>
      </x:c>
      <x:c r="T18" s="106" t="str">
        <x:f>IF(R18&gt;='Inputs &amp; Guide'!$B$9,"HIGH",IF(R18&gt;=0.45,"WATCH","NORMAL"))</x:f>
        <x:v>HIGH</x:v>
      </x:c>
    </x:row>
    <x:row r="19">
      <x:c r="A19" s="95" t="n">
        <x:v>121</x:v>
      </x:c>
      <x:c r="B19" s="96" t="n">
        <x:v>45297</x:v>
      </x:c>
      <x:c r="C19" s="97" t="str">
        <x:v>Earthquake</x:v>
      </x:c>
      <x:c r="D19" s="97" t="str">
        <x:v>Japan</x:v>
      </x:c>
      <x:c r="E19" s="98" t="n">
        <x:v>8.422013012898388</x:v>
      </x:c>
      <x:c r="F19" s="99" t="n">
        <x:v>789.6677064060827</x:v>
      </x:c>
      <x:c r="G19" s="100" t="str">
        <x:f>XLOOKUP(D19,'Reference Tables'!$A$4:$A$23,'Reference Tables'!$B$4:$B$23,"Other")</x:f>
        <x:v>Asia Pacific</x:v>
      </x:c>
      <x:c r="H19" s="100" t="str">
        <x:f>VLOOKUP(G19,'Reference Tables'!$I$4:$J$9,2,FALSE)</x:f>
        <x:v>High</x:v>
      </x:c>
      <x:c r="I19" s="101" t="n">
        <x:f>F19*'Inputs &amp; Guide'!$B$4*XLOOKUP(D19,'Reference Tables'!$A$4:$A$23,'Reference Tables'!$C$4:$C$23,0.75)</x:f>
        <x:v>149.08926296946842</x:v>
      </x:c>
      <x:c r="J19" s="102" t="n">
        <x:f>XLOOKUP(C19,'Reference Tables'!$E$4:$E$12,'Reference Tables'!$F$4:$F$12,0.05)</x:f>
        <x:v>0.14</x:v>
      </x:c>
      <x:c r="K19" s="103" t="n">
        <x:f>MIN(I19,F19*J19)</x:f>
        <x:v>110.5534788968516</x:v>
      </x:c>
      <x:c r="L19" s="103" t="n">
        <x:f>'Inputs &amp; Guide'!$B$5</x:f>
        <x:v>15</x:v>
      </x:c>
      <x:c r="M19" s="103" t="n">
        <x:f>I19*'Inputs &amp; Guide'!$B$6</x:f>
        <x:v>81.99909463320763</x:v>
      </x:c>
      <x:c r="N19" s="103" t="n">
        <x:f>MAX(0,MIN(K19-L19,M19))</x:f>
        <x:v>81.99909463320763</x:v>
      </x:c>
      <x:c r="O19" s="103" t="n">
        <x:f>MAX(0,N19-'Inputs &amp; Guide'!$B$7)</x:f>
        <x:v>21.999094633207633</x:v>
      </x:c>
      <x:c r="P19" s="103" t="n">
        <x:f>N19-O19</x:f>
        <x:v>60</x:v>
      </x:c>
      <x:c r="Q19" s="103" t="n">
        <x:f>I19*'Inputs &amp; Guide'!$B$8</x:f>
        <x:v>2.683606733450431</x:v>
      </x:c>
      <x:c r="R19" s="104" t="n">
        <x:f>IFERROR(P19/Q19,0)</x:f>
        <x:v>22.357970432894003</x:v>
      </x:c>
      <x:c r="S19" s="105" t="n">
        <x:f>ROUND(E19*XLOOKUP(C19,'Reference Tables'!$E$4:$E$12,'Reference Tables'!$G$4:$G$12,1),1)</x:f>
        <x:v>12.6</x:v>
      </x:c>
      <x:c r="T19" s="106" t="str">
        <x:f>IF(R19&gt;='Inputs &amp; Guide'!$B$9,"HIGH",IF(R19&gt;=0.45,"WATCH","NORMAL"))</x:f>
        <x:v>HIGH</x:v>
      </x:c>
    </x:row>
    <x:row r="20">
      <x:c r="A20" s="95" t="n">
        <x:v>129</x:v>
      </x:c>
      <x:c r="B20" s="96" t="n">
        <x:v>45297.104166666664</x:v>
      </x:c>
      <x:c r="C20" s="97" t="str">
        <x:v>Earthquake</x:v>
      </x:c>
      <x:c r="D20" s="97" t="str">
        <x:v>Indonesia</x:v>
      </x:c>
      <x:c r="E20" s="98" t="n">
        <x:v>8.532080114903112</x:v>
      </x:c>
      <x:c r="F20" s="99" t="n">
        <x:v>387.07531896366766</x:v>
      </x:c>
      <x:c r="G20" s="100" t="str">
        <x:f>XLOOKUP(D20,'Reference Tables'!$A$4:$A$23,'Reference Tables'!$B$4:$B$23,"Other")</x:f>
        <x:v>Asia Pacific</x:v>
      </x:c>
      <x:c r="H20" s="100" t="str">
        <x:f>VLOOKUP(G20,'Reference Tables'!$I$4:$J$9,2,FALSE)</x:f>
        <x:v>High</x:v>
      </x:c>
      <x:c r="I20" s="101" t="n">
        <x:f>F20*'Inputs &amp; Guide'!$B$4*XLOOKUP(D20,'Reference Tables'!$A$4:$A$23,'Reference Tables'!$C$4:$C$23,0.75)</x:f>
        <x:v>63.790012565212436</x:v>
      </x:c>
      <x:c r="J20" s="102" t="n">
        <x:f>XLOOKUP(C20,'Reference Tables'!$E$4:$E$12,'Reference Tables'!$F$4:$F$12,0.05)</x:f>
        <x:v>0.14</x:v>
      </x:c>
      <x:c r="K20" s="103" t="n">
        <x:f>MIN(I20,F20*J20)</x:f>
        <x:v>54.190544654913474</x:v>
      </x:c>
      <x:c r="L20" s="103" t="n">
        <x:f>'Inputs &amp; Guide'!$B$5</x:f>
        <x:v>15</x:v>
      </x:c>
      <x:c r="M20" s="103" t="n">
        <x:f>I20*'Inputs &amp; Guide'!$B$6</x:f>
        <x:v>35.08450691086684</x:v>
      </x:c>
      <x:c r="N20" s="103" t="n">
        <x:f>MAX(0,MIN(K20-L20,M20))</x:f>
        <x:v>35.08450691086684</x:v>
      </x:c>
      <x:c r="O20" s="103" t="n">
        <x:f>MAX(0,N20-'Inputs &amp; Guide'!$B$7)</x:f>
        <x:v>0</x:v>
      </x:c>
      <x:c r="P20" s="103" t="n">
        <x:f>N20-O20</x:f>
        <x:v>35.08450691086684</x:v>
      </x:c>
      <x:c r="Q20" s="103" t="n">
        <x:f>I20*'Inputs &amp; Guide'!$B$8</x:f>
        <x:v>1.1482202261738237</x:v>
      </x:c>
      <x:c r="R20" s="104" t="n">
        <x:f>IFERROR(P20/Q20,0)</x:f>
        <x:v>30.55555555555556</x:v>
      </x:c>
      <x:c r="S20" s="105" t="n">
        <x:f>ROUND(E20*XLOOKUP(C20,'Reference Tables'!$E$4:$E$12,'Reference Tables'!$G$4:$G$12,1),1)</x:f>
        <x:v>12.8</x:v>
      </x:c>
      <x:c r="T20" s="106" t="str">
        <x:f>IF(R20&gt;='Inputs &amp; Guide'!$B$9,"HIGH",IF(R20&gt;=0.45,"WATCH","NORMAL"))</x:f>
        <x:v>HIGH</x:v>
      </x:c>
    </x:row>
    <x:row r="21">
      <x:c r="A21" s="95" t="n">
        <x:v>137</x:v>
      </x:c>
      <x:c r="B21" s="96" t="n">
        <x:v>45297.4375</x:v>
      </x:c>
      <x:c r="C21" s="97" t="str">
        <x:v>Hurricane</x:v>
      </x:c>
      <x:c r="D21" s="97" t="str">
        <x:v>India</x:v>
      </x:c>
      <x:c r="E21" s="98" t="n">
        <x:v>5.012684530215269</x:v>
      </x:c>
      <x:c r="F21" s="99" t="n">
        <x:v>495.2779873797848</x:v>
      </x:c>
      <x:c r="G21" s="100" t="str">
        <x:f>XLOOKUP(D21,'Reference Tables'!$A$4:$A$23,'Reference Tables'!$B$4:$B$23,"Other")</x:f>
        <x:v>Asia Pacific</x:v>
      </x:c>
      <x:c r="H21" s="100" t="str">
        <x:f>VLOOKUP(G21,'Reference Tables'!$I$4:$J$9,2,FALSE)</x:f>
        <x:v>High</x:v>
      </x:c>
      <x:c r="I21" s="101" t="n">
        <x:f>F21*'Inputs &amp; Guide'!$B$4*XLOOKUP(D21,'Reference Tables'!$A$4:$A$23,'Reference Tables'!$C$4:$C$23,0.75)</x:f>
        <x:v>72.11247496249666</x:v>
      </x:c>
      <x:c r="J21" s="102" t="n">
        <x:f>XLOOKUP(C21,'Reference Tables'!$E$4:$E$12,'Reference Tables'!$F$4:$F$12,0.05)</x:f>
        <x:v>0.18</x:v>
      </x:c>
      <x:c r="K21" s="103" t="n">
        <x:f>MIN(I21,F21*J21)</x:f>
        <x:v>72.11247496249666</x:v>
      </x:c>
      <x:c r="L21" s="103" t="n">
        <x:f>'Inputs &amp; Guide'!$B$5</x:f>
        <x:v>15</x:v>
      </x:c>
      <x:c r="M21" s="103" t="n">
        <x:f>I21*'Inputs &amp; Guide'!$B$6</x:f>
        <x:v>39.661861229373166</x:v>
      </x:c>
      <x:c r="N21" s="103" t="n">
        <x:f>MAX(0,MIN(K21-L21,M21))</x:f>
        <x:v>39.661861229373166</x:v>
      </x:c>
      <x:c r="O21" s="103" t="n">
        <x:f>MAX(0,N21-'Inputs &amp; Guide'!$B$7)</x:f>
        <x:v>0</x:v>
      </x:c>
      <x:c r="P21" s="103" t="n">
        <x:f>N21-O21</x:f>
        <x:v>39.661861229373166</x:v>
      </x:c>
      <x:c r="Q21" s="103" t="n">
        <x:f>I21*'Inputs &amp; Guide'!$B$8</x:f>
        <x:v>1.2980245493249398</x:v>
      </x:c>
      <x:c r="R21" s="104" t="n">
        <x:f>IFERROR(P21/Q21,0)</x:f>
        <x:v>30.55555555555556</x:v>
      </x:c>
      <x:c r="S21" s="105" t="n">
        <x:f>ROUND(E21*XLOOKUP(C21,'Reference Tables'!$E$4:$E$12,'Reference Tables'!$G$4:$G$12,1),1)</x:f>
        <x:v>7</x:v>
      </x:c>
      <x:c r="T21" s="106" t="str">
        <x:f>IF(R21&gt;='Inputs &amp; Guide'!$B$9,"HIGH",IF(R21&gt;=0.45,"WATCH","NORMAL"))</x:f>
        <x:v>HIGH</x:v>
      </x:c>
    </x:row>
    <x:row r="22">
      <x:c r="A22" s="95" t="n">
        <x:v>145</x:v>
      </x:c>
      <x:c r="B22" s="96" t="n">
        <x:v>45298</x:v>
      </x:c>
      <x:c r="C22" s="97" t="str">
        <x:v>Wildfire</x:v>
      </x:c>
      <x:c r="D22" s="97" t="str">
        <x:v>Japan</x:v>
      </x:c>
      <x:c r="E22" s="98" t="n">
        <x:v>9.482560097617252</x:v>
      </x:c>
      <x:c r="F22" s="99" t="n">
        <x:v>767.0147666610676</x:v>
      </x:c>
      <x:c r="G22" s="100" t="str">
        <x:f>XLOOKUP(D22,'Reference Tables'!$A$4:$A$23,'Reference Tables'!$B$4:$B$23,"Other")</x:f>
        <x:v>Asia Pacific</x:v>
      </x:c>
      <x:c r="H22" s="100" t="str">
        <x:f>VLOOKUP(G22,'Reference Tables'!$I$4:$J$9,2,FALSE)</x:f>
        <x:v>High</x:v>
      </x:c>
      <x:c r="I22" s="101" t="n">
        <x:f>F22*'Inputs &amp; Guide'!$B$4*XLOOKUP(D22,'Reference Tables'!$A$4:$A$23,'Reference Tables'!$C$4:$C$23,0.75)</x:f>
        <x:v>144.81238794560954</x:v>
      </x:c>
      <x:c r="J22" s="102" t="n">
        <x:f>XLOOKUP(C22,'Reference Tables'!$E$4:$E$12,'Reference Tables'!$F$4:$F$12,0.05)</x:f>
        <x:v>0.1</x:v>
      </x:c>
      <x:c r="K22" s="103" t="n">
        <x:f>MIN(I22,F22*J22)</x:f>
        <x:v>76.70147666610676</x:v>
      </x:c>
      <x:c r="L22" s="103" t="n">
        <x:f>'Inputs &amp; Guide'!$B$5</x:f>
        <x:v>15</x:v>
      </x:c>
      <x:c r="M22" s="103" t="n">
        <x:f>I22*'Inputs &amp; Guide'!$B$6</x:f>
        <x:v>79.64681337008525</x:v>
      </x:c>
      <x:c r="N22" s="103" t="n">
        <x:f>MAX(0,MIN(K22-L22,M22))</x:f>
        <x:v>61.70147666610676</x:v>
      </x:c>
      <x:c r="O22" s="103" t="n">
        <x:f>MAX(0,N22-'Inputs &amp; Guide'!$B$7)</x:f>
        <x:v>1.7014766661067569</x:v>
      </x:c>
      <x:c r="P22" s="103" t="n">
        <x:f>N22-O22</x:f>
        <x:v>60</x:v>
      </x:c>
      <x:c r="Q22" s="103" t="n">
        <x:f>I22*'Inputs &amp; Guide'!$B$8</x:f>
        <x:v>2.6066229830209715</x:v>
      </x:c>
      <x:c r="R22" s="104" t="n">
        <x:f>IFERROR(P22/Q22,0)</x:f>
        <x:v>23.018288563719487</x:v>
      </x:c>
      <x:c r="S22" s="105" t="n">
        <x:f>ROUND(E22*XLOOKUP(C22,'Reference Tables'!$E$4:$E$12,'Reference Tables'!$G$4:$G$12,1),1)</x:f>
        <x:v>10.9</x:v>
      </x:c>
      <x:c r="T22" s="106" t="str">
        <x:f>IF(R22&gt;='Inputs &amp; Guide'!$B$9,"HIGH",IF(R22&gt;=0.45,"WATCH","NORMAL"))</x:f>
        <x:v>HIGH</x:v>
      </x:c>
    </x:row>
    <x:row r="23">
      <x:c r="A23" s="95" t="n">
        <x:v>153</x:v>
      </x:c>
      <x:c r="B23" s="96" t="n">
        <x:v>45298.104166666664</x:v>
      </x:c>
      <x:c r="C23" s="97" t="str">
        <x:v>Tornado</x:v>
      </x:c>
      <x:c r="D23" s="97" t="str">
        <x:v>USA</x:v>
      </x:c>
      <x:c r="E23" s="98" t="n">
        <x:v>8.955033759033473</x:v>
      </x:c>
      <x:c r="F23" s="99" t="n">
        <x:v>447.23675874520495</x:v>
      </x:c>
      <x:c r="G23" s="100" t="str">
        <x:f>XLOOKUP(D23,'Reference Tables'!$A$4:$A$23,'Reference Tables'!$B$4:$B$23,"Other")</x:f>
        <x:v>Other</x:v>
      </x:c>
      <x:c r="H23" s="100" t="str">
        <x:f>VLOOKUP(G23,'Reference Tables'!$I$4:$J$9,2,FALSE)</x:f>
        <x:v>Moderate</x:v>
      </x:c>
      <x:c r="I23" s="101" t="n">
        <x:f>F23*'Inputs &amp; Guide'!$B$4*XLOOKUP(D23,'Reference Tables'!$A$4:$A$23,'Reference Tables'!$C$4:$C$23,0.75)</x:f>
        <x:v>53.6684110494246</x:v>
      </x:c>
      <x:c r="J23" s="102" t="n">
        <x:f>XLOOKUP(C23,'Reference Tables'!$E$4:$E$12,'Reference Tables'!$F$4:$F$12,0.05)</x:f>
        <x:v>0.09</x:v>
      </x:c>
      <x:c r="K23" s="103" t="n">
        <x:f>MIN(I23,F23*J23)</x:f>
        <x:v>40.25130828706845</x:v>
      </x:c>
      <x:c r="L23" s="103" t="n">
        <x:f>'Inputs &amp; Guide'!$B$5</x:f>
        <x:v>15</x:v>
      </x:c>
      <x:c r="M23" s="103" t="n">
        <x:f>I23*'Inputs &amp; Guide'!$B$6</x:f>
        <x:v>29.517626077183532</x:v>
      </x:c>
      <x:c r="N23" s="103" t="n">
        <x:f>MAX(0,MIN(K23-L23,M23))</x:f>
        <x:v>25.251308287068447</x:v>
      </x:c>
      <x:c r="O23" s="103" t="n">
        <x:f>MAX(0,N23-'Inputs &amp; Guide'!$B$7)</x:f>
        <x:v>0</x:v>
      </x:c>
      <x:c r="P23" s="103" t="n">
        <x:f>N23-O23</x:f>
        <x:v>25.251308287068447</x:v>
      </x:c>
      <x:c r="Q23" s="103" t="n">
        <x:f>I23*'Inputs &amp; Guide'!$B$8</x:f>
        <x:v>0.9660313988896427</x:v>
      </x:c>
      <x:c r="R23" s="104" t="n">
        <x:f>IFERROR(P23/Q23,0)</x:f>
        <x:v>26.13922106061182</x:v>
      </x:c>
      <x:c r="S23" s="105" t="n">
        <x:f>ROUND(E23*XLOOKUP(C23,'Reference Tables'!$E$4:$E$12,'Reference Tables'!$G$4:$G$12,1),1)</x:f>
        <x:v>9.4</x:v>
      </x:c>
      <x:c r="T23" s="106" t="str">
        <x:f>IF(R23&gt;='Inputs &amp; Guide'!$B$9,"HIGH",IF(R23&gt;=0.45,"WATCH","NORMAL"))</x:f>
        <x:v>HIGH</x:v>
      </x:c>
    </x:row>
    <x:row r="24">
      <x:c r="A24" s="95" t="n">
        <x:v>161</x:v>
      </x:c>
      <x:c r="B24" s="96" t="n">
        <x:v>45298.4375</x:v>
      </x:c>
      <x:c r="C24" s="97" t="str">
        <x:v>Wildfire</x:v>
      </x:c>
      <x:c r="D24" s="97" t="str">
        <x:v>China</x:v>
      </x:c>
      <x:c r="E24" s="98" t="n">
        <x:v>9.335068697838233</x:v>
      </x:c>
      <x:c r="F24" s="99" t="n">
        <x:v>161.17040048422282</x:v>
      </x:c>
      <x:c r="G24" s="100" t="str">
        <x:f>XLOOKUP(D24,'Reference Tables'!$A$4:$A$23,'Reference Tables'!$B$4:$B$23,"Other")</x:f>
        <x:v>Asia Pacific</x:v>
      </x:c>
      <x:c r="H24" s="100" t="str">
        <x:f>VLOOKUP(G24,'Reference Tables'!$I$4:$J$9,2,FALSE)</x:f>
        <x:v>High</x:v>
      </x:c>
      <x:c r="I24" s="101" t="n">
        <x:f>F24*'Inputs &amp; Guide'!$B$4*XLOOKUP(D24,'Reference Tables'!$A$4:$A$23,'Reference Tables'!$C$4:$C$23,0.75)</x:f>
        <x:v>27.850245203673705</x:v>
      </x:c>
      <x:c r="J24" s="102" t="n">
        <x:f>XLOOKUP(C24,'Reference Tables'!$E$4:$E$12,'Reference Tables'!$F$4:$F$12,0.05)</x:f>
        <x:v>0.1</x:v>
      </x:c>
      <x:c r="K24" s="103" t="n">
        <x:f>MIN(I24,F24*J24)</x:f>
        <x:v>16.117040048422282</x:v>
      </x:c>
      <x:c r="L24" s="103" t="n">
        <x:f>'Inputs &amp; Guide'!$B$5</x:f>
        <x:v>15</x:v>
      </x:c>
      <x:c r="M24" s="103" t="n">
        <x:f>I24*'Inputs &amp; Guide'!$B$6</x:f>
        <x:v>15.317634862020538</x:v>
      </x:c>
      <x:c r="N24" s="103" t="n">
        <x:f>MAX(0,MIN(K24-L24,M24))</x:f>
        <x:v>1.1170400484222824</x:v>
      </x:c>
      <x:c r="O24" s="103" t="n">
        <x:f>MAX(0,N24-'Inputs &amp; Guide'!$B$7)</x:f>
        <x:v>0</x:v>
      </x:c>
      <x:c r="P24" s="103" t="n">
        <x:f>N24-O24</x:f>
        <x:v>1.1170400484222824</x:v>
      </x:c>
      <x:c r="Q24" s="103" t="n">
        <x:f>I24*'Inputs &amp; Guide'!$B$8</x:f>
        <x:v>0.5013044136661267</x:v>
      </x:c>
      <x:c r="R24" s="104" t="n">
        <x:f>IFERROR(P24/Q24,0)</x:f>
        <x:v>2.2282669331657656</x:v>
      </x:c>
      <x:c r="S24" s="105" t="n">
        <x:f>ROUND(E24*XLOOKUP(C24,'Reference Tables'!$E$4:$E$12,'Reference Tables'!$G$4:$G$12,1),1)</x:f>
        <x:v>10.7</x:v>
      </x:c>
      <x:c r="T24" s="106" t="str">
        <x:f>IF(R24&gt;='Inputs &amp; Guide'!$B$9,"HIGH",IF(R24&gt;=0.45,"WATCH","NORMAL"))</x:f>
        <x:v>HIGH</x:v>
      </x:c>
    </x:row>
    <x:row r="25">
      <x:c r="A25" s="95" t="n">
        <x:v>169</x:v>
      </x:c>
      <x:c r="B25" s="96" t="n">
        <x:v>45299</x:v>
      </x:c>
      <x:c r="C25" s="97" t="str">
        <x:v>Earthquake</x:v>
      </x:c>
      <x:c r="D25" s="97" t="str">
        <x:v>China</x:v>
      </x:c>
      <x:c r="E25" s="98" t="n">
        <x:v>7.9878258629792676</x:v>
      </x:c>
      <x:c r="F25" s="99" t="n">
        <x:v>212.53433655437686</x:v>
      </x:c>
      <x:c r="G25" s="100" t="str">
        <x:f>XLOOKUP(D25,'Reference Tables'!$A$4:$A$23,'Reference Tables'!$B$4:$B$23,"Other")</x:f>
        <x:v>Asia Pacific</x:v>
      </x:c>
      <x:c r="H25" s="100" t="str">
        <x:f>VLOOKUP(G25,'Reference Tables'!$I$4:$J$9,2,FALSE)</x:f>
        <x:v>High</x:v>
      </x:c>
      <x:c r="I25" s="101" t="n">
        <x:f>F25*'Inputs &amp; Guide'!$B$4*XLOOKUP(D25,'Reference Tables'!$A$4:$A$23,'Reference Tables'!$C$4:$C$23,0.75)</x:f>
        <x:v>36.72593335659632</x:v>
      </x:c>
      <x:c r="J25" s="102" t="n">
        <x:f>XLOOKUP(C25,'Reference Tables'!$E$4:$E$12,'Reference Tables'!$F$4:$F$12,0.05)</x:f>
        <x:v>0.14</x:v>
      </x:c>
      <x:c r="K25" s="103" t="n">
        <x:f>MIN(I25,F25*J25)</x:f>
        <x:v>29.754807117612764</x:v>
      </x:c>
      <x:c r="L25" s="103" t="n">
        <x:f>'Inputs &amp; Guide'!$B$5</x:f>
        <x:v>15</x:v>
      </x:c>
      <x:c r="M25" s="103" t="n">
        <x:f>I25*'Inputs &amp; Guide'!$B$6</x:f>
        <x:v>20.199263346127978</x:v>
      </x:c>
      <x:c r="N25" s="103" t="n">
        <x:f>MAX(0,MIN(K25-L25,M25))</x:f>
        <x:v>14.754807117612764</x:v>
      </x:c>
      <x:c r="O25" s="103" t="n">
        <x:f>MAX(0,N25-'Inputs &amp; Guide'!$B$7)</x:f>
        <x:v>0</x:v>
      </x:c>
      <x:c r="P25" s="103" t="n">
        <x:f>N25-O25</x:f>
        <x:v>14.754807117612764</x:v>
      </x:c>
      <x:c r="Q25" s="103" t="n">
        <x:f>I25*'Inputs &amp; Guide'!$B$8</x:f>
        <x:v>0.6610668004187338</x:v>
      </x:c>
      <x:c r="R25" s="104" t="n">
        <x:f>IFERROR(P25/Q25,0)</x:f>
        <x:v>22.319691607968746</x:v>
      </x:c>
      <x:c r="S25" s="105" t="n">
        <x:f>ROUND(E25*XLOOKUP(C25,'Reference Tables'!$E$4:$E$12,'Reference Tables'!$G$4:$G$12,1),1)</x:f>
        <x:v>12</x:v>
      </x:c>
      <x:c r="T25" s="106" t="str">
        <x:f>IF(R25&gt;='Inputs &amp; Guide'!$B$9,"HIGH",IF(R25&gt;=0.45,"WATCH","NORMAL"))</x:f>
        <x:v>HIGH</x:v>
      </x:c>
    </x:row>
    <x:row r="26">
      <x:c r="A26" s="95" t="n">
        <x:v>177</x:v>
      </x:c>
      <x:c r="B26" s="96" t="n">
        <x:v>45299.104166666664</x:v>
      </x:c>
      <x:c r="C26" s="97" t="str">
        <x:v>Earthquake</x:v>
      </x:c>
      <x:c r="D26" s="97" t="str">
        <x:v>China</x:v>
      </x:c>
      <x:c r="E26" s="98" t="n">
        <x:v>3.5319934064666936</x:v>
      </x:c>
      <x:c r="F26" s="99" t="n">
        <x:v>467.669029264292</x:v>
      </x:c>
      <x:c r="G26" s="100" t="str">
        <x:f>XLOOKUP(D26,'Reference Tables'!$A$4:$A$23,'Reference Tables'!$B$4:$B$23,"Other")</x:f>
        <x:v>Asia Pacific</x:v>
      </x:c>
      <x:c r="H26" s="100" t="str">
        <x:f>VLOOKUP(G26,'Reference Tables'!$I$4:$J$9,2,FALSE)</x:f>
        <x:v>High</x:v>
      </x:c>
      <x:c r="I26" s="101" t="n">
        <x:f>F26*'Inputs &amp; Guide'!$B$4*XLOOKUP(D26,'Reference Tables'!$A$4:$A$23,'Reference Tables'!$C$4:$C$23,0.75)</x:f>
        <x:v>80.81320825686967</x:v>
      </x:c>
      <x:c r="J26" s="102" t="n">
        <x:f>XLOOKUP(C26,'Reference Tables'!$E$4:$E$12,'Reference Tables'!$F$4:$F$12,0.05)</x:f>
        <x:v>0.14</x:v>
      </x:c>
      <x:c r="K26" s="103" t="n">
        <x:f>MIN(I26,F26*J26)</x:f>
        <x:v>65.47366409700089</x:v>
      </x:c>
      <x:c r="L26" s="103" t="n">
        <x:f>'Inputs &amp; Guide'!$B$5</x:f>
        <x:v>15</x:v>
      </x:c>
      <x:c r="M26" s="103" t="n">
        <x:f>I26*'Inputs &amp; Guide'!$B$6</x:f>
        <x:v>44.44726454127832</x:v>
      </x:c>
      <x:c r="N26" s="103" t="n">
        <x:f>MAX(0,MIN(K26-L26,M26))</x:f>
        <x:v>44.44726454127832</x:v>
      </x:c>
      <x:c r="O26" s="103" t="n">
        <x:f>MAX(0,N26-'Inputs &amp; Guide'!$B$7)</x:f>
        <x:v>0</x:v>
      </x:c>
      <x:c r="P26" s="103" t="n">
        <x:f>N26-O26</x:f>
        <x:v>44.44726454127832</x:v>
      </x:c>
      <x:c r="Q26" s="103" t="n">
        <x:f>I26*'Inputs &amp; Guide'!$B$8</x:f>
        <x:v>1.454637748623654</x:v>
      </x:c>
      <x:c r="R26" s="104" t="n">
        <x:f>IFERROR(P26/Q26,0)</x:f>
        <x:v>30.55555555555556</x:v>
      </x:c>
      <x:c r="S26" s="105" t="n">
        <x:f>ROUND(E26*XLOOKUP(C26,'Reference Tables'!$E$4:$E$12,'Reference Tables'!$G$4:$G$12,1),1)</x:f>
        <x:v>5.3</x:v>
      </x:c>
      <x:c r="T26" s="106" t="str">
        <x:f>IF(R26&gt;='Inputs &amp; Guide'!$B$9,"HIGH",IF(R26&gt;=0.45,"WATCH","NORMAL"))</x:f>
        <x:v>HIGH</x:v>
      </x:c>
    </x:row>
    <x:row r="27">
      <x:c r="A27" s="95" t="n">
        <x:v>185</x:v>
      </x:c>
      <x:c r="B27" s="96" t="n">
        <x:v>45299.4375</x:v>
      </x:c>
      <x:c r="C27" s="97" t="str">
        <x:v>Earthquake</x:v>
      </x:c>
      <x:c r="D27" s="97" t="str">
        <x:v>China</x:v>
      </x:c>
      <x:c r="E27" s="98" t="n">
        <x:v>3.576145201348739</x:v>
      </x:c>
      <x:c r="F27" s="99" t="n">
        <x:v>104.31422060558616</x:v>
      </x:c>
      <x:c r="G27" s="100" t="str">
        <x:f>XLOOKUP(D27,'Reference Tables'!$A$4:$A$23,'Reference Tables'!$B$4:$B$23,"Other")</x:f>
        <x:v>Asia Pacific</x:v>
      </x:c>
      <x:c r="H27" s="100" t="str">
        <x:f>VLOOKUP(G27,'Reference Tables'!$I$4:$J$9,2,FALSE)</x:f>
        <x:v>High</x:v>
      </x:c>
      <x:c r="I27" s="101" t="n">
        <x:f>F27*'Inputs &amp; Guide'!$B$4*XLOOKUP(D27,'Reference Tables'!$A$4:$A$23,'Reference Tables'!$C$4:$C$23,0.75)</x:f>
        <x:v>18.02549732064529</x:v>
      </x:c>
      <x:c r="J27" s="102" t="n">
        <x:f>XLOOKUP(C27,'Reference Tables'!$E$4:$E$12,'Reference Tables'!$F$4:$F$12,0.05)</x:f>
        <x:v>0.14</x:v>
      </x:c>
      <x:c r="K27" s="103" t="n">
        <x:f>MIN(I27,F27*J27)</x:f>
        <x:v>14.603990884782064</x:v>
      </x:c>
      <x:c r="L27" s="103" t="n">
        <x:f>'Inputs &amp; Guide'!$B$5</x:f>
        <x:v>15</x:v>
      </x:c>
      <x:c r="M27" s="103" t="n">
        <x:f>I27*'Inputs &amp; Guide'!$B$6</x:f>
        <x:v>9.91402352635491</x:v>
      </x:c>
      <x:c r="N27" s="103" t="n">
        <x:f>MAX(0,MIN(K27-L27,M27))</x:f>
        <x:v>0</x:v>
      </x:c>
      <x:c r="O27" s="103" t="n">
        <x:f>MAX(0,N27-'Inputs &amp; Guide'!$B$7)</x:f>
        <x:v>0</x:v>
      </x:c>
      <x:c r="P27" s="103" t="n">
        <x:f>N27-O27</x:f>
        <x:v>0</x:v>
      </x:c>
      <x:c r="Q27" s="103" t="n">
        <x:f>I27*'Inputs &amp; Guide'!$B$8</x:f>
        <x:v>0.3244589517716152</x:v>
      </x:c>
      <x:c r="R27" s="104" t="n">
        <x:f>IFERROR(P27/Q27,0)</x:f>
        <x:v>0</x:v>
      </x:c>
      <x:c r="S27" s="105" t="n">
        <x:f>ROUND(E27*XLOOKUP(C27,'Reference Tables'!$E$4:$E$12,'Reference Tables'!$G$4:$G$12,1),1)</x:f>
        <x:v>5.4</x:v>
      </x:c>
      <x:c r="T27" s="106" t="str">
        <x:f>IF(R27&gt;='Inputs &amp; Guide'!$B$9,"HIGH",IF(R27&gt;=0.45,"WATCH","NORMAL"))</x:f>
        <x:v>NORMAL</x:v>
      </x:c>
    </x:row>
    <x:row r="28">
      <x:c r="A28" s="95" t="n">
        <x:v>193</x:v>
      </x:c>
      <x:c r="B28" s="96" t="n">
        <x:v>45300</x:v>
      </x:c>
      <x:c r="C28" s="97" t="str">
        <x:v>Tornado</x:v>
      </x:c>
      <x:c r="D28" s="97" t="str">
        <x:v>Brazil</x:v>
      </x:c>
      <x:c r="E28" s="98" t="n">
        <x:v>6.529288229086188</x:v>
      </x:c>
      <x:c r="F28" s="99" t="n">
        <x:v>983.8649556505155</x:v>
      </x:c>
      <x:c r="G28" s="100" t="str">
        <x:f>XLOOKUP(D28,'Reference Tables'!$A$4:$A$23,'Reference Tables'!$B$4:$B$23,"Other")</x:f>
        <x:v>Latin America</x:v>
      </x:c>
      <x:c r="H28" s="100" t="str">
        <x:f>VLOOKUP(G28,'Reference Tables'!$I$4:$J$9,2,FALSE)</x:f>
        <x:v>Moderate</x:v>
      </x:c>
      <x:c r="I28" s="101" t="n">
        <x:f>F28*'Inputs &amp; Guide'!$B$4*XLOOKUP(D28,'Reference Tables'!$A$4:$A$23,'Reference Tables'!$C$4:$C$23,0.75)</x:f>
        <x:v>129.08308218134763</x:v>
      </x:c>
      <x:c r="J28" s="102" t="n">
        <x:f>XLOOKUP(C28,'Reference Tables'!$E$4:$E$12,'Reference Tables'!$F$4:$F$12,0.05)</x:f>
        <x:v>0.09</x:v>
      </x:c>
      <x:c r="K28" s="103" t="n">
        <x:f>MIN(I28,F28*J28)</x:f>
        <x:v>88.5478460085464</x:v>
      </x:c>
      <x:c r="L28" s="103" t="n">
        <x:f>'Inputs &amp; Guide'!$B$5</x:f>
        <x:v>15</x:v>
      </x:c>
      <x:c r="M28" s="103" t="n">
        <x:f>I28*'Inputs &amp; Guide'!$B$6</x:f>
        <x:v>70.9956951997412</x:v>
      </x:c>
      <x:c r="N28" s="103" t="n">
        <x:f>MAX(0,MIN(K28-L28,M28))</x:f>
        <x:v>70.9956951997412</x:v>
      </x:c>
      <x:c r="O28" s="103" t="n">
        <x:f>MAX(0,N28-'Inputs &amp; Guide'!$B$7)</x:f>
        <x:v>10.995695199741206</x:v>
      </x:c>
      <x:c r="P28" s="103" t="n">
        <x:f>N28-O28</x:f>
        <x:v>60</x:v>
      </x:c>
      <x:c r="Q28" s="103" t="n">
        <x:f>I28*'Inputs &amp; Guide'!$B$8</x:f>
        <x:v>2.323495479264257</x:v>
      </x:c>
      <x:c r="R28" s="104" t="n">
        <x:f>IFERROR(P28/Q28,0)</x:f>
        <x:v>25.823161927992736</x:v>
      </x:c>
      <x:c r="S28" s="105" t="n">
        <x:f>ROUND(E28*XLOOKUP(C28,'Reference Tables'!$E$4:$E$12,'Reference Tables'!$G$4:$G$12,1),1)</x:f>
        <x:v>6.9</x:v>
      </x:c>
      <x:c r="T28" s="106" t="str">
        <x:f>IF(R28&gt;='Inputs &amp; Guide'!$B$9,"HIGH",IF(R28&gt;=0.45,"WATCH","NORMAL"))</x:f>
        <x:v>HIGH</x:v>
      </x:c>
    </x:row>
    <x:row r="29">
      <x:c r="A29" s="95" t="n">
        <x:v>201</x:v>
      </x:c>
      <x:c r="B29" s="96" t="n">
        <x:v>45300.104166666664</x:v>
      </x:c>
      <x:c r="C29" s="97" t="str">
        <x:v>Wildfire</x:v>
      </x:c>
      <x:c r="D29" s="97" t="str">
        <x:v>India</x:v>
      </x:c>
      <x:c r="E29" s="98" t="n">
        <x:v>4.805046715602364</x:v>
      </x:c>
      <x:c r="F29" s="99" t="n">
        <x:v>9.910183131027605</x:v>
      </x:c>
      <x:c r="G29" s="100" t="str">
        <x:f>XLOOKUP(D29,'Reference Tables'!$A$4:$A$23,'Reference Tables'!$B$4:$B$23,"Other")</x:f>
        <x:v>Asia Pacific</x:v>
      </x:c>
      <x:c r="H29" s="100" t="str">
        <x:f>VLOOKUP(G29,'Reference Tables'!$I$4:$J$9,2,FALSE)</x:f>
        <x:v>High</x:v>
      </x:c>
      <x:c r="I29" s="101" t="n">
        <x:f>F29*'Inputs &amp; Guide'!$B$4*XLOOKUP(D29,'Reference Tables'!$A$4:$A$23,'Reference Tables'!$C$4:$C$23,0.75)</x:f>
        <x:v>1.4429226638776194</x:v>
      </x:c>
      <x:c r="J29" s="102" t="n">
        <x:f>XLOOKUP(C29,'Reference Tables'!$E$4:$E$12,'Reference Tables'!$F$4:$F$12,0.05)</x:f>
        <x:v>0.1</x:v>
      </x:c>
      <x:c r="K29" s="103" t="n">
        <x:f>MIN(I29,F29*J29)</x:f>
        <x:v>0.9910183131027606</x:v>
      </x:c>
      <x:c r="L29" s="103" t="n">
        <x:f>'Inputs &amp; Guide'!$B$5</x:f>
        <x:v>15</x:v>
      </x:c>
      <x:c r="M29" s="103" t="n">
        <x:f>I29*'Inputs &amp; Guide'!$B$6</x:f>
        <x:v>0.7936074651326908</x:v>
      </x:c>
      <x:c r="N29" s="103" t="n">
        <x:f>MAX(0,MIN(K29-L29,M29))</x:f>
        <x:v>0</x:v>
      </x:c>
      <x:c r="O29" s="103" t="n">
        <x:f>MAX(0,N29-'Inputs &amp; Guide'!$B$7)</x:f>
        <x:v>0</x:v>
      </x:c>
      <x:c r="P29" s="103" t="n">
        <x:f>N29-O29</x:f>
        <x:v>0</x:v>
      </x:c>
      <x:c r="Q29" s="103" t="n">
        <x:f>I29*'Inputs &amp; Guide'!$B$8</x:f>
        <x:v>0.025972607949797145</x:v>
      </x:c>
      <x:c r="R29" s="104" t="n">
        <x:f>IFERROR(P29/Q29,0)</x:f>
        <x:v>0</x:v>
      </x:c>
      <x:c r="S29" s="105" t="n">
        <x:f>ROUND(E29*XLOOKUP(C29,'Reference Tables'!$E$4:$E$12,'Reference Tables'!$G$4:$G$12,1),1)</x:f>
        <x:v>5.5</x:v>
      </x:c>
      <x:c r="T29" s="106" t="str">
        <x:f>IF(R29&gt;='Inputs &amp; Guide'!$B$9,"HIGH",IF(R29&gt;=0.45,"WATCH","NORMAL"))</x:f>
        <x:v>NORMAL</x:v>
      </x:c>
    </x:row>
    <x:row r="30">
      <x:c r="A30" s="95" t="n">
        <x:v>209</x:v>
      </x:c>
      <x:c r="B30" s="96" t="n">
        <x:v>45300.4375</x:v>
      </x:c>
      <x:c r="C30" s="97" t="str">
        <x:v>Wildfire</x:v>
      </x:c>
      <x:c r="D30" s="97" t="str">
        <x:v>India</x:v>
      </x:c>
      <x:c r="E30" s="98" t="n">
        <x:v>9.78541214029959</x:v>
      </x:c>
      <x:c r="F30" s="99" t="n">
        <x:v>418.8086331601477</x:v>
      </x:c>
      <x:c r="G30" s="100" t="str">
        <x:f>XLOOKUP(D30,'Reference Tables'!$A$4:$A$23,'Reference Tables'!$B$4:$B$23,"Other")</x:f>
        <x:v>Asia Pacific</x:v>
      </x:c>
      <x:c r="H30" s="100" t="str">
        <x:f>VLOOKUP(G30,'Reference Tables'!$I$4:$J$9,2,FALSE)</x:f>
        <x:v>High</x:v>
      </x:c>
      <x:c r="I30" s="101" t="n">
        <x:f>F30*'Inputs &amp; Guide'!$B$4*XLOOKUP(D30,'Reference Tables'!$A$4:$A$23,'Reference Tables'!$C$4:$C$23,0.75)</x:f>
        <x:v>60.97853698811751</x:v>
      </x:c>
      <x:c r="J30" s="102" t="n">
        <x:f>XLOOKUP(C30,'Reference Tables'!$E$4:$E$12,'Reference Tables'!$F$4:$F$12,0.05)</x:f>
        <x:v>0.1</x:v>
      </x:c>
      <x:c r="K30" s="103" t="n">
        <x:f>MIN(I30,F30*J30)</x:f>
        <x:v>41.88086331601477</x:v>
      </x:c>
      <x:c r="L30" s="103" t="n">
        <x:f>'Inputs &amp; Guide'!$B$5</x:f>
        <x:v>15</x:v>
      </x:c>
      <x:c r="M30" s="103" t="n">
        <x:f>I30*'Inputs &amp; Guide'!$B$6</x:f>
        <x:v>33.538195343464636</x:v>
      </x:c>
      <x:c r="N30" s="103" t="n">
        <x:f>MAX(0,MIN(K30-L30,M30))</x:f>
        <x:v>26.880863316014768</x:v>
      </x:c>
      <x:c r="O30" s="103" t="n">
        <x:f>MAX(0,N30-'Inputs &amp; Guide'!$B$7)</x:f>
        <x:v>0</x:v>
      </x:c>
      <x:c r="P30" s="103" t="n">
        <x:f>N30-O30</x:f>
        <x:v>26.880863316014768</x:v>
      </x:c>
      <x:c r="Q30" s="103" t="n">
        <x:f>I30*'Inputs &amp; Guide'!$B$8</x:f>
        <x:v>1.097613665786115</x:v>
      </x:c>
      <x:c r="R30" s="104" t="n">
        <x:f>IFERROR(P30/Q30,0)</x:f>
        <x:v>24.490277548396403</x:v>
      </x:c>
      <x:c r="S30" s="105" t="n">
        <x:f>ROUND(E30*XLOOKUP(C30,'Reference Tables'!$E$4:$E$12,'Reference Tables'!$G$4:$G$12,1),1)</x:f>
        <x:v>11.3</x:v>
      </x:c>
      <x:c r="T30" s="106" t="str">
        <x:f>IF(R30&gt;='Inputs &amp; Guide'!$B$9,"HIGH",IF(R30&gt;=0.45,"WATCH","NORMAL"))</x:f>
        <x:v>HIGH</x:v>
      </x:c>
    </x:row>
    <x:row r="31">
      <x:c r="A31" s="95" t="n">
        <x:v>217</x:v>
      </x:c>
      <x:c r="B31" s="96" t="n">
        <x:v>45301</x:v>
      </x:c>
      <x:c r="C31" s="97" t="str">
        <x:v>Tornado</x:v>
      </x:c>
      <x:c r="D31" s="97" t="str">
        <x:v>USA</x:v>
      </x:c>
      <x:c r="E31" s="98" t="n">
        <x:v>9.214580303965194</x:v>
      </x:c>
      <x:c r="F31" s="99" t="n">
        <x:v>31.32611240496929</x:v>
      </x:c>
      <x:c r="G31" s="100" t="str">
        <x:f>XLOOKUP(D31,'Reference Tables'!$A$4:$A$23,'Reference Tables'!$B$4:$B$23,"Other")</x:f>
        <x:v>Other</x:v>
      </x:c>
      <x:c r="H31" s="100" t="str">
        <x:f>VLOOKUP(G31,'Reference Tables'!$I$4:$J$9,2,FALSE)</x:f>
        <x:v>Moderate</x:v>
      </x:c>
      <x:c r="I31" s="101" t="n">
        <x:f>F31*'Inputs &amp; Guide'!$B$4*XLOOKUP(D31,'Reference Tables'!$A$4:$A$23,'Reference Tables'!$C$4:$C$23,0.75)</x:f>
        <x:v>3.759133488596315</x:v>
      </x:c>
      <x:c r="J31" s="102" t="n">
        <x:f>XLOOKUP(C31,'Reference Tables'!$E$4:$E$12,'Reference Tables'!$F$4:$F$12,0.05)</x:f>
        <x:v>0.09</x:v>
      </x:c>
      <x:c r="K31" s="103" t="n">
        <x:f>MIN(I31,F31*J31)</x:f>
        <x:v>2.819350116447236</x:v>
      </x:c>
      <x:c r="L31" s="103" t="n">
        <x:f>'Inputs &amp; Guide'!$B$5</x:f>
        <x:v>15</x:v>
      </x:c>
      <x:c r="M31" s="103" t="n">
        <x:f>I31*'Inputs &amp; Guide'!$B$6</x:f>
        <x:v>2.067523418727973</x:v>
      </x:c>
      <x:c r="N31" s="103" t="n">
        <x:f>MAX(0,MIN(K31-L31,M31))</x:f>
        <x:v>0</x:v>
      </x:c>
      <x:c r="O31" s="103" t="n">
        <x:f>MAX(0,N31-'Inputs &amp; Guide'!$B$7)</x:f>
        <x:v>0</x:v>
      </x:c>
      <x:c r="P31" s="103" t="n">
        <x:f>N31-O31</x:f>
        <x:v>0</x:v>
      </x:c>
      <x:c r="Q31" s="103" t="n">
        <x:f>I31*'Inputs &amp; Guide'!$B$8</x:f>
        <x:v>0.06766440279473367</x:v>
      </x:c>
      <x:c r="R31" s="104" t="n">
        <x:f>IFERROR(P31/Q31,0)</x:f>
        <x:v>0</x:v>
      </x:c>
      <x:c r="S31" s="105" t="n">
        <x:f>ROUND(E31*XLOOKUP(C31,'Reference Tables'!$E$4:$E$12,'Reference Tables'!$G$4:$G$12,1),1)</x:f>
        <x:v>9.7</x:v>
      </x:c>
      <x:c r="T31" s="106" t="str">
        <x:f>IF(R31&gt;='Inputs &amp; Guide'!$B$9,"HIGH",IF(R31&gt;=0.45,"WATCH","NORMAL"))</x:f>
        <x:v>NORMAL</x:v>
      </x:c>
    </x:row>
    <x:row r="32">
      <x:c r="A32" s="95" t="n">
        <x:v>225</x:v>
      </x:c>
      <x:c r="B32" s="96" t="n">
        <x:v>45301.104166666664</x:v>
      </x:c>
      <x:c r="C32" s="97" t="str">
        <x:v>Tornado</x:v>
      </x:c>
      <x:c r="D32" s="97" t="str">
        <x:v>Brazil</x:v>
      </x:c>
      <x:c r="E32" s="98" t="n">
        <x:v>6.650050175241171</x:v>
      </x:c>
      <x:c r="F32" s="99" t="n">
        <x:v>688.3904551438683</x:v>
      </x:c>
      <x:c r="G32" s="100" t="str">
        <x:f>XLOOKUP(D32,'Reference Tables'!$A$4:$A$23,'Reference Tables'!$B$4:$B$23,"Other")</x:f>
        <x:v>Latin America</x:v>
      </x:c>
      <x:c r="H32" s="100" t="str">
        <x:f>VLOOKUP(G32,'Reference Tables'!$I$4:$J$9,2,FALSE)</x:f>
        <x:v>Moderate</x:v>
      </x:c>
      <x:c r="I32" s="101" t="n">
        <x:f>F32*'Inputs &amp; Guide'!$B$4*XLOOKUP(D32,'Reference Tables'!$A$4:$A$23,'Reference Tables'!$C$4:$C$23,0.75)</x:f>
        <x:v>90.31682771487552</x:v>
      </x:c>
      <x:c r="J32" s="102" t="n">
        <x:f>XLOOKUP(C32,'Reference Tables'!$E$4:$E$12,'Reference Tables'!$F$4:$F$12,0.05)</x:f>
        <x:v>0.09</x:v>
      </x:c>
      <x:c r="K32" s="103" t="n">
        <x:f>MIN(I32,F32*J32)</x:f>
        <x:v>61.95514096294814</x:v>
      </x:c>
      <x:c r="L32" s="103" t="n">
        <x:f>'Inputs &amp; Guide'!$B$5</x:f>
        <x:v>15</x:v>
      </x:c>
      <x:c r="M32" s="103" t="n">
        <x:f>I32*'Inputs &amp; Guide'!$B$6</x:f>
        <x:v>49.674255243181534</x:v>
      </x:c>
      <x:c r="N32" s="103" t="n">
        <x:f>MAX(0,MIN(K32-L32,M32))</x:f>
        <x:v>46.95514096294814</x:v>
      </x:c>
      <x:c r="O32" s="103" t="n">
        <x:f>MAX(0,N32-'Inputs &amp; Guide'!$B$7)</x:f>
        <x:v>0</x:v>
      </x:c>
      <x:c r="P32" s="103" t="n">
        <x:f>N32-O32</x:f>
        <x:v>46.95514096294814</x:v>
      </x:c>
      <x:c r="Q32" s="103" t="n">
        <x:f>I32*'Inputs &amp; Guide'!$B$8</x:f>
        <x:v>1.625702898867759</x:v>
      </x:c>
      <x:c r="R32" s="104" t="n">
        <x:f>IFERROR(P32/Q32,0)</x:f>
        <x:v>28.88297793874307</x:v>
      </x:c>
      <x:c r="S32" s="105" t="n">
        <x:f>ROUND(E32*XLOOKUP(C32,'Reference Tables'!$E$4:$E$12,'Reference Tables'!$G$4:$G$12,1),1)</x:f>
        <x:v>7</x:v>
      </x:c>
      <x:c r="T32" s="106" t="str">
        <x:f>IF(R32&gt;='Inputs &amp; Guide'!$B$9,"HIGH",IF(R32&gt;=0.45,"WATCH","NORMAL"))</x:f>
        <x:v>HIGH</x:v>
      </x:c>
    </x:row>
    <x:row r="33">
      <x:c r="A33" s="95" t="n">
        <x:v>233</x:v>
      </x:c>
      <x:c r="B33" s="96" t="n">
        <x:v>45301.4375</x:v>
      </x:c>
      <x:c r="C33" s="97" t="str">
        <x:v>Earthquake</x:v>
      </x:c>
      <x:c r="D33" s="97" t="str">
        <x:v>Brazil</x:v>
      </x:c>
      <x:c r="E33" s="98" t="n">
        <x:v>7.459673661570076</x:v>
      </x:c>
      <x:c r="F33" s="99" t="n">
        <x:v>936.6906179350458</x:v>
      </x:c>
      <x:c r="G33" s="100" t="str">
        <x:f>XLOOKUP(D33,'Reference Tables'!$A$4:$A$23,'Reference Tables'!$B$4:$B$23,"Other")</x:f>
        <x:v>Latin America</x:v>
      </x:c>
      <x:c r="H33" s="100" t="str">
        <x:f>VLOOKUP(G33,'Reference Tables'!$I$4:$J$9,2,FALSE)</x:f>
        <x:v>Moderate</x:v>
      </x:c>
      <x:c r="I33" s="101" t="n">
        <x:f>F33*'Inputs &amp; Guide'!$B$4*XLOOKUP(D33,'Reference Tables'!$A$4:$A$23,'Reference Tables'!$C$4:$C$23,0.75)</x:f>
        <x:v>122.893809073078</x:v>
      </x:c>
      <x:c r="J33" s="102" t="n">
        <x:f>XLOOKUP(C33,'Reference Tables'!$E$4:$E$12,'Reference Tables'!$F$4:$F$12,0.05)</x:f>
        <x:v>0.14</x:v>
      </x:c>
      <x:c r="K33" s="103" t="n">
        <x:f>MIN(I33,F33*J33)</x:f>
        <x:v>122.893809073078</x:v>
      </x:c>
      <x:c r="L33" s="103" t="n">
        <x:f>'Inputs &amp; Guide'!$B$5</x:f>
        <x:v>15</x:v>
      </x:c>
      <x:c r="M33" s="103" t="n">
        <x:f>I33*'Inputs &amp; Guide'!$B$6</x:f>
        <x:v>67.5915949901929</x:v>
      </x:c>
      <x:c r="N33" s="103" t="n">
        <x:f>MAX(0,MIN(K33-L33,M33))</x:f>
        <x:v>67.5915949901929</x:v>
      </x:c>
      <x:c r="O33" s="103" t="n">
        <x:f>MAX(0,N33-'Inputs &amp; Guide'!$B$7)</x:f>
        <x:v>7.5915949901929025</x:v>
      </x:c>
      <x:c r="P33" s="103" t="n">
        <x:f>N33-O33</x:f>
        <x:v>60</x:v>
      </x:c>
      <x:c r="Q33" s="103" t="n">
        <x:f>I33*'Inputs &amp; Guide'!$B$8</x:f>
        <x:v>2.2120885633154037</x:v>
      </x:c>
      <x:c r="R33" s="104" t="n">
        <x:f>IFERROR(P33/Q33,0)</x:f>
        <x:v>27.12368799107845</x:v>
      </x:c>
      <x:c r="S33" s="105" t="n">
        <x:f>ROUND(E33*XLOOKUP(C33,'Reference Tables'!$E$4:$E$12,'Reference Tables'!$G$4:$G$12,1),1)</x:f>
        <x:v>11.2</x:v>
      </x:c>
      <x:c r="T33" s="106" t="str">
        <x:f>IF(R33&gt;='Inputs &amp; Guide'!$B$9,"HIGH",IF(R33&gt;=0.45,"WATCH","NORMAL"))</x:f>
        <x:v>HIGH</x:v>
      </x:c>
    </x:row>
    <x:row r="34">
      <x:c r="A34" s="95" t="n">
        <x:v>241</x:v>
      </x:c>
      <x:c r="B34" s="96" t="n">
        <x:v>45302</x:v>
      </x:c>
      <x:c r="C34" s="97" t="str">
        <x:v>Tornado</x:v>
      </x:c>
      <x:c r="D34" s="97" t="str">
        <x:v>Indonesia</x:v>
      </x:c>
      <x:c r="E34" s="98" t="n">
        <x:v>7.763969804465459</x:v>
      </x:c>
      <x:c r="F34" s="99" t="n">
        <x:v>47.797214216987015</x:v>
      </x:c>
      <x:c r="G34" s="100" t="str">
        <x:f>XLOOKUP(D34,'Reference Tables'!$A$4:$A$23,'Reference Tables'!$B$4:$B$23,"Other")</x:f>
        <x:v>Asia Pacific</x:v>
      </x:c>
      <x:c r="H34" s="100" t="str">
        <x:f>VLOOKUP(G34,'Reference Tables'!$I$4:$J$9,2,FALSE)</x:f>
        <x:v>High</x:v>
      </x:c>
      <x:c r="I34" s="101" t="n">
        <x:f>F34*'Inputs &amp; Guide'!$B$4*XLOOKUP(D34,'Reference Tables'!$A$4:$A$23,'Reference Tables'!$C$4:$C$23,0.75)</x:f>
        <x:v>7.876980902959461</x:v>
      </x:c>
      <x:c r="J34" s="102" t="n">
        <x:f>XLOOKUP(C34,'Reference Tables'!$E$4:$E$12,'Reference Tables'!$F$4:$F$12,0.05)</x:f>
        <x:v>0.09</x:v>
      </x:c>
      <x:c r="K34" s="103" t="n">
        <x:f>MIN(I34,F34*J34)</x:f>
        <x:v>4.301749279528831</x:v>
      </x:c>
      <x:c r="L34" s="103" t="n">
        <x:f>'Inputs &amp; Guide'!$B$5</x:f>
        <x:v>15</x:v>
      </x:c>
      <x:c r="M34" s="103" t="n">
        <x:f>I34*'Inputs &amp; Guide'!$B$6</x:f>
        <x:v>4.332339496627704</x:v>
      </x:c>
      <x:c r="N34" s="103" t="n">
        <x:f>MAX(0,MIN(K34-L34,M34))</x:f>
        <x:v>0</x:v>
      </x:c>
      <x:c r="O34" s="103" t="n">
        <x:f>MAX(0,N34-'Inputs &amp; Guide'!$B$7)</x:f>
        <x:v>0</x:v>
      </x:c>
      <x:c r="P34" s="103" t="n">
        <x:f>N34-O34</x:f>
        <x:v>0</x:v>
      </x:c>
      <x:c r="Q34" s="103" t="n">
        <x:f>I34*'Inputs &amp; Guide'!$B$8</x:f>
        <x:v>0.14178565625327028</x:v>
      </x:c>
      <x:c r="R34" s="104" t="n">
        <x:f>IFERROR(P34/Q34,0)</x:f>
        <x:v>0</x:v>
      </x:c>
      <x:c r="S34" s="105" t="n">
        <x:f>ROUND(E34*XLOOKUP(C34,'Reference Tables'!$E$4:$E$12,'Reference Tables'!$G$4:$G$12,1),1)</x:f>
        <x:v>8.2</x:v>
      </x:c>
      <x:c r="T34" s="106" t="str">
        <x:f>IF(R34&gt;='Inputs &amp; Guide'!$B$9,"HIGH",IF(R34&gt;=0.45,"WATCH","NORMAL"))</x:f>
        <x:v>NORMAL</x:v>
      </x:c>
    </x:row>
    <x:row r="35">
      <x:c r="A35" s="95" t="n">
        <x:v>249</x:v>
      </x:c>
      <x:c r="B35" s="96" t="n">
        <x:v>45302.104166666664</x:v>
      </x:c>
      <x:c r="C35" s="97" t="str">
        <x:v>Flood</x:v>
      </x:c>
      <x:c r="D35" s="97" t="str">
        <x:v>India</x:v>
      </x:c>
      <x:c r="E35" s="98" t="n">
        <x:v>1.7716991635609476</x:v>
      </x:c>
      <x:c r="F35" s="99" t="n">
        <x:v>655.18426393014</x:v>
      </x:c>
      <x:c r="G35" s="100" t="str">
        <x:f>XLOOKUP(D35,'Reference Tables'!$A$4:$A$23,'Reference Tables'!$B$4:$B$23,"Other")</x:f>
        <x:v>Asia Pacific</x:v>
      </x:c>
      <x:c r="H35" s="100" t="str">
        <x:f>VLOOKUP(G35,'Reference Tables'!$I$4:$J$9,2,FALSE)</x:f>
        <x:v>High</x:v>
      </x:c>
      <x:c r="I35" s="101" t="n">
        <x:f>F35*'Inputs &amp; Guide'!$B$4*XLOOKUP(D35,'Reference Tables'!$A$4:$A$23,'Reference Tables'!$C$4:$C$23,0.75)</x:f>
        <x:v>95.39482882822838</x:v>
      </x:c>
      <x:c r="J35" s="102" t="n">
        <x:f>XLOOKUP(C35,'Reference Tables'!$E$4:$E$12,'Reference Tables'!$F$4:$F$12,0.05)</x:f>
        <x:v>0.12</x:v>
      </x:c>
      <x:c r="K35" s="103" t="n">
        <x:f>MIN(I35,F35*J35)</x:f>
        <x:v>78.62211167161679</x:v>
      </x:c>
      <x:c r="L35" s="103" t="n">
        <x:f>'Inputs &amp; Guide'!$B$5</x:f>
        <x:v>15</x:v>
      </x:c>
      <x:c r="M35" s="103" t="n">
        <x:f>I35*'Inputs &amp; Guide'!$B$6</x:f>
        <x:v>52.46715585552562</x:v>
      </x:c>
      <x:c r="N35" s="103" t="n">
        <x:f>MAX(0,MIN(K35-L35,M35))</x:f>
        <x:v>52.46715585552562</x:v>
      </x:c>
      <x:c r="O35" s="103" t="n">
        <x:f>MAX(0,N35-'Inputs &amp; Guide'!$B$7)</x:f>
        <x:v>0</x:v>
      </x:c>
      <x:c r="P35" s="103" t="n">
        <x:f>N35-O35</x:f>
        <x:v>52.46715585552562</x:v>
      </x:c>
      <x:c r="Q35" s="103" t="n">
        <x:f>I35*'Inputs &amp; Guide'!$B$8</x:f>
        <x:v>1.7171069189081107</x:v>
      </x:c>
      <x:c r="R35" s="104" t="n">
        <x:f>IFERROR(P35/Q35,0)</x:f>
        <x:v>30.555555555555564</x:v>
      </x:c>
      <x:c r="S35" s="105" t="n">
        <x:f>ROUND(E35*XLOOKUP(C35,'Reference Tables'!$E$4:$E$12,'Reference Tables'!$G$4:$G$12,1),1)</x:f>
        <x:v>2.2</x:v>
      </x:c>
      <x:c r="T35" s="106" t="str">
        <x:f>IF(R35&gt;='Inputs &amp; Guide'!$B$9,"HIGH",IF(R35&gt;=0.45,"WATCH","NORMAL"))</x:f>
        <x:v>HIGH</x:v>
      </x:c>
    </x:row>
    <x:row r="36">
      <x:c r="A36" s="95" t="n">
        <x:v>257</x:v>
      </x:c>
      <x:c r="B36" s="96" t="n">
        <x:v>45302.4375</x:v>
      </x:c>
      <x:c r="C36" s="97" t="str">
        <x:v>Earthquake</x:v>
      </x:c>
      <x:c r="D36" s="97" t="str">
        <x:v>India</x:v>
      </x:c>
      <x:c r="E36" s="98" t="n">
        <x:v>8.924503014662012</x:v>
      </x:c>
      <x:c r="F36" s="99" t="n">
        <x:v>368.4451724278785</x:v>
      </x:c>
      <x:c r="G36" s="100" t="str">
        <x:f>XLOOKUP(D36,'Reference Tables'!$A$4:$A$23,'Reference Tables'!$B$4:$B$23,"Other")</x:f>
        <x:v>Asia Pacific</x:v>
      </x:c>
      <x:c r="H36" s="100" t="str">
        <x:f>VLOOKUP(G36,'Reference Tables'!$I$4:$J$9,2,FALSE)</x:f>
        <x:v>High</x:v>
      </x:c>
      <x:c r="I36" s="101" t="n">
        <x:f>F36*'Inputs &amp; Guide'!$B$4*XLOOKUP(D36,'Reference Tables'!$A$4:$A$23,'Reference Tables'!$C$4:$C$23,0.75)</x:f>
        <x:v>53.64561710549911</x:v>
      </x:c>
      <x:c r="J36" s="102" t="n">
        <x:f>XLOOKUP(C36,'Reference Tables'!$E$4:$E$12,'Reference Tables'!$F$4:$F$12,0.05)</x:f>
        <x:v>0.14</x:v>
      </x:c>
      <x:c r="K36" s="103" t="n">
        <x:f>MIN(I36,F36*J36)</x:f>
        <x:v>51.582324139902994</x:v>
      </x:c>
      <x:c r="L36" s="103" t="n">
        <x:f>'Inputs &amp; Guide'!$B$5</x:f>
        <x:v>15</x:v>
      </x:c>
      <x:c r="M36" s="103" t="n">
        <x:f>I36*'Inputs &amp; Guide'!$B$6</x:f>
        <x:v>29.505089408024514</x:v>
      </x:c>
      <x:c r="N36" s="103" t="n">
        <x:f>MAX(0,MIN(K36-L36,M36))</x:f>
        <x:v>29.505089408024514</x:v>
      </x:c>
      <x:c r="O36" s="103" t="n">
        <x:f>MAX(0,N36-'Inputs &amp; Guide'!$B$7)</x:f>
        <x:v>0</x:v>
      </x:c>
      <x:c r="P36" s="103" t="n">
        <x:f>N36-O36</x:f>
        <x:v>29.505089408024514</x:v>
      </x:c>
      <x:c r="Q36" s="103" t="n">
        <x:f>I36*'Inputs &amp; Guide'!$B$8</x:f>
        <x:v>0.9656211078989839</x:v>
      </x:c>
      <x:c r="R36" s="104" t="n">
        <x:f>IFERROR(P36/Q36,0)</x:f>
        <x:v>30.55555555555556</x:v>
      </x:c>
      <x:c r="S36" s="105" t="n">
        <x:f>ROUND(E36*XLOOKUP(C36,'Reference Tables'!$E$4:$E$12,'Reference Tables'!$G$4:$G$12,1),1)</x:f>
        <x:v>13.4</x:v>
      </x:c>
      <x:c r="T36" s="106" t="str">
        <x:f>IF(R36&gt;='Inputs &amp; Guide'!$B$9,"HIGH",IF(R36&gt;=0.45,"WATCH","NORMAL"))</x:f>
        <x:v>HIGH</x:v>
      </x:c>
    </x:row>
    <x:row r="37">
      <x:c r="A37" s="95" t="n">
        <x:v>265</x:v>
      </x:c>
      <x:c r="B37" s="96" t="n">
        <x:v>45303</x:v>
      </x:c>
      <x:c r="C37" s="97" t="str">
        <x:v>Hurricane</x:v>
      </x:c>
      <x:c r="D37" s="97" t="str">
        <x:v>India</x:v>
      </x:c>
      <x:c r="E37" s="98" t="n">
        <x:v>8.047145256517737</x:v>
      </x:c>
      <x:c r="F37" s="99" t="n">
        <x:v>670.7788312187536</x:v>
      </x:c>
      <x:c r="G37" s="100" t="str">
        <x:f>XLOOKUP(D37,'Reference Tables'!$A$4:$A$23,'Reference Tables'!$B$4:$B$23,"Other")</x:f>
        <x:v>Asia Pacific</x:v>
      </x:c>
      <x:c r="H37" s="100" t="str">
        <x:f>VLOOKUP(G37,'Reference Tables'!$I$4:$J$9,2,FALSE)</x:f>
        <x:v>High</x:v>
      </x:c>
      <x:c r="I37" s="101" t="n">
        <x:f>F37*'Inputs &amp; Guide'!$B$4*XLOOKUP(D37,'Reference Tables'!$A$4:$A$23,'Reference Tables'!$C$4:$C$23,0.75)</x:f>
        <x:v>97.66539782545053</x:v>
      </x:c>
      <x:c r="J37" s="102" t="n">
        <x:f>XLOOKUP(C37,'Reference Tables'!$E$4:$E$12,'Reference Tables'!$F$4:$F$12,0.05)</x:f>
        <x:v>0.18</x:v>
      </x:c>
      <x:c r="K37" s="103" t="n">
        <x:f>MIN(I37,F37*J37)</x:f>
        <x:v>97.66539782545053</x:v>
      </x:c>
      <x:c r="L37" s="103" t="n">
        <x:f>'Inputs &amp; Guide'!$B$5</x:f>
        <x:v>15</x:v>
      </x:c>
      <x:c r="M37" s="103" t="n">
        <x:f>I37*'Inputs &amp; Guide'!$B$6</x:f>
        <x:v>53.7159688039978</x:v>
      </x:c>
      <x:c r="N37" s="103" t="n">
        <x:f>MAX(0,MIN(K37-L37,M37))</x:f>
        <x:v>53.7159688039978</x:v>
      </x:c>
      <x:c r="O37" s="103" t="n">
        <x:f>MAX(0,N37-'Inputs &amp; Guide'!$B$7)</x:f>
        <x:v>0</x:v>
      </x:c>
      <x:c r="P37" s="103" t="n">
        <x:f>N37-O37</x:f>
        <x:v>53.7159688039978</x:v>
      </x:c>
      <x:c r="Q37" s="103" t="n">
        <x:f>I37*'Inputs &amp; Guide'!$B$8</x:f>
        <x:v>1.7579771608581094</x:v>
      </x:c>
      <x:c r="R37" s="104" t="n">
        <x:f>IFERROR(P37/Q37,0)</x:f>
        <x:v>30.55555555555556</x:v>
      </x:c>
      <x:c r="S37" s="105" t="n">
        <x:f>ROUND(E37*XLOOKUP(C37,'Reference Tables'!$E$4:$E$12,'Reference Tables'!$G$4:$G$12,1),1)</x:f>
        <x:v>11.3</x:v>
      </x:c>
      <x:c r="T37" s="106" t="str">
        <x:f>IF(R37&gt;='Inputs &amp; Guide'!$B$9,"HIGH",IF(R37&gt;=0.45,"WATCH","NORMAL"))</x:f>
        <x:v>HIGH</x:v>
      </x:c>
    </x:row>
    <x:row r="38">
      <x:c r="A38" s="95" t="n">
        <x:v>273</x:v>
      </x:c>
      <x:c r="B38" s="96" t="n">
        <x:v>45303.104166666664</x:v>
      </x:c>
      <x:c r="C38" s="97" t="str">
        <x:v>Flood</x:v>
      </x:c>
      <x:c r="D38" s="97" t="str">
        <x:v>USA</x:v>
      </x:c>
      <x:c r="E38" s="98" t="n">
        <x:v>3.6280841914968534</x:v>
      </x:c>
      <x:c r="F38" s="99" t="n">
        <x:v>861.2319296258389</x:v>
      </x:c>
      <x:c r="G38" s="100" t="str">
        <x:f>XLOOKUP(D38,'Reference Tables'!$A$4:$A$23,'Reference Tables'!$B$4:$B$23,"Other")</x:f>
        <x:v>Other</x:v>
      </x:c>
      <x:c r="H38" s="100" t="str">
        <x:f>VLOOKUP(G38,'Reference Tables'!$I$4:$J$9,2,FALSE)</x:f>
        <x:v>Moderate</x:v>
      </x:c>
      <x:c r="I38" s="101" t="n">
        <x:f>F38*'Inputs &amp; Guide'!$B$4*XLOOKUP(D38,'Reference Tables'!$A$4:$A$23,'Reference Tables'!$C$4:$C$23,0.75)</x:f>
        <x:v>103.34783155510067</x:v>
      </x:c>
      <x:c r="J38" s="102" t="n">
        <x:f>XLOOKUP(C38,'Reference Tables'!$E$4:$E$12,'Reference Tables'!$F$4:$F$12,0.05)</x:f>
        <x:v>0.12</x:v>
      </x:c>
      <x:c r="K38" s="103" t="n">
        <x:f>MIN(I38,F38*J38)</x:f>
        <x:v>103.34783155510067</x:v>
      </x:c>
      <x:c r="L38" s="103" t="n">
        <x:f>'Inputs &amp; Guide'!$B$5</x:f>
        <x:v>15</x:v>
      </x:c>
      <x:c r="M38" s="103" t="n">
        <x:f>I38*'Inputs &amp; Guide'!$B$6</x:f>
        <x:v>56.841307355305375</x:v>
      </x:c>
      <x:c r="N38" s="103" t="n">
        <x:f>MAX(0,MIN(K38-L38,M38))</x:f>
        <x:v>56.841307355305375</x:v>
      </x:c>
      <x:c r="O38" s="103" t="n">
        <x:f>MAX(0,N38-'Inputs &amp; Guide'!$B$7)</x:f>
        <x:v>0</x:v>
      </x:c>
      <x:c r="P38" s="103" t="n">
        <x:f>N38-O38</x:f>
        <x:v>56.841307355305375</x:v>
      </x:c>
      <x:c r="Q38" s="103" t="n">
        <x:f>I38*'Inputs &amp; Guide'!$B$8</x:f>
        <x:v>1.8602609679918118</x:v>
      </x:c>
      <x:c r="R38" s="104" t="n">
        <x:f>IFERROR(P38/Q38,0)</x:f>
        <x:v>30.555555555555564</x:v>
      </x:c>
      <x:c r="S38" s="105" t="n">
        <x:f>ROUND(E38*XLOOKUP(C38,'Reference Tables'!$E$4:$E$12,'Reference Tables'!$G$4:$G$12,1),1)</x:f>
        <x:v>4.5</x:v>
      </x:c>
      <x:c r="T38" s="106" t="str">
        <x:f>IF(R38&gt;='Inputs &amp; Guide'!$B$9,"HIGH",IF(R38&gt;=0.45,"WATCH","NORMAL"))</x:f>
        <x:v>HIGH</x:v>
      </x:c>
    </x:row>
    <x:row r="39">
      <x:c r="A39" s="95" t="n">
        <x:v>281</x:v>
      </x:c>
      <x:c r="B39" s="96" t="n">
        <x:v>45303.4375</x:v>
      </x:c>
      <x:c r="C39" s="97" t="str">
        <x:v>Flood</x:v>
      </x:c>
      <x:c r="D39" s="97" t="str">
        <x:v>Indonesia</x:v>
      </x:c>
      <x:c r="E39" s="98" t="n">
        <x:v>1.4620746984963064</x:v>
      </x:c>
      <x:c r="F39" s="99" t="n">
        <x:v>215.89003290131234</x:v>
      </x:c>
      <x:c r="G39" s="100" t="str">
        <x:f>XLOOKUP(D39,'Reference Tables'!$A$4:$A$23,'Reference Tables'!$B$4:$B$23,"Other")</x:f>
        <x:v>Asia Pacific</x:v>
      </x:c>
      <x:c r="H39" s="100" t="str">
        <x:f>VLOOKUP(G39,'Reference Tables'!$I$4:$J$9,2,FALSE)</x:f>
        <x:v>High</x:v>
      </x:c>
      <x:c r="I39" s="101" t="n">
        <x:f>F39*'Inputs &amp; Guide'!$B$4*XLOOKUP(D39,'Reference Tables'!$A$4:$A$23,'Reference Tables'!$C$4:$C$23,0.75)</x:f>
        <x:v>35.57867742213627</x:v>
      </x:c>
      <x:c r="J39" s="102" t="n">
        <x:f>XLOOKUP(C39,'Reference Tables'!$E$4:$E$12,'Reference Tables'!$F$4:$F$12,0.05)</x:f>
        <x:v>0.12</x:v>
      </x:c>
      <x:c r="K39" s="103" t="n">
        <x:f>MIN(I39,F39*J39)</x:f>
        <x:v>25.906803948157478</x:v>
      </x:c>
      <x:c r="L39" s="103" t="n">
        <x:f>'Inputs &amp; Guide'!$B$5</x:f>
        <x:v>15</x:v>
      </x:c>
      <x:c r="M39" s="103" t="n">
        <x:f>I39*'Inputs &amp; Guide'!$B$6</x:f>
        <x:v>19.568272582174952</x:v>
      </x:c>
      <x:c r="N39" s="103" t="n">
        <x:f>MAX(0,MIN(K39-L39,M39))</x:f>
        <x:v>10.906803948157478</x:v>
      </x:c>
      <x:c r="O39" s="103" t="n">
        <x:f>MAX(0,N39-'Inputs &amp; Guide'!$B$7)</x:f>
        <x:v>0</x:v>
      </x:c>
      <x:c r="P39" s="103" t="n">
        <x:f>N39-O39</x:f>
        <x:v>10.906803948157478</x:v>
      </x:c>
      <x:c r="Q39" s="103" t="n">
        <x:f>I39*'Inputs &amp; Guide'!$B$8</x:f>
        <x:v>0.6404161935984529</x:v>
      </x:c>
      <x:c r="R39" s="104" t="n">
        <x:f>IFERROR(P39/Q39,0)</x:f>
        <x:v>17.030805993322755</x:v>
      </x:c>
      <x:c r="S39" s="105" t="n">
        <x:f>ROUND(E39*XLOOKUP(C39,'Reference Tables'!$E$4:$E$12,'Reference Tables'!$G$4:$G$12,1),1)</x:f>
        <x:v>1.8</x:v>
      </x:c>
      <x:c r="T39" s="106" t="str">
        <x:f>IF(R39&gt;='Inputs &amp; Guide'!$B$9,"HIGH",IF(R39&gt;=0.45,"WATCH","NORMAL"))</x:f>
        <x:v>HIGH</x:v>
      </x:c>
    </x:row>
    <x:row r="40">
      <x:c r="A40" s="95" t="n">
        <x:v>289</x:v>
      </x:c>
      <x:c r="B40" s="96" t="n">
        <x:v>45304</x:v>
      </x:c>
      <x:c r="C40" s="97" t="str">
        <x:v>Earthquake</x:v>
      </x:c>
      <x:c r="D40" s="97" t="str">
        <x:v>China</x:v>
      </x:c>
      <x:c r="E40" s="98" t="n">
        <x:v>9.450199760947458</x:v>
      </x:c>
      <x:c r="F40" s="99" t="n">
        <x:v>938.2100120193875</x:v>
      </x:c>
      <x:c r="G40" s="100" t="str">
        <x:f>XLOOKUP(D40,'Reference Tables'!$A$4:$A$23,'Reference Tables'!$B$4:$B$23,"Other")</x:f>
        <x:v>Asia Pacific</x:v>
      </x:c>
      <x:c r="H40" s="100" t="str">
        <x:f>VLOOKUP(G40,'Reference Tables'!$I$4:$J$9,2,FALSE)</x:f>
        <x:v>High</x:v>
      </x:c>
      <x:c r="I40" s="101" t="n">
        <x:f>F40*'Inputs &amp; Guide'!$B$4*XLOOKUP(D40,'Reference Tables'!$A$4:$A$23,'Reference Tables'!$C$4:$C$23,0.75)</x:f>
        <x:v>162.1226900769502</x:v>
      </x:c>
      <x:c r="J40" s="102" t="n">
        <x:f>XLOOKUP(C40,'Reference Tables'!$E$4:$E$12,'Reference Tables'!$F$4:$F$12,0.05)</x:f>
        <x:v>0.14</x:v>
      </x:c>
      <x:c r="K40" s="103" t="n">
        <x:f>MIN(I40,F40*J40)</x:f>
        <x:v>131.34940168271427</x:v>
      </x:c>
      <x:c r="L40" s="103" t="n">
        <x:f>'Inputs &amp; Guide'!$B$5</x:f>
        <x:v>15</x:v>
      </x:c>
      <x:c r="M40" s="103" t="n">
        <x:f>I40*'Inputs &amp; Guide'!$B$6</x:f>
        <x:v>89.16747954232261</x:v>
      </x:c>
      <x:c r="N40" s="103" t="n">
        <x:f>MAX(0,MIN(K40-L40,M40))</x:f>
        <x:v>89.16747954232261</x:v>
      </x:c>
      <x:c r="O40" s="103" t="n">
        <x:f>MAX(0,N40-'Inputs &amp; Guide'!$B$7)</x:f>
        <x:v>29.16747954232261</x:v>
      </x:c>
      <x:c r="P40" s="103" t="n">
        <x:f>N40-O40</x:f>
        <x:v>60</x:v>
      </x:c>
      <x:c r="Q40" s="103" t="n">
        <x:f>I40*'Inputs &amp; Guide'!$B$8</x:f>
        <x:v>2.918208421385103</x:v>
      </x:c>
      <x:c r="R40" s="104" t="n">
        <x:f>IFERROR(P40/Q40,0)</x:f>
        <x:v>20.560560226031253</x:v>
      </x:c>
      <x:c r="S40" s="105" t="n">
        <x:f>ROUND(E40*XLOOKUP(C40,'Reference Tables'!$E$4:$E$12,'Reference Tables'!$G$4:$G$12,1),1)</x:f>
        <x:v>14.2</x:v>
      </x:c>
      <x:c r="T40" s="106" t="str">
        <x:f>IF(R40&gt;='Inputs &amp; Guide'!$B$9,"HIGH",IF(R40&gt;=0.45,"WATCH","NORMAL"))</x:f>
        <x:v>HIGH</x:v>
      </x:c>
    </x:row>
    <x:row r="41">
      <x:c r="A41" s="95" t="n">
        <x:v>297</x:v>
      </x:c>
      <x:c r="B41" s="96" t="n">
        <x:v>45304.104166666664</x:v>
      </x:c>
      <x:c r="C41" s="97" t="str">
        <x:v>Hurricane</x:v>
      </x:c>
      <x:c r="D41" s="97" t="str">
        <x:v>USA</x:v>
      </x:c>
      <x:c r="E41" s="98" t="n">
        <x:v>6.8418134944528495</x:v>
      </x:c>
      <x:c r="F41" s="99" t="n">
        <x:v>53.034150165095404</x:v>
      </x:c>
      <x:c r="G41" s="100" t="str">
        <x:f>XLOOKUP(D41,'Reference Tables'!$A$4:$A$23,'Reference Tables'!$B$4:$B$23,"Other")</x:f>
        <x:v>Other</x:v>
      </x:c>
      <x:c r="H41" s="100" t="str">
        <x:f>VLOOKUP(G41,'Reference Tables'!$I$4:$J$9,2,FALSE)</x:f>
        <x:v>Moderate</x:v>
      </x:c>
      <x:c r="I41" s="101" t="n">
        <x:f>F41*'Inputs &amp; Guide'!$B$4*XLOOKUP(D41,'Reference Tables'!$A$4:$A$23,'Reference Tables'!$C$4:$C$23,0.75)</x:f>
        <x:v>6.364098019811449</x:v>
      </x:c>
      <x:c r="J41" s="102" t="n">
        <x:f>XLOOKUP(C41,'Reference Tables'!$E$4:$E$12,'Reference Tables'!$F$4:$F$12,0.05)</x:f>
        <x:v>0.18</x:v>
      </x:c>
      <x:c r="K41" s="103" t="n">
        <x:f>MIN(I41,F41*J41)</x:f>
        <x:v>6.364098019811449</x:v>
      </x:c>
      <x:c r="L41" s="103" t="n">
        <x:f>'Inputs &amp; Guide'!$B$5</x:f>
        <x:v>15</x:v>
      </x:c>
      <x:c r="M41" s="103" t="n">
        <x:f>I41*'Inputs &amp; Guide'!$B$6</x:f>
        <x:v>3.500253910896297</x:v>
      </x:c>
      <x:c r="N41" s="103" t="n">
        <x:f>MAX(0,MIN(K41-L41,M41))</x:f>
        <x:v>0</x:v>
      </x:c>
      <x:c r="O41" s="103" t="n">
        <x:f>MAX(0,N41-'Inputs &amp; Guide'!$B$7)</x:f>
        <x:v>0</x:v>
      </x:c>
      <x:c r="P41" s="103" t="n">
        <x:f>N41-O41</x:f>
        <x:v>0</x:v>
      </x:c>
      <x:c r="Q41" s="103" t="n">
        <x:f>I41*'Inputs &amp; Guide'!$B$8</x:f>
        <x:v>0.11455376435660607</x:v>
      </x:c>
      <x:c r="R41" s="104" t="n">
        <x:f>IFERROR(P41/Q41,0)</x:f>
        <x:v>0</x:v>
      </x:c>
      <x:c r="S41" s="105" t="n">
        <x:f>ROUND(E41*XLOOKUP(C41,'Reference Tables'!$E$4:$E$12,'Reference Tables'!$G$4:$G$12,1),1)</x:f>
        <x:v>9.6</x:v>
      </x:c>
      <x:c r="T41" s="106" t="str">
        <x:f>IF(R41&gt;='Inputs &amp; Guide'!$B$9,"HIGH",IF(R41&gt;=0.45,"WATCH","NORMAL"))</x:f>
        <x:v>NORMAL</x:v>
      </x:c>
    </x:row>
    <x:row r="42">
      <x:c r="A42" s="95" t="n">
        <x:v>305</x:v>
      </x:c>
      <x:c r="B42" s="96" t="n">
        <x:v>45304.4375</x:v>
      </x:c>
      <x:c r="C42" s="97" t="str">
        <x:v>Tornado</x:v>
      </x:c>
      <x:c r="D42" s="97" t="str">
        <x:v>India</x:v>
      </x:c>
      <x:c r="E42" s="98" t="n">
        <x:v>7.588165764849009</x:v>
      </x:c>
      <x:c r="F42" s="99" t="n">
        <x:v>737.5585167960124</x:v>
      </x:c>
      <x:c r="G42" s="100" t="str">
        <x:f>XLOOKUP(D42,'Reference Tables'!$A$4:$A$23,'Reference Tables'!$B$4:$B$23,"Other")</x:f>
        <x:v>Asia Pacific</x:v>
      </x:c>
      <x:c r="H42" s="100" t="str">
        <x:f>VLOOKUP(G42,'Reference Tables'!$I$4:$J$9,2,FALSE)</x:f>
        <x:v>High</x:v>
      </x:c>
      <x:c r="I42" s="101" t="n">
        <x:f>F42*'Inputs &amp; Guide'!$B$4*XLOOKUP(D42,'Reference Tables'!$A$4:$A$23,'Reference Tables'!$C$4:$C$23,0.75)</x:f>
        <x:v>107.38852004549942</x:v>
      </x:c>
      <x:c r="J42" s="102" t="n">
        <x:f>XLOOKUP(C42,'Reference Tables'!$E$4:$E$12,'Reference Tables'!$F$4:$F$12,0.05)</x:f>
        <x:v>0.09</x:v>
      </x:c>
      <x:c r="K42" s="103" t="n">
        <x:f>MIN(I42,F42*J42)</x:f>
        <x:v>66.38026651164111</x:v>
      </x:c>
      <x:c r="L42" s="103" t="n">
        <x:f>'Inputs &amp; Guide'!$B$5</x:f>
        <x:v>15</x:v>
      </x:c>
      <x:c r="M42" s="103" t="n">
        <x:f>I42*'Inputs &amp; Guide'!$B$6</x:f>
        <x:v>59.06368602502469</x:v>
      </x:c>
      <x:c r="N42" s="103" t="n">
        <x:f>MAX(0,MIN(K42-L42,M42))</x:f>
        <x:v>51.38026651164111</x:v>
      </x:c>
      <x:c r="O42" s="103" t="n">
        <x:f>MAX(0,N42-'Inputs &amp; Guide'!$B$7)</x:f>
        <x:v>0</x:v>
      </x:c>
      <x:c r="P42" s="103" t="n">
        <x:f>N42-O42</x:f>
        <x:v>51.38026651164111</x:v>
      </x:c>
      <x:c r="Q42" s="103" t="n">
        <x:f>I42*'Inputs &amp; Guide'!$B$8</x:f>
        <x:v>1.9329933608189893</x:v>
      </x:c>
      <x:c r="R42" s="104" t="n">
        <x:f>IFERROR(P42/Q42,0)</x:f>
        <x:v>26.5806740742616</x:v>
      </x:c>
      <x:c r="S42" s="105" t="n">
        <x:f>ROUND(E42*XLOOKUP(C42,'Reference Tables'!$E$4:$E$12,'Reference Tables'!$G$4:$G$12,1),1)</x:f>
        <x:v>8</x:v>
      </x:c>
      <x:c r="T42" s="106" t="str">
        <x:f>IF(R42&gt;='Inputs &amp; Guide'!$B$9,"HIGH",IF(R42&gt;=0.45,"WATCH","NORMAL"))</x:f>
        <x:v>HIGH</x:v>
      </x:c>
    </x:row>
    <x:row r="43">
      <x:c r="A43" s="95" t="n">
        <x:v>313</x:v>
      </x:c>
      <x:c r="B43" s="96" t="n">
        <x:v>45305</x:v>
      </x:c>
      <x:c r="C43" s="97" t="str">
        <x:v>Wildfire</x:v>
      </x:c>
      <x:c r="D43" s="97" t="str">
        <x:v>USA</x:v>
      </x:c>
      <x:c r="E43" s="98" t="n">
        <x:v>8.922218896536084</x:v>
      </x:c>
      <x:c r="F43" s="99" t="n">
        <x:v>489.7240665085295</x:v>
      </x:c>
      <x:c r="G43" s="100" t="str">
        <x:f>XLOOKUP(D43,'Reference Tables'!$A$4:$A$23,'Reference Tables'!$B$4:$B$23,"Other")</x:f>
        <x:v>Other</x:v>
      </x:c>
      <x:c r="H43" s="100" t="str">
        <x:f>VLOOKUP(G43,'Reference Tables'!$I$4:$J$9,2,FALSE)</x:f>
        <x:v>Moderate</x:v>
      </x:c>
      <x:c r="I43" s="101" t="n">
        <x:f>F43*'Inputs &amp; Guide'!$B$4*XLOOKUP(D43,'Reference Tables'!$A$4:$A$23,'Reference Tables'!$C$4:$C$23,0.75)</x:f>
        <x:v>58.766887981023544</x:v>
      </x:c>
      <x:c r="J43" s="102" t="n">
        <x:f>XLOOKUP(C43,'Reference Tables'!$E$4:$E$12,'Reference Tables'!$F$4:$F$12,0.05)</x:f>
        <x:v>0.1</x:v>
      </x:c>
      <x:c r="K43" s="103" t="n">
        <x:f>MIN(I43,F43*J43)</x:f>
        <x:v>48.97240665085295</x:v>
      </x:c>
      <x:c r="L43" s="103" t="n">
        <x:f>'Inputs &amp; Guide'!$B$5</x:f>
        <x:v>15</x:v>
      </x:c>
      <x:c r="M43" s="103" t="n">
        <x:f>I43*'Inputs &amp; Guide'!$B$6</x:f>
        <x:v>32.321788389562954</x:v>
      </x:c>
      <x:c r="N43" s="103" t="n">
        <x:f>MAX(0,MIN(K43-L43,M43))</x:f>
        <x:v>32.321788389562954</x:v>
      </x:c>
      <x:c r="O43" s="103" t="n">
        <x:f>MAX(0,N43-'Inputs &amp; Guide'!$B$7)</x:f>
        <x:v>0</x:v>
      </x:c>
      <x:c r="P43" s="103" t="n">
        <x:f>N43-O43</x:f>
        <x:v>32.321788389562954</x:v>
      </x:c>
      <x:c r="Q43" s="103" t="n">
        <x:f>I43*'Inputs &amp; Guide'!$B$8</x:f>
        <x:v>1.0578039836584237</x:v>
      </x:c>
      <x:c r="R43" s="104" t="n">
        <x:f>IFERROR(P43/Q43,0)</x:f>
        <x:v>30.555555555555564</x:v>
      </x:c>
      <x:c r="S43" s="105" t="n">
        <x:f>ROUND(E43*XLOOKUP(C43,'Reference Tables'!$E$4:$E$12,'Reference Tables'!$G$4:$G$12,1),1)</x:f>
        <x:v>10.3</x:v>
      </x:c>
      <x:c r="T43" s="106" t="str">
        <x:f>IF(R43&gt;='Inputs &amp; Guide'!$B$9,"HIGH",IF(R43&gt;=0.45,"WATCH","NORMAL"))</x:f>
        <x:v>HIGH</x:v>
      </x:c>
    </x:row>
    <x:row r="44">
      <x:c r="A44" s="95" t="n">
        <x:v>321</x:v>
      </x:c>
      <x:c r="B44" s="96" t="n">
        <x:v>45305.104166666664</x:v>
      </x:c>
      <x:c r="C44" s="97" t="str">
        <x:v>Tornado</x:v>
      </x:c>
      <x:c r="D44" s="97" t="str">
        <x:v>China</x:v>
      </x:c>
      <x:c r="E44" s="98" t="n">
        <x:v>1.8044983714275198</x:v>
      </x:c>
      <x:c r="F44" s="99" t="n">
        <x:v>534.16407214378</x:v>
      </x:c>
      <x:c r="G44" s="100" t="str">
        <x:f>XLOOKUP(D44,'Reference Tables'!$A$4:$A$23,'Reference Tables'!$B$4:$B$23,"Other")</x:f>
        <x:v>Asia Pacific</x:v>
      </x:c>
      <x:c r="H44" s="100" t="str">
        <x:f>VLOOKUP(G44,'Reference Tables'!$I$4:$J$9,2,FALSE)</x:f>
        <x:v>High</x:v>
      </x:c>
      <x:c r="I44" s="101" t="n">
        <x:f>F44*'Inputs &amp; Guide'!$B$4*XLOOKUP(D44,'Reference Tables'!$A$4:$A$23,'Reference Tables'!$C$4:$C$23,0.75)</x:f>
        <x:v>92.30355166644519</x:v>
      </x:c>
      <x:c r="J44" s="102" t="n">
        <x:f>XLOOKUP(C44,'Reference Tables'!$E$4:$E$12,'Reference Tables'!$F$4:$F$12,0.05)</x:f>
        <x:v>0.09</x:v>
      </x:c>
      <x:c r="K44" s="103" t="n">
        <x:f>MIN(I44,F44*J44)</x:f>
        <x:v>48.0747664929402</x:v>
      </x:c>
      <x:c r="L44" s="103" t="n">
        <x:f>'Inputs &amp; Guide'!$B$5</x:f>
        <x:v>15</x:v>
      </x:c>
      <x:c r="M44" s="103" t="n">
        <x:f>I44*'Inputs &amp; Guide'!$B$6</x:f>
        <x:v>50.76695341654486</x:v>
      </x:c>
      <x:c r="N44" s="103" t="n">
        <x:f>MAX(0,MIN(K44-L44,M44))</x:f>
        <x:v>33.0747664929402</x:v>
      </x:c>
      <x:c r="O44" s="103" t="n">
        <x:f>MAX(0,N44-'Inputs &amp; Guide'!$B$7)</x:f>
        <x:v>0</x:v>
      </x:c>
      <x:c r="P44" s="103" t="n">
        <x:f>N44-O44</x:f>
        <x:v>33.0747664929402</x:v>
      </x:c>
      <x:c r="Q44" s="103" t="n">
        <x:f>I44*'Inputs &amp; Guide'!$B$8</x:f>
        <x:v>1.6614639299960132</x:v>
      </x:c>
      <x:c r="R44" s="104" t="n">
        <x:f>IFERROR(P44/Q44,0)</x:f>
        <x:v>19.907002430693492</x:v>
      </x:c>
      <x:c r="S44" s="105" t="n">
        <x:f>ROUND(E44*XLOOKUP(C44,'Reference Tables'!$E$4:$E$12,'Reference Tables'!$G$4:$G$12,1),1)</x:f>
        <x:v>1.9</x:v>
      </x:c>
      <x:c r="T44" s="106" t="str">
        <x:f>IF(R44&gt;='Inputs &amp; Guide'!$B$9,"HIGH",IF(R44&gt;=0.45,"WATCH","NORMAL"))</x:f>
        <x:v>HIGH</x:v>
      </x:c>
    </x:row>
    <x:row r="45">
      <x:c r="A45" s="95" t="n">
        <x:v>329</x:v>
      </x:c>
      <x:c r="B45" s="96" t="n">
        <x:v>45305.4375</x:v>
      </x:c>
      <x:c r="C45" s="97" t="str">
        <x:v>Hurricane</x:v>
      </x:c>
      <x:c r="D45" s="97" t="str">
        <x:v>Japan</x:v>
      </x:c>
      <x:c r="E45" s="98" t="n">
        <x:v>1.1375874670650103</x:v>
      </x:c>
      <x:c r="F45" s="99" t="n">
        <x:v>170.26859993024078</x:v>
      </x:c>
      <x:c r="G45" s="100" t="str">
        <x:f>XLOOKUP(D45,'Reference Tables'!$A$4:$A$23,'Reference Tables'!$B$4:$B$23,"Other")</x:f>
        <x:v>Asia Pacific</x:v>
      </x:c>
      <x:c r="H45" s="100" t="str">
        <x:f>VLOOKUP(G45,'Reference Tables'!$I$4:$J$9,2,FALSE)</x:f>
        <x:v>High</x:v>
      </x:c>
      <x:c r="I45" s="101" t="n">
        <x:f>F45*'Inputs &amp; Guide'!$B$4*XLOOKUP(D45,'Reference Tables'!$A$4:$A$23,'Reference Tables'!$C$4:$C$23,0.75)</x:f>
        <x:v>32.14671166682946</x:v>
      </x:c>
      <x:c r="J45" s="102" t="n">
        <x:f>XLOOKUP(C45,'Reference Tables'!$E$4:$E$12,'Reference Tables'!$F$4:$F$12,0.05)</x:f>
        <x:v>0.18</x:v>
      </x:c>
      <x:c r="K45" s="103" t="n">
        <x:f>MIN(I45,F45*J45)</x:f>
        <x:v>30.64834798744334</x:v>
      </x:c>
      <x:c r="L45" s="103" t="n">
        <x:f>'Inputs &amp; Guide'!$B$5</x:f>
        <x:v>15</x:v>
      </x:c>
      <x:c r="M45" s="103" t="n">
        <x:f>I45*'Inputs &amp; Guide'!$B$6</x:f>
        <x:v>17.680691416756204</x:v>
      </x:c>
      <x:c r="N45" s="103" t="n">
        <x:f>MAX(0,MIN(K45-L45,M45))</x:f>
        <x:v>15.64834798744334</x:v>
      </x:c>
      <x:c r="O45" s="103" t="n">
        <x:f>MAX(0,N45-'Inputs &amp; Guide'!$B$7)</x:f>
        <x:v>0</x:v>
      </x:c>
      <x:c r="P45" s="103" t="n">
        <x:f>N45-O45</x:f>
        <x:v>15.64834798744334</x:v>
      </x:c>
      <x:c r="Q45" s="103" t="n">
        <x:f>I45*'Inputs &amp; Guide'!$B$8</x:f>
        <x:v>0.5786408100029302</x:v>
      </x:c>
      <x:c r="R45" s="104" t="n">
        <x:f>IFERROR(P45/Q45,0)</x:f>
        <x:v>27.043284394967056</x:v>
      </x:c>
      <x:c r="S45" s="105" t="n">
        <x:f>ROUND(E45*XLOOKUP(C45,'Reference Tables'!$E$4:$E$12,'Reference Tables'!$G$4:$G$12,1),1)</x:f>
        <x:v>1.6</x:v>
      </x:c>
      <x:c r="T45" s="106" t="str">
        <x:f>IF(R45&gt;='Inputs &amp; Guide'!$B$9,"HIGH",IF(R45&gt;=0.45,"WATCH","NORMAL"))</x:f>
        <x:v>HIGH</x:v>
      </x:c>
    </x:row>
    <x:row r="46">
      <x:c r="A46" s="95" t="n">
        <x:v>337</x:v>
      </x:c>
      <x:c r="B46" s="96" t="n">
        <x:v>45306</x:v>
      </x:c>
      <x:c r="C46" s="97" t="str">
        <x:v>Wildfire</x:v>
      </x:c>
      <x:c r="D46" s="97" t="str">
        <x:v>Indonesia</x:v>
      </x:c>
      <x:c r="E46" s="98" t="n">
        <x:v>1.5702950859258376</x:v>
      </x:c>
      <x:c r="F46" s="99" t="n">
        <x:v>678.005951914771</x:v>
      </x:c>
      <x:c r="G46" s="100" t="str">
        <x:f>XLOOKUP(D46,'Reference Tables'!$A$4:$A$23,'Reference Tables'!$B$4:$B$23,"Other")</x:f>
        <x:v>Asia Pacific</x:v>
      </x:c>
      <x:c r="H46" s="100" t="str">
        <x:f>VLOOKUP(G46,'Reference Tables'!$I$4:$J$9,2,FALSE)</x:f>
        <x:v>High</x:v>
      </x:c>
      <x:c r="I46" s="101" t="n">
        <x:f>F46*'Inputs &amp; Guide'!$B$4*XLOOKUP(D46,'Reference Tables'!$A$4:$A$23,'Reference Tables'!$C$4:$C$23,0.75)</x:f>
        <x:v>111.73538087555427</x:v>
      </x:c>
      <x:c r="J46" s="102" t="n">
        <x:f>XLOOKUP(C46,'Reference Tables'!$E$4:$E$12,'Reference Tables'!$F$4:$F$12,0.05)</x:f>
        <x:v>0.1</x:v>
      </x:c>
      <x:c r="K46" s="103" t="n">
        <x:f>MIN(I46,F46*J46)</x:f>
        <x:v>67.8005951914771</x:v>
      </x:c>
      <x:c r="L46" s="103" t="n">
        <x:f>'Inputs &amp; Guide'!$B$5</x:f>
        <x:v>15</x:v>
      </x:c>
      <x:c r="M46" s="103" t="n">
        <x:f>I46*'Inputs &amp; Guide'!$B$6</x:f>
        <x:v>61.454459481554856</x:v>
      </x:c>
      <x:c r="N46" s="103" t="n">
        <x:f>MAX(0,MIN(K46-L46,M46))</x:f>
        <x:v>52.8005951914771</x:v>
      </x:c>
      <x:c r="O46" s="103" t="n">
        <x:f>MAX(0,N46-'Inputs &amp; Guide'!$B$7)</x:f>
        <x:v>0</x:v>
      </x:c>
      <x:c r="P46" s="103" t="n">
        <x:f>N46-O46</x:f>
        <x:v>52.8005951914771</x:v>
      </x:c>
      <x:c r="Q46" s="103" t="n">
        <x:f>I46*'Inputs &amp; Guide'!$B$8</x:f>
        <x:v>2.011236855759977</x:v>
      </x:c>
      <x:c r="R46" s="104" t="n">
        <x:f>IFERROR(P46/Q46,0)</x:f>
        <x:v>26.25279814272575</x:v>
      </x:c>
      <x:c r="S46" s="105" t="n">
        <x:f>ROUND(E46*XLOOKUP(C46,'Reference Tables'!$E$4:$E$12,'Reference Tables'!$G$4:$G$12,1),1)</x:f>
        <x:v>1.8</x:v>
      </x:c>
      <x:c r="T46" s="106" t="str">
        <x:f>IF(R46&gt;='Inputs &amp; Guide'!$B$9,"HIGH",IF(R46&gt;=0.45,"WATCH","NORMAL"))</x:f>
        <x:v>HIGH</x:v>
      </x:c>
    </x:row>
    <x:row r="47">
      <x:c r="A47" s="95" t="n">
        <x:v>345</x:v>
      </x:c>
      <x:c r="B47" s="96" t="n">
        <x:v>45306.104166666664</x:v>
      </x:c>
      <x:c r="C47" s="97" t="str">
        <x:v>Wildfire</x:v>
      </x:c>
      <x:c r="D47" s="97" t="str">
        <x:v>Japan</x:v>
      </x:c>
      <x:c r="E47" s="98" t="n">
        <x:v>1.997913454943498</x:v>
      </x:c>
      <x:c r="F47" s="99" t="n">
        <x:v>73.89256811079603</x:v>
      </x:c>
      <x:c r="G47" s="100" t="str">
        <x:f>XLOOKUP(D47,'Reference Tables'!$A$4:$A$23,'Reference Tables'!$B$4:$B$23,"Other")</x:f>
        <x:v>Asia Pacific</x:v>
      </x:c>
      <x:c r="H47" s="100" t="str">
        <x:f>VLOOKUP(G47,'Reference Tables'!$I$4:$J$9,2,FALSE)</x:f>
        <x:v>High</x:v>
      </x:c>
      <x:c r="I47" s="101" t="n">
        <x:f>F47*'Inputs &amp; Guide'!$B$4*XLOOKUP(D47,'Reference Tables'!$A$4:$A$23,'Reference Tables'!$C$4:$C$23,0.75)</x:f>
        <x:v>13.95091685931829</x:v>
      </x:c>
      <x:c r="J47" s="102" t="n">
        <x:f>XLOOKUP(C47,'Reference Tables'!$E$4:$E$12,'Reference Tables'!$F$4:$F$12,0.05)</x:f>
        <x:v>0.1</x:v>
      </x:c>
      <x:c r="K47" s="103" t="n">
        <x:f>MIN(I47,F47*J47)</x:f>
        <x:v>7.389256811079604</x:v>
      </x:c>
      <x:c r="L47" s="103" t="n">
        <x:f>'Inputs &amp; Guide'!$B$5</x:f>
        <x:v>15</x:v>
      </x:c>
      <x:c r="M47" s="103" t="n">
        <x:f>I47*'Inputs &amp; Guide'!$B$6</x:f>
        <x:v>7.67300427262506</x:v>
      </x:c>
      <x:c r="N47" s="103" t="n">
        <x:f>MAX(0,MIN(K47-L47,M47))</x:f>
        <x:v>0</x:v>
      </x:c>
      <x:c r="O47" s="103" t="n">
        <x:f>MAX(0,N47-'Inputs &amp; Guide'!$B$7)</x:f>
        <x:v>0</x:v>
      </x:c>
      <x:c r="P47" s="103" t="n">
        <x:f>N47-O47</x:f>
        <x:v>0</x:v>
      </x:c>
      <x:c r="Q47" s="103" t="n">
        <x:f>I47*'Inputs &amp; Guide'!$B$8</x:f>
        <x:v>0.25111650346772924</x:v>
      </x:c>
      <x:c r="R47" s="104" t="n">
        <x:f>IFERROR(P47/Q47,0)</x:f>
        <x:v>0</x:v>
      </x:c>
      <x:c r="S47" s="105" t="n">
        <x:f>ROUND(E47*XLOOKUP(C47,'Reference Tables'!$E$4:$E$12,'Reference Tables'!$G$4:$G$12,1),1)</x:f>
        <x:v>2.3</x:v>
      </x:c>
      <x:c r="T47" s="106" t="str">
        <x:f>IF(R47&gt;='Inputs &amp; Guide'!$B$9,"HIGH",IF(R47&gt;=0.45,"WATCH","NORMAL"))</x:f>
        <x:v>NORMAL</x:v>
      </x:c>
    </x:row>
    <x:row r="48">
      <x:c r="A48" s="95" t="n">
        <x:v>353</x:v>
      </x:c>
      <x:c r="B48" s="96" t="n">
        <x:v>45306.4375</x:v>
      </x:c>
      <x:c r="C48" s="97" t="str">
        <x:v>Earthquake</x:v>
      </x:c>
      <x:c r="D48" s="97" t="str">
        <x:v>Brazil</x:v>
      </x:c>
      <x:c r="E48" s="98" t="n">
        <x:v>1.9645429120801121</x:v>
      </x:c>
      <x:c r="F48" s="99" t="n">
        <x:v>36.57615850975556</x:v>
      </x:c>
      <x:c r="G48" s="100" t="str">
        <x:f>XLOOKUP(D48,'Reference Tables'!$A$4:$A$23,'Reference Tables'!$B$4:$B$23,"Other")</x:f>
        <x:v>Latin America</x:v>
      </x:c>
      <x:c r="H48" s="100" t="str">
        <x:f>VLOOKUP(G48,'Reference Tables'!$I$4:$J$9,2,FALSE)</x:f>
        <x:v>Moderate</x:v>
      </x:c>
      <x:c r="I48" s="101" t="n">
        <x:f>F48*'Inputs &amp; Guide'!$B$4*XLOOKUP(D48,'Reference Tables'!$A$4:$A$23,'Reference Tables'!$C$4:$C$23,0.75)</x:f>
        <x:v>4.798791996479929</x:v>
      </x:c>
      <x:c r="J48" s="102" t="n">
        <x:f>XLOOKUP(C48,'Reference Tables'!$E$4:$E$12,'Reference Tables'!$F$4:$F$12,0.05)</x:f>
        <x:v>0.14</x:v>
      </x:c>
      <x:c r="K48" s="103" t="n">
        <x:f>MIN(I48,F48*J48)</x:f>
        <x:v>4.798791996479929</x:v>
      </x:c>
      <x:c r="L48" s="103" t="n">
        <x:f>'Inputs &amp; Guide'!$B$5</x:f>
        <x:v>15</x:v>
      </x:c>
      <x:c r="M48" s="103" t="n">
        <x:f>I48*'Inputs &amp; Guide'!$B$6</x:f>
        <x:v>2.6393355980639615</x:v>
      </x:c>
      <x:c r="N48" s="103" t="n">
        <x:f>MAX(0,MIN(K48-L48,M48))</x:f>
        <x:v>0</x:v>
      </x:c>
      <x:c r="O48" s="103" t="n">
        <x:f>MAX(0,N48-'Inputs &amp; Guide'!$B$7)</x:f>
        <x:v>0</x:v>
      </x:c>
      <x:c r="P48" s="103" t="n">
        <x:f>N48-O48</x:f>
        <x:v>0</x:v>
      </x:c>
      <x:c r="Q48" s="103" t="n">
        <x:f>I48*'Inputs &amp; Guide'!$B$8</x:f>
        <x:v>0.08637825593663873</x:v>
      </x:c>
      <x:c r="R48" s="104" t="n">
        <x:f>IFERROR(P48/Q48,0)</x:f>
        <x:v>0</x:v>
      </x:c>
      <x:c r="S48" s="105" t="n">
        <x:f>ROUND(E48*XLOOKUP(C48,'Reference Tables'!$E$4:$E$12,'Reference Tables'!$G$4:$G$12,1),1)</x:f>
        <x:v>2.9</x:v>
      </x:c>
      <x:c r="T48" s="106" t="str">
        <x:f>IF(R48&gt;='Inputs &amp; Guide'!$B$9,"HIGH",IF(R48&gt;=0.45,"WATCH","NORMAL"))</x:f>
        <x:v>NORMAL</x:v>
      </x:c>
    </x:row>
    <x:row r="49">
      <x:c r="A49" s="95" t="n">
        <x:v>361</x:v>
      </x:c>
      <x:c r="B49" s="96" t="n">
        <x:v>45307</x:v>
      </x:c>
      <x:c r="C49" s="97" t="str">
        <x:v>Tornado</x:v>
      </x:c>
      <x:c r="D49" s="97" t="str">
        <x:v>USA</x:v>
      </x:c>
      <x:c r="E49" s="98" t="n">
        <x:v>2.8429843866006284</x:v>
      </x:c>
      <x:c r="F49" s="99" t="n">
        <x:v>842.906244766652</x:v>
      </x:c>
      <x:c r="G49" s="100" t="str">
        <x:f>XLOOKUP(D49,'Reference Tables'!$A$4:$A$23,'Reference Tables'!$B$4:$B$23,"Other")</x:f>
        <x:v>Other</x:v>
      </x:c>
      <x:c r="H49" s="100" t="str">
        <x:f>VLOOKUP(G49,'Reference Tables'!$I$4:$J$9,2,FALSE)</x:f>
        <x:v>Moderate</x:v>
      </x:c>
      <x:c r="I49" s="101" t="n">
        <x:f>F49*'Inputs &amp; Guide'!$B$4*XLOOKUP(D49,'Reference Tables'!$A$4:$A$23,'Reference Tables'!$C$4:$C$23,0.75)</x:f>
        <x:v>101.14874937199825</x:v>
      </x:c>
      <x:c r="J49" s="102" t="n">
        <x:f>XLOOKUP(C49,'Reference Tables'!$E$4:$E$12,'Reference Tables'!$F$4:$F$12,0.05)</x:f>
        <x:v>0.09</x:v>
      </x:c>
      <x:c r="K49" s="103" t="n">
        <x:f>MIN(I49,F49*J49)</x:f>
        <x:v>75.86156202899868</x:v>
      </x:c>
      <x:c r="L49" s="103" t="n">
        <x:f>'Inputs &amp; Guide'!$B$5</x:f>
        <x:v>15</x:v>
      </x:c>
      <x:c r="M49" s="103" t="n">
        <x:f>I49*'Inputs &amp; Guide'!$B$6</x:f>
        <x:v>55.63181215459904</x:v>
      </x:c>
      <x:c r="N49" s="103" t="n">
        <x:f>MAX(0,MIN(K49-L49,M49))</x:f>
        <x:v>55.63181215459904</x:v>
      </x:c>
      <x:c r="O49" s="103" t="n">
        <x:f>MAX(0,N49-'Inputs &amp; Guide'!$B$7)</x:f>
        <x:v>0</x:v>
      </x:c>
      <x:c r="P49" s="103" t="n">
        <x:f>N49-O49</x:f>
        <x:v>55.63181215459904</x:v>
      </x:c>
      <x:c r="Q49" s="103" t="n">
        <x:f>I49*'Inputs &amp; Guide'!$B$8</x:f>
        <x:v>1.8206774886959685</x:v>
      </x:c>
      <x:c r="R49" s="104" t="n">
        <x:f>IFERROR(P49/Q49,0)</x:f>
        <x:v>30.555555555555557</x:v>
      </x:c>
      <x:c r="S49" s="105" t="n">
        <x:f>ROUND(E49*XLOOKUP(C49,'Reference Tables'!$E$4:$E$12,'Reference Tables'!$G$4:$G$12,1),1)</x:f>
        <x:v>3</x:v>
      </x:c>
      <x:c r="T49" s="106" t="str">
        <x:f>IF(R49&gt;='Inputs &amp; Guide'!$B$9,"HIGH",IF(R49&gt;=0.45,"WATCH","NORMAL"))</x:f>
        <x:v>HIGH</x:v>
      </x:c>
    </x:row>
    <x:row r="50">
      <x:c r="A50" s="95" t="n">
        <x:v>369</x:v>
      </x:c>
      <x:c r="B50" s="96" t="n">
        <x:v>45307.104166666664</x:v>
      </x:c>
      <x:c r="C50" s="97" t="str">
        <x:v>Flood</x:v>
      </x:c>
      <x:c r="D50" s="97" t="str">
        <x:v>China</x:v>
      </x:c>
      <x:c r="E50" s="98" t="n">
        <x:v>4.378812325175409</x:v>
      </x:c>
      <x:c r="F50" s="99" t="n">
        <x:v>264.76675866093456</x:v>
      </x:c>
      <x:c r="G50" s="100" t="str">
        <x:f>XLOOKUP(D50,'Reference Tables'!$A$4:$A$23,'Reference Tables'!$B$4:$B$23,"Other")</x:f>
        <x:v>Asia Pacific</x:v>
      </x:c>
      <x:c r="H50" s="100" t="str">
        <x:f>VLOOKUP(G50,'Reference Tables'!$I$4:$J$9,2,FALSE)</x:f>
        <x:v>High</x:v>
      </x:c>
      <x:c r="I50" s="101" t="n">
        <x:f>F50*'Inputs &amp; Guide'!$B$4*XLOOKUP(D50,'Reference Tables'!$A$4:$A$23,'Reference Tables'!$C$4:$C$23,0.75)</x:f>
        <x:v>45.7516958966095</x:v>
      </x:c>
      <x:c r="J50" s="102" t="n">
        <x:f>XLOOKUP(C50,'Reference Tables'!$E$4:$E$12,'Reference Tables'!$F$4:$F$12,0.05)</x:f>
        <x:v>0.12</x:v>
      </x:c>
      <x:c r="K50" s="103" t="n">
        <x:f>MIN(I50,F50*J50)</x:f>
        <x:v>31.772011039312147</x:v>
      </x:c>
      <x:c r="L50" s="103" t="n">
        <x:f>'Inputs &amp; Guide'!$B$5</x:f>
        <x:v>15</x:v>
      </x:c>
      <x:c r="M50" s="103" t="n">
        <x:f>I50*'Inputs &amp; Guide'!$B$6</x:f>
        <x:v>25.163432743135225</x:v>
      </x:c>
      <x:c r="N50" s="103" t="n">
        <x:f>MAX(0,MIN(K50-L50,M50))</x:f>
        <x:v>16.772011039312147</x:v>
      </x:c>
      <x:c r="O50" s="103" t="n">
        <x:f>MAX(0,N50-'Inputs &amp; Guide'!$B$7)</x:f>
        <x:v>0</x:v>
      </x:c>
      <x:c r="P50" s="103" t="n">
        <x:f>N50-O50</x:f>
        <x:v>16.772011039312147</x:v>
      </x:c>
      <x:c r="Q50" s="103" t="n">
        <x:f>I50*'Inputs &amp; Guide'!$B$8</x:f>
        <x:v>0.8235305261389709</x:v>
      </x:c>
      <x:c r="R50" s="104" t="n">
        <x:f>IFERROR(P50/Q50,0)</x:f>
        <x:v>20.365985846263417</x:v>
      </x:c>
      <x:c r="S50" s="105" t="n">
        <x:f>ROUND(E50*XLOOKUP(C50,'Reference Tables'!$E$4:$E$12,'Reference Tables'!$G$4:$G$12,1),1)</x:f>
        <x:v>5.5</x:v>
      </x:c>
      <x:c r="T50" s="106" t="str">
        <x:f>IF(R50&gt;='Inputs &amp; Guide'!$B$9,"HIGH",IF(R50&gt;=0.45,"WATCH","NORMAL"))</x:f>
        <x:v>HIGH</x:v>
      </x:c>
    </x:row>
    <x:row r="51">
      <x:c r="A51" s="95" t="n">
        <x:v>377</x:v>
      </x:c>
      <x:c r="B51" s="96" t="n">
        <x:v>45307.4375</x:v>
      </x:c>
      <x:c r="C51" s="97" t="str">
        <x:v>Wildfire</x:v>
      </x:c>
      <x:c r="D51" s="97" t="str">
        <x:v>India</x:v>
      </x:c>
      <x:c r="E51" s="98" t="n">
        <x:v>5.998476500654757</x:v>
      </x:c>
      <x:c r="F51" s="99" t="n">
        <x:v>828.1819679731316</x:v>
      </x:c>
      <x:c r="G51" s="100" t="str">
        <x:f>XLOOKUP(D51,'Reference Tables'!$A$4:$A$23,'Reference Tables'!$B$4:$B$23,"Other")</x:f>
        <x:v>Asia Pacific</x:v>
      </x:c>
      <x:c r="H51" s="100" t="str">
        <x:f>VLOOKUP(G51,'Reference Tables'!$I$4:$J$9,2,FALSE)</x:f>
        <x:v>High</x:v>
      </x:c>
      <x:c r="I51" s="101" t="n">
        <x:f>F51*'Inputs &amp; Guide'!$B$4*XLOOKUP(D51,'Reference Tables'!$A$4:$A$23,'Reference Tables'!$C$4:$C$23,0.75)</x:f>
        <x:v>120.58329453688795</x:v>
      </x:c>
      <x:c r="J51" s="102" t="n">
        <x:f>XLOOKUP(C51,'Reference Tables'!$E$4:$E$12,'Reference Tables'!$F$4:$F$12,0.05)</x:f>
        <x:v>0.1</x:v>
      </x:c>
      <x:c r="K51" s="103" t="n">
        <x:f>MIN(I51,F51*J51)</x:f>
        <x:v>82.81819679731316</x:v>
      </x:c>
      <x:c r="L51" s="103" t="n">
        <x:f>'Inputs &amp; Guide'!$B$5</x:f>
        <x:v>15</x:v>
      </x:c>
      <x:c r="M51" s="103" t="n">
        <x:f>I51*'Inputs &amp; Guide'!$B$6</x:f>
        <x:v>66.32081199528838</x:v>
      </x:c>
      <x:c r="N51" s="103" t="n">
        <x:f>MAX(0,MIN(K51-L51,M51))</x:f>
        <x:v>66.32081199528838</x:v>
      </x:c>
      <x:c r="O51" s="103" t="n">
        <x:f>MAX(0,N51-'Inputs &amp; Guide'!$B$7)</x:f>
        <x:v>6.320811995288381</x:v>
      </x:c>
      <x:c r="P51" s="103" t="n">
        <x:f>N51-O51</x:f>
        <x:v>60</x:v>
      </x:c>
      <x:c r="Q51" s="103" t="n">
        <x:f>I51*'Inputs &amp; Guide'!$B$8</x:f>
        <x:v>2.170499301663983</x:v>
      </x:c>
      <x:c r="R51" s="104" t="n">
        <x:f>IFERROR(P51/Q51,0)</x:f>
        <x:v>27.643409032199106</x:v>
      </x:c>
      <x:c r="S51" s="105" t="n">
        <x:f>ROUND(E51*XLOOKUP(C51,'Reference Tables'!$E$4:$E$12,'Reference Tables'!$G$4:$G$12,1),1)</x:f>
        <x:v>6.9</x:v>
      </x:c>
      <x:c r="T51" s="106" t="str">
        <x:f>IF(R51&gt;='Inputs &amp; Guide'!$B$9,"HIGH",IF(R51&gt;=0.45,"WATCH","NORMAL"))</x:f>
        <x:v>HIGH</x:v>
      </x:c>
    </x:row>
    <x:row r="52">
      <x:c r="A52" s="95" t="n">
        <x:v>385</x:v>
      </x:c>
      <x:c r="B52" s="96" t="n">
        <x:v>45308</x:v>
      </x:c>
      <x:c r="C52" s="97" t="str">
        <x:v>Earthquake</x:v>
      </x:c>
      <x:c r="D52" s="97" t="str">
        <x:v>Brazil</x:v>
      </x:c>
      <x:c r="E52" s="98" t="n">
        <x:v>4.4060766970409695</x:v>
      </x:c>
      <x:c r="F52" s="99" t="n">
        <x:v>942.4449203693439</x:v>
      </x:c>
      <x:c r="G52" s="100" t="str">
        <x:f>XLOOKUP(D52,'Reference Tables'!$A$4:$A$23,'Reference Tables'!$B$4:$B$23,"Other")</x:f>
        <x:v>Latin America</x:v>
      </x:c>
      <x:c r="H52" s="100" t="str">
        <x:f>VLOOKUP(G52,'Reference Tables'!$I$4:$J$9,2,FALSE)</x:f>
        <x:v>Moderate</x:v>
      </x:c>
      <x:c r="I52" s="101" t="n">
        <x:f>F52*'Inputs &amp; Guide'!$B$4*XLOOKUP(D52,'Reference Tables'!$A$4:$A$23,'Reference Tables'!$C$4:$C$23,0.75)</x:f>
        <x:v>123.64877355245793</x:v>
      </x:c>
      <x:c r="J52" s="102" t="n">
        <x:f>XLOOKUP(C52,'Reference Tables'!$E$4:$E$12,'Reference Tables'!$F$4:$F$12,0.05)</x:f>
        <x:v>0.14</x:v>
      </x:c>
      <x:c r="K52" s="103" t="n">
        <x:f>MIN(I52,F52*J52)</x:f>
        <x:v>123.64877355245793</x:v>
      </x:c>
      <x:c r="L52" s="103" t="n">
        <x:f>'Inputs &amp; Guide'!$B$5</x:f>
        <x:v>15</x:v>
      </x:c>
      <x:c r="M52" s="103" t="n">
        <x:f>I52*'Inputs &amp; Guide'!$B$6</x:f>
        <x:v>68.00682545385186</x:v>
      </x:c>
      <x:c r="N52" s="103" t="n">
        <x:f>MAX(0,MIN(K52-L52,M52))</x:f>
        <x:v>68.00682545385186</x:v>
      </x:c>
      <x:c r="O52" s="103" t="n">
        <x:f>MAX(0,N52-'Inputs &amp; Guide'!$B$7)</x:f>
        <x:v>8.00682545385186</x:v>
      </x:c>
      <x:c r="P52" s="103" t="n">
        <x:f>N52-O52</x:f>
        <x:v>60</x:v>
      </x:c>
      <x:c r="Q52" s="103" t="n">
        <x:f>I52*'Inputs &amp; Guide'!$B$8</x:f>
        <x:v>2.2256779239442426</x:v>
      </x:c>
      <x:c r="R52" s="104" t="n">
        <x:f>IFERROR(P52/Q52,0)</x:f>
        <x:v>26.95807841489967</x:v>
      </x:c>
      <x:c r="S52" s="105" t="n">
        <x:f>ROUND(E52*XLOOKUP(C52,'Reference Tables'!$E$4:$E$12,'Reference Tables'!$G$4:$G$12,1),1)</x:f>
        <x:v>6.6</x:v>
      </x:c>
      <x:c r="T52" s="106" t="str">
        <x:f>IF(R52&gt;='Inputs &amp; Guide'!$B$9,"HIGH",IF(R52&gt;=0.45,"WATCH","NORMAL"))</x:f>
        <x:v>HIGH</x:v>
      </x:c>
    </x:row>
    <x:row r="53">
      <x:c r="A53" s="95" t="n">
        <x:v>393</x:v>
      </x:c>
      <x:c r="B53" s="96" t="n">
        <x:v>45308.104166666664</x:v>
      </x:c>
      <x:c r="C53" s="97" t="str">
        <x:v>Flood</x:v>
      </x:c>
      <x:c r="D53" s="97" t="str">
        <x:v>USA</x:v>
      </x:c>
      <x:c r="E53" s="98" t="n">
        <x:v>1.6565033481972407</x:v>
      </x:c>
      <x:c r="F53" s="99" t="n">
        <x:v>743.2765662794181</x:v>
      </x:c>
      <x:c r="G53" s="100" t="str">
        <x:f>XLOOKUP(D53,'Reference Tables'!$A$4:$A$23,'Reference Tables'!$B$4:$B$23,"Other")</x:f>
        <x:v>Other</x:v>
      </x:c>
      <x:c r="H53" s="100" t="str">
        <x:f>VLOOKUP(G53,'Reference Tables'!$I$4:$J$9,2,FALSE)</x:f>
        <x:v>Moderate</x:v>
      </x:c>
      <x:c r="I53" s="101" t="n">
        <x:f>F53*'Inputs &amp; Guide'!$B$4*XLOOKUP(D53,'Reference Tables'!$A$4:$A$23,'Reference Tables'!$C$4:$C$23,0.75)</x:f>
        <x:v>89.19318795353018</x:v>
      </x:c>
      <x:c r="J53" s="102" t="n">
        <x:f>XLOOKUP(C53,'Reference Tables'!$E$4:$E$12,'Reference Tables'!$F$4:$F$12,0.05)</x:f>
        <x:v>0.12</x:v>
      </x:c>
      <x:c r="K53" s="103" t="n">
        <x:f>MIN(I53,F53*J53)</x:f>
        <x:v>89.19318795353017</x:v>
      </x:c>
      <x:c r="L53" s="103" t="n">
        <x:f>'Inputs &amp; Guide'!$B$5</x:f>
        <x:v>15</x:v>
      </x:c>
      <x:c r="M53" s="103" t="n">
        <x:f>I53*'Inputs &amp; Guide'!$B$6</x:f>
        <x:v>49.0562533744416</x:v>
      </x:c>
      <x:c r="N53" s="103" t="n">
        <x:f>MAX(0,MIN(K53-L53,M53))</x:f>
        <x:v>49.0562533744416</x:v>
      </x:c>
      <x:c r="O53" s="103" t="n">
        <x:f>MAX(0,N53-'Inputs &amp; Guide'!$B$7)</x:f>
        <x:v>0</x:v>
      </x:c>
      <x:c r="P53" s="103" t="n">
        <x:f>N53-O53</x:f>
        <x:v>49.0562533744416</x:v>
      </x:c>
      <x:c r="Q53" s="103" t="n">
        <x:f>I53*'Inputs &amp; Guide'!$B$8</x:f>
        <x:v>1.6054773831635432</x:v>
      </x:c>
      <x:c r="R53" s="104" t="n">
        <x:f>IFERROR(P53/Q53,0)</x:f>
        <x:v>30.55555555555556</x:v>
      </x:c>
      <x:c r="S53" s="105" t="n">
        <x:f>ROUND(E53*XLOOKUP(C53,'Reference Tables'!$E$4:$E$12,'Reference Tables'!$G$4:$G$12,1),1)</x:f>
        <x:v>2.1</x:v>
      </x:c>
      <x:c r="T53" s="106" t="str">
        <x:f>IF(R53&gt;='Inputs &amp; Guide'!$B$9,"HIGH",IF(R53&gt;=0.45,"WATCH","NORMAL"))</x:f>
        <x:v>HIGH</x:v>
      </x:c>
    </x:row>
    <x:row r="54">
      <x:c r="A54" s="95" t="n">
        <x:v>401</x:v>
      </x:c>
      <x:c r="B54" s="96" t="n">
        <x:v>45308.4375</x:v>
      </x:c>
      <x:c r="C54" s="97" t="str">
        <x:v>Wildfire</x:v>
      </x:c>
      <x:c r="D54" s="97" t="str">
        <x:v>Brazil</x:v>
      </x:c>
      <x:c r="E54" s="98" t="n">
        <x:v>9.371893430436032</x:v>
      </x:c>
      <x:c r="F54" s="99" t="n">
        <x:v>990.0314527375077</x:v>
      </x:c>
      <x:c r="G54" s="100" t="str">
        <x:f>XLOOKUP(D54,'Reference Tables'!$A$4:$A$23,'Reference Tables'!$B$4:$B$23,"Other")</x:f>
        <x:v>Latin America</x:v>
      </x:c>
      <x:c r="H54" s="100" t="str">
        <x:f>VLOOKUP(G54,'Reference Tables'!$I$4:$J$9,2,FALSE)</x:f>
        <x:v>Moderate</x:v>
      </x:c>
      <x:c r="I54" s="101" t="n">
        <x:f>F54*'Inputs &amp; Guide'!$B$4*XLOOKUP(D54,'Reference Tables'!$A$4:$A$23,'Reference Tables'!$C$4:$C$23,0.75)</x:f>
        <x:v>129.892126599161</x:v>
      </x:c>
      <x:c r="J54" s="102" t="n">
        <x:f>XLOOKUP(C54,'Reference Tables'!$E$4:$E$12,'Reference Tables'!$F$4:$F$12,0.05)</x:f>
        <x:v>0.1</x:v>
      </x:c>
      <x:c r="K54" s="103" t="n">
        <x:f>MIN(I54,F54*J54)</x:f>
        <x:v>99.00314527375077</x:v>
      </x:c>
      <x:c r="L54" s="103" t="n">
        <x:f>'Inputs &amp; Guide'!$B$5</x:f>
        <x:v>15</x:v>
      </x:c>
      <x:c r="M54" s="103" t="n">
        <x:f>I54*'Inputs &amp; Guide'!$B$6</x:f>
        <x:v>71.44066962953856</x:v>
      </x:c>
      <x:c r="N54" s="103" t="n">
        <x:f>MAX(0,MIN(K54-L54,M54))</x:f>
        <x:v>71.44066962953856</x:v>
      </x:c>
      <x:c r="O54" s="103" t="n">
        <x:f>MAX(0,N54-'Inputs &amp; Guide'!$B$7)</x:f>
        <x:v>11.440669629538561</x:v>
      </x:c>
      <x:c r="P54" s="103" t="n">
        <x:f>N54-O54</x:f>
        <x:v>60</x:v>
      </x:c>
      <x:c r="Q54" s="103" t="n">
        <x:f>I54*'Inputs &amp; Guide'!$B$8</x:f>
        <x:v>2.338058278784898</x:v>
      </x:c>
      <x:c r="R54" s="104" t="n">
        <x:f>IFERROR(P54/Q54,0)</x:f>
        <x:v>25.662320115982027</x:v>
      </x:c>
      <x:c r="S54" s="105" t="n">
        <x:f>ROUND(E54*XLOOKUP(C54,'Reference Tables'!$E$4:$E$12,'Reference Tables'!$G$4:$G$12,1),1)</x:f>
        <x:v>10.8</x:v>
      </x:c>
      <x:c r="T54" s="106" t="str">
        <x:f>IF(R54&gt;='Inputs &amp; Guide'!$B$9,"HIGH",IF(R54&gt;=0.45,"WATCH","NORMAL"))</x:f>
        <x:v>HIGH</x:v>
      </x:c>
    </x:row>
    <x:row r="55">
      <x:c r="A55" s="95" t="n">
        <x:v>409</x:v>
      </x:c>
      <x:c r="B55" s="96" t="n">
        <x:v>45309</x:v>
      </x:c>
      <x:c r="C55" s="97" t="str">
        <x:v>Wildfire</x:v>
      </x:c>
      <x:c r="D55" s="97" t="str">
        <x:v>Japan</x:v>
      </x:c>
      <x:c r="E55" s="98" t="n">
        <x:v>9.218787932288866</x:v>
      </x:c>
      <x:c r="F55" s="99" t="n">
        <x:v>49.28206669292783</x:v>
      </x:c>
      <x:c r="G55" s="100" t="str">
        <x:f>XLOOKUP(D55,'Reference Tables'!$A$4:$A$23,'Reference Tables'!$B$4:$B$23,"Other")</x:f>
        <x:v>Asia Pacific</x:v>
      </x:c>
      <x:c r="H55" s="100" t="str">
        <x:f>VLOOKUP(G55,'Reference Tables'!$I$4:$J$9,2,FALSE)</x:f>
        <x:v>High</x:v>
      </x:c>
      <x:c r="I55" s="101" t="n">
        <x:f>F55*'Inputs &amp; Guide'!$B$4*XLOOKUP(D55,'Reference Tables'!$A$4:$A$23,'Reference Tables'!$C$4:$C$23,0.75)</x:f>
        <x:v>9.304454191624773</x:v>
      </x:c>
      <x:c r="J55" s="102" t="n">
        <x:f>XLOOKUP(C55,'Reference Tables'!$E$4:$E$12,'Reference Tables'!$F$4:$F$12,0.05)</x:f>
        <x:v>0.1</x:v>
      </x:c>
      <x:c r="K55" s="103" t="n">
        <x:f>MIN(I55,F55*J55)</x:f>
        <x:v>4.928206669292783</x:v>
      </x:c>
      <x:c r="L55" s="103" t="n">
        <x:f>'Inputs &amp; Guide'!$B$5</x:f>
        <x:v>15</x:v>
      </x:c>
      <x:c r="M55" s="103" t="n">
        <x:f>I55*'Inputs &amp; Guide'!$B$6</x:f>
        <x:v>5.117449805393625</x:v>
      </x:c>
      <x:c r="N55" s="103" t="n">
        <x:f>MAX(0,MIN(K55-L55,M55))</x:f>
        <x:v>0</x:v>
      </x:c>
      <x:c r="O55" s="103" t="n">
        <x:f>MAX(0,N55-'Inputs &amp; Guide'!$B$7)</x:f>
        <x:v>0</x:v>
      </x:c>
      <x:c r="P55" s="103" t="n">
        <x:f>N55-O55</x:f>
        <x:v>0</x:v>
      </x:c>
      <x:c r="Q55" s="103" t="n">
        <x:f>I55*'Inputs &amp; Guide'!$B$8</x:f>
        <x:v>0.1674801754492459</x:v>
      </x:c>
      <x:c r="R55" s="104" t="n">
        <x:f>IFERROR(P55/Q55,0)</x:f>
        <x:v>0</x:v>
      </x:c>
      <x:c r="S55" s="105" t="n">
        <x:f>ROUND(E55*XLOOKUP(C55,'Reference Tables'!$E$4:$E$12,'Reference Tables'!$G$4:$G$12,1),1)</x:f>
        <x:v>10.6</x:v>
      </x:c>
      <x:c r="T55" s="106" t="str">
        <x:f>IF(R55&gt;='Inputs &amp; Guide'!$B$9,"HIGH",IF(R55&gt;=0.45,"WATCH","NORMAL"))</x:f>
        <x:v>NORMAL</x:v>
      </x:c>
    </x:row>
    <x:row r="56">
      <x:c r="A56" s="95" t="n">
        <x:v>417</x:v>
      </x:c>
      <x:c r="B56" s="96" t="n">
        <x:v>45309.104166666664</x:v>
      </x:c>
      <x:c r="C56" s="97" t="str">
        <x:v>Tornado</x:v>
      </x:c>
      <x:c r="D56" s="97" t="str">
        <x:v>Brazil</x:v>
      </x:c>
      <x:c r="E56" s="98" t="n">
        <x:v>2.472367458300315</x:v>
      </x:c>
      <x:c r="F56" s="99" t="n">
        <x:v>734.2863927510784</x:v>
      </x:c>
      <x:c r="G56" s="100" t="str">
        <x:f>XLOOKUP(D56,'Reference Tables'!$A$4:$A$23,'Reference Tables'!$B$4:$B$23,"Other")</x:f>
        <x:v>Latin America</x:v>
      </x:c>
      <x:c r="H56" s="100" t="str">
        <x:f>VLOOKUP(G56,'Reference Tables'!$I$4:$J$9,2,FALSE)</x:f>
        <x:v>Moderate</x:v>
      </x:c>
      <x:c r="I56" s="101" t="n">
        <x:f>F56*'Inputs &amp; Guide'!$B$4*XLOOKUP(D56,'Reference Tables'!$A$4:$A$23,'Reference Tables'!$C$4:$C$23,0.75)</x:f>
        <x:v>96.33837472894149</x:v>
      </x:c>
      <x:c r="J56" s="102" t="n">
        <x:f>XLOOKUP(C56,'Reference Tables'!$E$4:$E$12,'Reference Tables'!$F$4:$F$12,0.05)</x:f>
        <x:v>0.09</x:v>
      </x:c>
      <x:c r="K56" s="103" t="n">
        <x:f>MIN(I56,F56*J56)</x:f>
        <x:v>66.08577534759706</x:v>
      </x:c>
      <x:c r="L56" s="103" t="n">
        <x:f>'Inputs &amp; Guide'!$B$5</x:f>
        <x:v>15</x:v>
      </x:c>
      <x:c r="M56" s="103" t="n">
        <x:f>I56*'Inputs &amp; Guide'!$B$6</x:f>
        <x:v>52.98610610091782</x:v>
      </x:c>
      <x:c r="N56" s="103" t="n">
        <x:f>MAX(0,MIN(K56-L56,M56))</x:f>
        <x:v>51.085775347597064</x:v>
      </x:c>
      <x:c r="O56" s="103" t="n">
        <x:f>MAX(0,N56-'Inputs &amp; Guide'!$B$7)</x:f>
        <x:v>0</x:v>
      </x:c>
      <x:c r="P56" s="103" t="n">
        <x:f>N56-O56</x:f>
        <x:v>51.085775347597064</x:v>
      </x:c>
      <x:c r="Q56" s="103" t="n">
        <x:f>I56*'Inputs &amp; Guide'!$B$8</x:f>
        <x:v>1.7340907451209466</x:v>
      </x:c>
      <x:c r="R56" s="104" t="n">
        <x:f>IFERROR(P56/Q56,0)</x:f>
        <x:v>29.459689748839537</x:v>
      </x:c>
      <x:c r="S56" s="105" t="n">
        <x:f>ROUND(E56*XLOOKUP(C56,'Reference Tables'!$E$4:$E$12,'Reference Tables'!$G$4:$G$12,1),1)</x:f>
        <x:v>2.6</x:v>
      </x:c>
      <x:c r="T56" s="106" t="str">
        <x:f>IF(R56&gt;='Inputs &amp; Guide'!$B$9,"HIGH",IF(R56&gt;=0.45,"WATCH","NORMAL"))</x:f>
        <x:v>HIGH</x:v>
      </x:c>
    </x:row>
    <x:row r="57">
      <x:c r="A57" s="95" t="n">
        <x:v>425</x:v>
      </x:c>
      <x:c r="B57" s="96" t="n">
        <x:v>45309.4375</x:v>
      </x:c>
      <x:c r="C57" s="97" t="str">
        <x:v>Earthquake</x:v>
      </x:c>
      <x:c r="D57" s="97" t="str">
        <x:v>Indonesia</x:v>
      </x:c>
      <x:c r="E57" s="98" t="n">
        <x:v>2.4554892695497887</x:v>
      </x:c>
      <x:c r="F57" s="99" t="n">
        <x:v>601.6555954735524</x:v>
      </x:c>
      <x:c r="G57" s="100" t="str">
        <x:f>XLOOKUP(D57,'Reference Tables'!$A$4:$A$23,'Reference Tables'!$B$4:$B$23,"Other")</x:f>
        <x:v>Asia Pacific</x:v>
      </x:c>
      <x:c r="H57" s="100" t="str">
        <x:f>VLOOKUP(G57,'Reference Tables'!$I$4:$J$9,2,FALSE)</x:f>
        <x:v>High</x:v>
      </x:c>
      <x:c r="I57" s="101" t="n">
        <x:f>F57*'Inputs &amp; Guide'!$B$4*XLOOKUP(D57,'Reference Tables'!$A$4:$A$23,'Reference Tables'!$C$4:$C$23,0.75)</x:f>
        <x:v>99.15284213404144</x:v>
      </x:c>
      <x:c r="J57" s="102" t="n">
        <x:f>XLOOKUP(C57,'Reference Tables'!$E$4:$E$12,'Reference Tables'!$F$4:$F$12,0.05)</x:f>
        <x:v>0.14</x:v>
      </x:c>
      <x:c r="K57" s="103" t="n">
        <x:f>MIN(I57,F57*J57)</x:f>
        <x:v>84.23178336629734</x:v>
      </x:c>
      <x:c r="L57" s="103" t="n">
        <x:f>'Inputs &amp; Guide'!$B$5</x:f>
        <x:v>15</x:v>
      </x:c>
      <x:c r="M57" s="103" t="n">
        <x:f>I57*'Inputs &amp; Guide'!$B$6</x:f>
        <x:v>54.53406317372279</x:v>
      </x:c>
      <x:c r="N57" s="103" t="n">
        <x:f>MAX(0,MIN(K57-L57,M57))</x:f>
        <x:v>54.53406317372279</x:v>
      </x:c>
      <x:c r="O57" s="103" t="n">
        <x:f>MAX(0,N57-'Inputs &amp; Guide'!$B$7)</x:f>
        <x:v>0</x:v>
      </x:c>
      <x:c r="P57" s="103" t="n">
        <x:f>N57-O57</x:f>
        <x:v>54.53406317372279</x:v>
      </x:c>
      <x:c r="Q57" s="103" t="n">
        <x:f>I57*'Inputs &amp; Guide'!$B$8</x:f>
        <x:v>1.7847511584127458</x:v>
      </x:c>
      <x:c r="R57" s="104" t="n">
        <x:f>IFERROR(P57/Q57,0)</x:f>
        <x:v>30.555555555555557</x:v>
      </x:c>
      <x:c r="S57" s="105" t="n">
        <x:f>ROUND(E57*XLOOKUP(C57,'Reference Tables'!$E$4:$E$12,'Reference Tables'!$G$4:$G$12,1),1)</x:f>
        <x:v>3.7</x:v>
      </x:c>
      <x:c r="T57" s="106" t="str">
        <x:f>IF(R57&gt;='Inputs &amp; Guide'!$B$9,"HIGH",IF(R57&gt;=0.45,"WATCH","NORMAL"))</x:f>
        <x:v>HIGH</x:v>
      </x:c>
    </x:row>
    <x:row r="58">
      <x:c r="A58" s="95" t="n">
        <x:v>433</x:v>
      </x:c>
      <x:c r="B58" s="96" t="n">
        <x:v>45310</x:v>
      </x:c>
      <x:c r="C58" s="97" t="str">
        <x:v>Wildfire</x:v>
      </x:c>
      <x:c r="D58" s="97" t="str">
        <x:v>China</x:v>
      </x:c>
      <x:c r="E58" s="98" t="n">
        <x:v>1.3613358041701105</x:v>
      </x:c>
      <x:c r="F58" s="99" t="n">
        <x:v>278.04569428489805</x:v>
      </x:c>
      <x:c r="G58" s="100" t="str">
        <x:f>XLOOKUP(D58,'Reference Tables'!$A$4:$A$23,'Reference Tables'!$B$4:$B$23,"Other")</x:f>
        <x:v>Asia Pacific</x:v>
      </x:c>
      <x:c r="H58" s="100" t="str">
        <x:f>VLOOKUP(G58,'Reference Tables'!$I$4:$J$9,2,FALSE)</x:f>
        <x:v>High</x:v>
      </x:c>
      <x:c r="I58" s="101" t="n">
        <x:f>F58*'Inputs &amp; Guide'!$B$4*XLOOKUP(D58,'Reference Tables'!$A$4:$A$23,'Reference Tables'!$C$4:$C$23,0.75)</x:f>
        <x:v>48.04629597243039</x:v>
      </x:c>
      <x:c r="J58" s="102" t="n">
        <x:f>XLOOKUP(C58,'Reference Tables'!$E$4:$E$12,'Reference Tables'!$F$4:$F$12,0.05)</x:f>
        <x:v>0.1</x:v>
      </x:c>
      <x:c r="K58" s="103" t="n">
        <x:f>MIN(I58,F58*J58)</x:f>
        <x:v>27.804569428489806</x:v>
      </x:c>
      <x:c r="L58" s="103" t="n">
        <x:f>'Inputs &amp; Guide'!$B$5</x:f>
        <x:v>15</x:v>
      </x:c>
      <x:c r="M58" s="103" t="n">
        <x:f>I58*'Inputs &amp; Guide'!$B$6</x:f>
        <x:v>26.425462784836718</x:v>
      </x:c>
      <x:c r="N58" s="103" t="n">
        <x:f>MAX(0,MIN(K58-L58,M58))</x:f>
        <x:v>12.804569428489806</x:v>
      </x:c>
      <x:c r="O58" s="103" t="n">
        <x:f>MAX(0,N58-'Inputs &amp; Guide'!$B$7)</x:f>
        <x:v>0</x:v>
      </x:c>
      <x:c r="P58" s="103" t="n">
        <x:f>N58-O58</x:f>
        <x:v>12.804569428489806</x:v>
      </x:c>
      <x:c r="Q58" s="103" t="n">
        <x:f>I58*'Inputs &amp; Guide'!$B$8</x:f>
        <x:v>0.864833327503747</x:v>
      </x:c>
      <x:c r="R58" s="104" t="n">
        <x:f>IFERROR(P58/Q58,0)</x:f>
        <x:v>14.805823297130427</x:v>
      </x:c>
      <x:c r="S58" s="105" t="n">
        <x:f>ROUND(E58*XLOOKUP(C58,'Reference Tables'!$E$4:$E$12,'Reference Tables'!$G$4:$G$12,1),1)</x:f>
        <x:v>1.6</x:v>
      </x:c>
      <x:c r="T58" s="106" t="str">
        <x:f>IF(R58&gt;='Inputs &amp; Guide'!$B$9,"HIGH",IF(R58&gt;=0.45,"WATCH","NORMAL"))</x:f>
        <x:v>HIGH</x:v>
      </x:c>
    </x:row>
    <x:row r="59">
      <x:c r="A59" s="95" t="n">
        <x:v>441</x:v>
      </x:c>
      <x:c r="B59" s="96" t="n">
        <x:v>45310.104166666664</x:v>
      </x:c>
      <x:c r="C59" s="97" t="str">
        <x:v>Wildfire</x:v>
      </x:c>
      <x:c r="D59" s="97" t="str">
        <x:v>Indonesia</x:v>
      </x:c>
      <x:c r="E59" s="98" t="n">
        <x:v>5.633013799362046</x:v>
      </x:c>
      <x:c r="F59" s="99" t="n">
        <x:v>253.96887105106586</x:v>
      </x:c>
      <x:c r="G59" s="100" t="str">
        <x:f>XLOOKUP(D59,'Reference Tables'!$A$4:$A$23,'Reference Tables'!$B$4:$B$23,"Other")</x:f>
        <x:v>Asia Pacific</x:v>
      </x:c>
      <x:c r="H59" s="100" t="str">
        <x:f>VLOOKUP(G59,'Reference Tables'!$I$4:$J$9,2,FALSE)</x:f>
        <x:v>High</x:v>
      </x:c>
      <x:c r="I59" s="101" t="n">
        <x:f>F59*'Inputs &amp; Guide'!$B$4*XLOOKUP(D59,'Reference Tables'!$A$4:$A$23,'Reference Tables'!$C$4:$C$23,0.75)</x:f>
        <x:v>41.854069949215656</x:v>
      </x:c>
      <x:c r="J59" s="102" t="n">
        <x:f>XLOOKUP(C59,'Reference Tables'!$E$4:$E$12,'Reference Tables'!$F$4:$F$12,0.05)</x:f>
        <x:v>0.1</x:v>
      </x:c>
      <x:c r="K59" s="103" t="n">
        <x:f>MIN(I59,F59*J59)</x:f>
        <x:v>25.396887105106586</x:v>
      </x:c>
      <x:c r="L59" s="103" t="n">
        <x:f>'Inputs &amp; Guide'!$B$5</x:f>
        <x:v>15</x:v>
      </x:c>
      <x:c r="M59" s="103" t="n">
        <x:f>I59*'Inputs &amp; Guide'!$B$6</x:f>
        <x:v>23.019738472068614</x:v>
      </x:c>
      <x:c r="N59" s="103" t="n">
        <x:f>MAX(0,MIN(K59-L59,M59))</x:f>
        <x:v>10.396887105106586</x:v>
      </x:c>
      <x:c r="O59" s="103" t="n">
        <x:f>MAX(0,N59-'Inputs &amp; Guide'!$B$7)</x:f>
        <x:v>0</x:v>
      </x:c>
      <x:c r="P59" s="103" t="n">
        <x:f>N59-O59</x:f>
        <x:v>10.396887105106586</x:v>
      </x:c>
      <x:c r="Q59" s="103" t="n">
        <x:f>I59*'Inputs &amp; Guide'!$B$8</x:f>
        <x:v>0.7533732590858817</x:v>
      </x:c>
      <x:c r="R59" s="104" t="n">
        <x:f>IFERROR(P59/Q59,0)</x:f>
        <x:v>13.800446166249419</x:v>
      </x:c>
      <x:c r="S59" s="105" t="n">
        <x:f>ROUND(E59*XLOOKUP(C59,'Reference Tables'!$E$4:$E$12,'Reference Tables'!$G$4:$G$12,1),1)</x:f>
        <x:v>6.5</x:v>
      </x:c>
      <x:c r="T59" s="106" t="str">
        <x:f>IF(R59&gt;='Inputs &amp; Guide'!$B$9,"HIGH",IF(R59&gt;=0.45,"WATCH","NORMAL"))</x:f>
        <x:v>HIGH</x:v>
      </x:c>
    </x:row>
    <x:row r="60">
      <x:c r="A60" s="95" t="n">
        <x:v>449</x:v>
      </x:c>
      <x:c r="B60" s="96" t="n">
        <x:v>45310.4375</x:v>
      </x:c>
      <x:c r="C60" s="97" t="str">
        <x:v>Earthquake</x:v>
      </x:c>
      <x:c r="D60" s="97" t="str">
        <x:v>Indonesia</x:v>
      </x:c>
      <x:c r="E60" s="98" t="n">
        <x:v>1.3034528596027941</x:v>
      </x:c>
      <x:c r="F60" s="99" t="n">
        <x:v>810.2798197021842</x:v>
      </x:c>
      <x:c r="G60" s="100" t="str">
        <x:f>XLOOKUP(D60,'Reference Tables'!$A$4:$A$23,'Reference Tables'!$B$4:$B$23,"Other")</x:f>
        <x:v>Asia Pacific</x:v>
      </x:c>
      <x:c r="H60" s="100" t="str">
        <x:f>VLOOKUP(G60,'Reference Tables'!$I$4:$J$9,2,FALSE)</x:f>
        <x:v>High</x:v>
      </x:c>
      <x:c r="I60" s="101" t="n">
        <x:f>F60*'Inputs &amp; Guide'!$B$4*XLOOKUP(D60,'Reference Tables'!$A$4:$A$23,'Reference Tables'!$C$4:$C$23,0.75)</x:f>
        <x:v>133.53411428691996</x:v>
      </x:c>
      <x:c r="J60" s="102" t="n">
        <x:f>XLOOKUP(C60,'Reference Tables'!$E$4:$E$12,'Reference Tables'!$F$4:$F$12,0.05)</x:f>
        <x:v>0.14</x:v>
      </x:c>
      <x:c r="K60" s="103" t="n">
        <x:f>MIN(I60,F60*J60)</x:f>
        <x:v>113.4391747583058</x:v>
      </x:c>
      <x:c r="L60" s="103" t="n">
        <x:f>'Inputs &amp; Guide'!$B$5</x:f>
        <x:v>15</x:v>
      </x:c>
      <x:c r="M60" s="103" t="n">
        <x:f>I60*'Inputs &amp; Guide'!$B$6</x:f>
        <x:v>73.44376285780598</x:v>
      </x:c>
      <x:c r="N60" s="103" t="n">
        <x:f>MAX(0,MIN(K60-L60,M60))</x:f>
        <x:v>73.44376285780598</x:v>
      </x:c>
      <x:c r="O60" s="103" t="n">
        <x:f>MAX(0,N60-'Inputs &amp; Guide'!$B$7)</x:f>
        <x:v>13.443762857805979</x:v>
      </x:c>
      <x:c r="P60" s="103" t="n">
        <x:f>N60-O60</x:f>
        <x:v>60</x:v>
      </x:c>
      <x:c r="Q60" s="103" t="n">
        <x:f>I60*'Inputs &amp; Guide'!$B$8</x:f>
        <x:v>2.403614057164559</x:v>
      </x:c>
      <x:c r="R60" s="104" t="n">
        <x:f>IFERROR(P60/Q60,0)</x:f>
        <x:v>24.962410176107657</x:v>
      </x:c>
      <x:c r="S60" s="105" t="n">
        <x:f>ROUND(E60*XLOOKUP(C60,'Reference Tables'!$E$4:$E$12,'Reference Tables'!$G$4:$G$12,1),1)</x:f>
        <x:v>2</x:v>
      </x:c>
      <x:c r="T60" s="106" t="str">
        <x:f>IF(R60&gt;='Inputs &amp; Guide'!$B$9,"HIGH",IF(R60&gt;=0.45,"WATCH","NORMAL"))</x:f>
        <x:v>HIGH</x:v>
      </x:c>
    </x:row>
    <x:row r="61">
      <x:c r="A61" s="95" t="n">
        <x:v>457</x:v>
      </x:c>
      <x:c r="B61" s="96" t="n">
        <x:v>45311</x:v>
      </x:c>
      <x:c r="C61" s="97" t="str">
        <x:v>Earthquake</x:v>
      </x:c>
      <x:c r="D61" s="97" t="str">
        <x:v>Japan</x:v>
      </x:c>
      <x:c r="E61" s="98" t="n">
        <x:v>4.968489994737908</x:v>
      </x:c>
      <x:c r="F61" s="99" t="n">
        <x:v>633.1801723771144</x:v>
      </x:c>
      <x:c r="G61" s="100" t="str">
        <x:f>XLOOKUP(D61,'Reference Tables'!$A$4:$A$23,'Reference Tables'!$B$4:$B$23,"Other")</x:f>
        <x:v>Asia Pacific</x:v>
      </x:c>
      <x:c r="H61" s="100" t="str">
        <x:f>VLOOKUP(G61,'Reference Tables'!$I$4:$J$9,2,FALSE)</x:f>
        <x:v>High</x:v>
      </x:c>
      <x:c r="I61" s="101" t="n">
        <x:f>F61*'Inputs &amp; Guide'!$B$4*XLOOKUP(D61,'Reference Tables'!$A$4:$A$23,'Reference Tables'!$C$4:$C$23,0.75)</x:f>
        <x:v>119.5444165447992</x:v>
      </x:c>
      <x:c r="J61" s="102" t="n">
        <x:f>XLOOKUP(C61,'Reference Tables'!$E$4:$E$12,'Reference Tables'!$F$4:$F$12,0.05)</x:f>
        <x:v>0.14</x:v>
      </x:c>
      <x:c r="K61" s="103" t="n">
        <x:f>MIN(I61,F61*J61)</x:f>
        <x:v>88.64522413279603</x:v>
      </x:c>
      <x:c r="L61" s="103" t="n">
        <x:f>'Inputs &amp; Guide'!$B$5</x:f>
        <x:v>15</x:v>
      </x:c>
      <x:c r="M61" s="103" t="n">
        <x:f>I61*'Inputs &amp; Guide'!$B$6</x:f>
        <x:v>65.74942909963957</x:v>
      </x:c>
      <x:c r="N61" s="103" t="n">
        <x:f>MAX(0,MIN(K61-L61,M61))</x:f>
        <x:v>65.74942909963957</x:v>
      </x:c>
      <x:c r="O61" s="103" t="n">
        <x:f>MAX(0,N61-'Inputs &amp; Guide'!$B$7)</x:f>
        <x:v>5.7494290996395705</x:v>
      </x:c>
      <x:c r="P61" s="103" t="n">
        <x:f>N61-O61</x:f>
        <x:v>60</x:v>
      </x:c>
      <x:c r="Q61" s="103" t="n">
        <x:f>I61*'Inputs &amp; Guide'!$B$8</x:f>
        <x:v>2.1517994978063855</x:v>
      </x:c>
      <x:c r="R61" s="104" t="n">
        <x:f>IFERROR(P61/Q61,0)</x:f>
        <x:v>27.88363881540355</x:v>
      </x:c>
      <x:c r="S61" s="105" t="n">
        <x:f>ROUND(E61*XLOOKUP(C61,'Reference Tables'!$E$4:$E$12,'Reference Tables'!$G$4:$G$12,1),1)</x:f>
        <x:v>7.5</x:v>
      </x:c>
      <x:c r="T61" s="106" t="str">
        <x:f>IF(R61&gt;='Inputs &amp; Guide'!$B$9,"HIGH",IF(R61&gt;=0.45,"WATCH","NORMAL"))</x:f>
        <x:v>HIGH</x:v>
      </x:c>
    </x:row>
    <x:row r="62">
      <x:c r="A62" s="95" t="n">
        <x:v>465</x:v>
      </x:c>
      <x:c r="B62" s="96" t="n">
        <x:v>45311.104166666664</x:v>
      </x:c>
      <x:c r="C62" s="97" t="str">
        <x:v>Flood</x:v>
      </x:c>
      <x:c r="D62" s="97" t="str">
        <x:v>Indonesia</x:v>
      </x:c>
      <x:c r="E62" s="98" t="n">
        <x:v>8.701217733583478</x:v>
      </x:c>
      <x:c r="F62" s="99" t="n">
        <x:v>921.6036315924782</x:v>
      </x:c>
      <x:c r="G62" s="100" t="str">
        <x:f>XLOOKUP(D62,'Reference Tables'!$A$4:$A$23,'Reference Tables'!$B$4:$B$23,"Other")</x:f>
        <x:v>Asia Pacific</x:v>
      </x:c>
      <x:c r="H62" s="100" t="str">
        <x:f>VLOOKUP(G62,'Reference Tables'!$I$4:$J$9,2,FALSE)</x:f>
        <x:v>High</x:v>
      </x:c>
      <x:c r="I62" s="101" t="n">
        <x:f>F62*'Inputs &amp; Guide'!$B$4*XLOOKUP(D62,'Reference Tables'!$A$4:$A$23,'Reference Tables'!$C$4:$C$23,0.75)</x:f>
        <x:v>151.8802784864404</x:v>
      </x:c>
      <x:c r="J62" s="102" t="n">
        <x:f>XLOOKUP(C62,'Reference Tables'!$E$4:$E$12,'Reference Tables'!$F$4:$F$12,0.05)</x:f>
        <x:v>0.12</x:v>
      </x:c>
      <x:c r="K62" s="103" t="n">
        <x:f>MIN(I62,F62*J62)</x:f>
        <x:v>110.59243579109739</x:v>
      </x:c>
      <x:c r="L62" s="103" t="n">
        <x:f>'Inputs &amp; Guide'!$B$5</x:f>
        <x:v>15</x:v>
      </x:c>
      <x:c r="M62" s="103" t="n">
        <x:f>I62*'Inputs &amp; Guide'!$B$6</x:f>
        <x:v>83.53415316754223</x:v>
      </x:c>
      <x:c r="N62" s="103" t="n">
        <x:f>MAX(0,MIN(K62-L62,M62))</x:f>
        <x:v>83.53415316754223</x:v>
      </x:c>
      <x:c r="O62" s="103" t="n">
        <x:f>MAX(0,N62-'Inputs &amp; Guide'!$B$7)</x:f>
        <x:v>23.53415316754223</x:v>
      </x:c>
      <x:c r="P62" s="103" t="n">
        <x:f>N62-O62</x:f>
        <x:v>60</x:v>
      </x:c>
      <x:c r="Q62" s="103" t="n">
        <x:f>I62*'Inputs &amp; Guide'!$B$8</x:f>
        <x:v>2.733845012755927</x:v>
      </x:c>
      <x:c r="R62" s="104" t="n">
        <x:f>IFERROR(P62/Q62,0)</x:f>
        <x:v>21.94711101764886</x:v>
      </x:c>
      <x:c r="S62" s="105" t="n">
        <x:f>ROUND(E62*XLOOKUP(C62,'Reference Tables'!$E$4:$E$12,'Reference Tables'!$G$4:$G$12,1),1)</x:f>
        <x:v>10.9</x:v>
      </x:c>
      <x:c r="T62" s="106" t="str">
        <x:f>IF(R62&gt;='Inputs &amp; Guide'!$B$9,"HIGH",IF(R62&gt;=0.45,"WATCH","NORMAL"))</x:f>
        <x:v>HIGH</x:v>
      </x:c>
    </x:row>
    <x:row r="63">
      <x:c r="A63" s="95" t="n">
        <x:v>473</x:v>
      </x:c>
      <x:c r="B63" s="96" t="n">
        <x:v>45311.4375</x:v>
      </x:c>
      <x:c r="C63" s="97" t="str">
        <x:v>Wildfire</x:v>
      </x:c>
      <x:c r="D63" s="97" t="str">
        <x:v>USA</x:v>
      </x:c>
      <x:c r="E63" s="98" t="n">
        <x:v>5.250263414179429</x:v>
      </x:c>
      <x:c r="F63" s="99" t="n">
        <x:v>640.4429435436526</x:v>
      </x:c>
      <x:c r="G63" s="100" t="str">
        <x:f>XLOOKUP(D63,'Reference Tables'!$A$4:$A$23,'Reference Tables'!$B$4:$B$23,"Other")</x:f>
        <x:v>Other</x:v>
      </x:c>
      <x:c r="H63" s="100" t="str">
        <x:f>VLOOKUP(G63,'Reference Tables'!$I$4:$J$9,2,FALSE)</x:f>
        <x:v>Moderate</x:v>
      </x:c>
      <x:c r="I63" s="101" t="n">
        <x:f>F63*'Inputs &amp; Guide'!$B$4*XLOOKUP(D63,'Reference Tables'!$A$4:$A$23,'Reference Tables'!$C$4:$C$23,0.75)</x:f>
        <x:v>76.85315322523832</x:v>
      </x:c>
      <x:c r="J63" s="102" t="n">
        <x:f>XLOOKUP(C63,'Reference Tables'!$E$4:$E$12,'Reference Tables'!$F$4:$F$12,0.05)</x:f>
        <x:v>0.1</x:v>
      </x:c>
      <x:c r="K63" s="103" t="n">
        <x:f>MIN(I63,F63*J63)</x:f>
        <x:v>64.04429435436526</x:v>
      </x:c>
      <x:c r="L63" s="103" t="n">
        <x:f>'Inputs &amp; Guide'!$B$5</x:f>
        <x:v>15</x:v>
      </x:c>
      <x:c r="M63" s="103" t="n">
        <x:f>I63*'Inputs &amp; Guide'!$B$6</x:f>
        <x:v>42.269234273881075</x:v>
      </x:c>
      <x:c r="N63" s="103" t="n">
        <x:f>MAX(0,MIN(K63-L63,M63))</x:f>
        <x:v>42.269234273881075</x:v>
      </x:c>
      <x:c r="O63" s="103" t="n">
        <x:f>MAX(0,N63-'Inputs &amp; Guide'!$B$7)</x:f>
        <x:v>0</x:v>
      </x:c>
      <x:c r="P63" s="103" t="n">
        <x:f>N63-O63</x:f>
        <x:v>42.269234273881075</x:v>
      </x:c>
      <x:c r="Q63" s="103" t="n">
        <x:f>I63*'Inputs &amp; Guide'!$B$8</x:f>
        <x:v>1.3833567580542896</x:v>
      </x:c>
      <x:c r="R63" s="104" t="n">
        <x:f>IFERROR(P63/Q63,0)</x:f>
        <x:v>30.555555555555557</x:v>
      </x:c>
      <x:c r="S63" s="105" t="n">
        <x:f>ROUND(E63*XLOOKUP(C63,'Reference Tables'!$E$4:$E$12,'Reference Tables'!$G$4:$G$12,1),1)</x:f>
        <x:v>6</x:v>
      </x:c>
      <x:c r="T63" s="106" t="str">
        <x:f>IF(R63&gt;='Inputs &amp; Guide'!$B$9,"HIGH",IF(R63&gt;=0.45,"WATCH","NORMAL"))</x:f>
        <x:v>HIGH</x:v>
      </x:c>
    </x:row>
    <x:row r="64">
      <x:c r="A64" s="95" t="n">
        <x:v>481</x:v>
      </x:c>
      <x:c r="B64" s="96" t="n">
        <x:v>45312</x:v>
      </x:c>
      <x:c r="C64" s="97" t="str">
        <x:v>Flood</x:v>
      </x:c>
      <x:c r="D64" s="97" t="str">
        <x:v>India</x:v>
      </x:c>
      <x:c r="E64" s="98" t="n">
        <x:v>7.696330060004517</x:v>
      </x:c>
      <x:c r="F64" s="99" t="n">
        <x:v>132.38226037532394</x:v>
      </x:c>
      <x:c r="G64" s="100" t="str">
        <x:f>XLOOKUP(D64,'Reference Tables'!$A$4:$A$23,'Reference Tables'!$B$4:$B$23,"Other")</x:f>
        <x:v>Asia Pacific</x:v>
      </x:c>
      <x:c r="H64" s="100" t="str">
        <x:f>VLOOKUP(G64,'Reference Tables'!$I$4:$J$9,2,FALSE)</x:f>
        <x:v>High</x:v>
      </x:c>
      <x:c r="I64" s="101" t="n">
        <x:f>F64*'Inputs &amp; Guide'!$B$4*XLOOKUP(D64,'Reference Tables'!$A$4:$A$23,'Reference Tables'!$C$4:$C$23,0.75)</x:f>
        <x:v>19.27485711064717</x:v>
      </x:c>
      <x:c r="J64" s="102" t="n">
        <x:f>XLOOKUP(C64,'Reference Tables'!$E$4:$E$12,'Reference Tables'!$F$4:$F$12,0.05)</x:f>
        <x:v>0.12</x:v>
      </x:c>
      <x:c r="K64" s="103" t="n">
        <x:f>MIN(I64,F64*J64)</x:f>
        <x:v>15.885871245038873</x:v>
      </x:c>
      <x:c r="L64" s="103" t="n">
        <x:f>'Inputs &amp; Guide'!$B$5</x:f>
        <x:v>15</x:v>
      </x:c>
      <x:c r="M64" s="103" t="n">
        <x:f>I64*'Inputs &amp; Guide'!$B$6</x:f>
        <x:v>10.601171410855944</x:v>
      </x:c>
      <x:c r="N64" s="103" t="n">
        <x:f>MAX(0,MIN(K64-L64,M64))</x:f>
        <x:v>0.8858712450388726</x:v>
      </x:c>
      <x:c r="O64" s="103" t="n">
        <x:f>MAX(0,N64-'Inputs &amp; Guide'!$B$7)</x:f>
        <x:v>0</x:v>
      </x:c>
      <x:c r="P64" s="103" t="n">
        <x:f>N64-O64</x:f>
        <x:v>0.8858712450388726</x:v>
      </x:c>
      <x:c r="Q64" s="103" t="n">
        <x:f>I64*'Inputs &amp; Guide'!$B$8</x:f>
        <x:v>0.346947427991649</x:v>
      </x:c>
      <x:c r="R64" s="104" t="n">
        <x:f>IFERROR(P64/Q64,0)</x:f>
        <x:v>2.553329909856531</x:v>
      </x:c>
      <x:c r="S64" s="105" t="n">
        <x:f>ROUND(E64*XLOOKUP(C64,'Reference Tables'!$E$4:$E$12,'Reference Tables'!$G$4:$G$12,1),1)</x:f>
        <x:v>9.6</x:v>
      </x:c>
      <x:c r="T64" s="106" t="str">
        <x:f>IF(R64&gt;='Inputs &amp; Guide'!$B$9,"HIGH",IF(R64&gt;=0.45,"WATCH","NORMAL"))</x:f>
        <x:v>HIGH</x:v>
      </x:c>
    </x:row>
    <x:row r="65">
      <x:c r="A65" s="95" t="n">
        <x:v>489</x:v>
      </x:c>
      <x:c r="B65" s="96" t="n">
        <x:v>45312.104166666664</x:v>
      </x:c>
      <x:c r="C65" s="97" t="str">
        <x:v>Wildfire</x:v>
      </x:c>
      <x:c r="D65" s="97" t="str">
        <x:v>China</x:v>
      </x:c>
      <x:c r="E65" s="98" t="n">
        <x:v>4.142449229053289</x:v>
      </x:c>
      <x:c r="F65" s="99" t="n">
        <x:v>676.0023558650706</x:v>
      </x:c>
      <x:c r="G65" s="100" t="str">
        <x:f>XLOOKUP(D65,'Reference Tables'!$A$4:$A$23,'Reference Tables'!$B$4:$B$23,"Other")</x:f>
        <x:v>Asia Pacific</x:v>
      </x:c>
      <x:c r="H65" s="100" t="str">
        <x:f>VLOOKUP(G65,'Reference Tables'!$I$4:$J$9,2,FALSE)</x:f>
        <x:v>High</x:v>
      </x:c>
      <x:c r="I65" s="101" t="n">
        <x:f>F65*'Inputs &amp; Guide'!$B$4*XLOOKUP(D65,'Reference Tables'!$A$4:$A$23,'Reference Tables'!$C$4:$C$23,0.75)</x:f>
        <x:v>116.81320709348421</x:v>
      </x:c>
      <x:c r="J65" s="102" t="n">
        <x:f>XLOOKUP(C65,'Reference Tables'!$E$4:$E$12,'Reference Tables'!$F$4:$F$12,0.05)</x:f>
        <x:v>0.1</x:v>
      </x:c>
      <x:c r="K65" s="103" t="n">
        <x:f>MIN(I65,F65*J65)</x:f>
        <x:v>67.60023558650707</x:v>
      </x:c>
      <x:c r="L65" s="103" t="n">
        <x:f>'Inputs &amp; Guide'!$B$5</x:f>
        <x:v>15</x:v>
      </x:c>
      <x:c r="M65" s="103" t="n">
        <x:f>I65*'Inputs &amp; Guide'!$B$6</x:f>
        <x:v>64.24726390141632</x:v>
      </x:c>
      <x:c r="N65" s="103" t="n">
        <x:f>MAX(0,MIN(K65-L65,M65))</x:f>
        <x:v>52.60023558650707</x:v>
      </x:c>
      <x:c r="O65" s="103" t="n">
        <x:f>MAX(0,N65-'Inputs &amp; Guide'!$B$7)</x:f>
        <x:v>0</x:v>
      </x:c>
      <x:c r="P65" s="103" t="n">
        <x:f>N65-O65</x:f>
        <x:v>52.60023558650707</x:v>
      </x:c>
      <x:c r="Q65" s="103" t="n">
        <x:f>I65*'Inputs &amp; Guide'!$B$8</x:f>
        <x:v>2.1026377276827155</x:v>
      </x:c>
      <x:c r="R65" s="104" t="n">
        <x:f>IFERROR(P65/Q65,0)</x:f>
        <x:v>25.016309226257903</x:v>
      </x:c>
      <x:c r="S65" s="105" t="n">
        <x:f>ROUND(E65*XLOOKUP(C65,'Reference Tables'!$E$4:$E$12,'Reference Tables'!$G$4:$G$12,1),1)</x:f>
        <x:v>4.8</x:v>
      </x:c>
      <x:c r="T65" s="106" t="str">
        <x:f>IF(R65&gt;='Inputs &amp; Guide'!$B$9,"HIGH",IF(R65&gt;=0.45,"WATCH","NORMAL"))</x:f>
        <x:v>HIGH</x:v>
      </x:c>
    </x:row>
    <x:row r="66">
      <x:c r="A66" s="95" t="n">
        <x:v>497</x:v>
      </x:c>
      <x:c r="B66" s="96" t="n">
        <x:v>45312.4375</x:v>
      </x:c>
      <x:c r="C66" s="97" t="str">
        <x:v>Hurricane</x:v>
      </x:c>
      <x:c r="D66" s="97" t="str">
        <x:v>Indonesia</x:v>
      </x:c>
      <x:c r="E66" s="98" t="n">
        <x:v>4.8983512554563475</x:v>
      </x:c>
      <x:c r="F66" s="99" t="n">
        <x:v>652.2963297541246</x:v>
      </x:c>
      <x:c r="G66" s="100" t="str">
        <x:f>XLOOKUP(D66,'Reference Tables'!$A$4:$A$23,'Reference Tables'!$B$4:$B$23,"Other")</x:f>
        <x:v>Asia Pacific</x:v>
      </x:c>
      <x:c r="H66" s="100" t="str">
        <x:f>VLOOKUP(G66,'Reference Tables'!$I$4:$J$9,2,FALSE)</x:f>
        <x:v>High</x:v>
      </x:c>
      <x:c r="I66" s="101" t="n">
        <x:f>F66*'Inputs &amp; Guide'!$B$4*XLOOKUP(D66,'Reference Tables'!$A$4:$A$23,'Reference Tables'!$C$4:$C$23,0.75)</x:f>
        <x:v>107.49843514347974</x:v>
      </x:c>
      <x:c r="J66" s="102" t="n">
        <x:f>XLOOKUP(C66,'Reference Tables'!$E$4:$E$12,'Reference Tables'!$F$4:$F$12,0.05)</x:f>
        <x:v>0.18</x:v>
      </x:c>
      <x:c r="K66" s="103" t="n">
        <x:f>MIN(I66,F66*J66)</x:f>
        <x:v>107.49843514347974</x:v>
      </x:c>
      <x:c r="L66" s="103" t="n">
        <x:f>'Inputs &amp; Guide'!$B$5</x:f>
        <x:v>15</x:v>
      </x:c>
      <x:c r="M66" s="103" t="n">
        <x:f>I66*'Inputs &amp; Guide'!$B$6</x:f>
        <x:v>59.12413932891386</x:v>
      </x:c>
      <x:c r="N66" s="103" t="n">
        <x:f>MAX(0,MIN(K66-L66,M66))</x:f>
        <x:v>59.12413932891386</x:v>
      </x:c>
      <x:c r="O66" s="103" t="n">
        <x:f>MAX(0,N66-'Inputs &amp; Guide'!$B$7)</x:f>
        <x:v>0</x:v>
      </x:c>
      <x:c r="P66" s="103" t="n">
        <x:f>N66-O66</x:f>
        <x:v>59.12413932891386</x:v>
      </x:c>
      <x:c r="Q66" s="103" t="n">
        <x:f>I66*'Inputs &amp; Guide'!$B$8</x:f>
        <x:v>1.934971832582635</x:v>
      </x:c>
      <x:c r="R66" s="104" t="n">
        <x:f>IFERROR(P66/Q66,0)</x:f>
        <x:v>30.555555555555564</x:v>
      </x:c>
      <x:c r="S66" s="105" t="n">
        <x:f>ROUND(E66*XLOOKUP(C66,'Reference Tables'!$E$4:$E$12,'Reference Tables'!$G$4:$G$12,1),1)</x:f>
        <x:v>6.9</x:v>
      </x:c>
      <x:c r="T66" s="106" t="str">
        <x:f>IF(R66&gt;='Inputs &amp; Guide'!$B$9,"HIGH",IF(R66&gt;=0.45,"WATCH","NORMAL"))</x:f>
        <x:v>HIGH</x:v>
      </x:c>
    </x:row>
    <x:row r="67">
      <x:c r="A67" s="95" t="n">
        <x:v>505</x:v>
      </x:c>
      <x:c r="B67" s="96" t="n">
        <x:v>45313</x:v>
      </x:c>
      <x:c r="C67" s="97" t="str">
        <x:v>Tornado</x:v>
      </x:c>
      <x:c r="D67" s="97" t="str">
        <x:v>USA</x:v>
      </x:c>
      <x:c r="E67" s="98" t="n">
        <x:v>9.443754547958264</x:v>
      </x:c>
      <x:c r="F67" s="99" t="n">
        <x:v>736.8685027375839</x:v>
      </x:c>
      <x:c r="G67" s="100" t="str">
        <x:f>XLOOKUP(D67,'Reference Tables'!$A$4:$A$23,'Reference Tables'!$B$4:$B$23,"Other")</x:f>
        <x:v>Other</x:v>
      </x:c>
      <x:c r="H67" s="100" t="str">
        <x:f>VLOOKUP(G67,'Reference Tables'!$I$4:$J$9,2,FALSE)</x:f>
        <x:v>Moderate</x:v>
      </x:c>
      <x:c r="I67" s="101" t="n">
        <x:f>F67*'Inputs &amp; Guide'!$B$4*XLOOKUP(D67,'Reference Tables'!$A$4:$A$23,'Reference Tables'!$C$4:$C$23,0.75)</x:f>
        <x:v>88.42422032851006</x:v>
      </x:c>
      <x:c r="J67" s="102" t="n">
        <x:f>XLOOKUP(C67,'Reference Tables'!$E$4:$E$12,'Reference Tables'!$F$4:$F$12,0.05)</x:f>
        <x:v>0.09</x:v>
      </x:c>
      <x:c r="K67" s="103" t="n">
        <x:f>MIN(I67,F67*J67)</x:f>
        <x:v>66.31816524638255</x:v>
      </x:c>
      <x:c r="L67" s="103" t="n">
        <x:f>'Inputs &amp; Guide'!$B$5</x:f>
        <x:v>15</x:v>
      </x:c>
      <x:c r="M67" s="103" t="n">
        <x:f>I67*'Inputs &amp; Guide'!$B$6</x:f>
        <x:v>48.63332118068054</x:v>
      </x:c>
      <x:c r="N67" s="103" t="n">
        <x:f>MAX(0,MIN(K67-L67,M67))</x:f>
        <x:v>48.63332118068054</x:v>
      </x:c>
      <x:c r="O67" s="103" t="n">
        <x:f>MAX(0,N67-'Inputs &amp; Guide'!$B$7)</x:f>
        <x:v>0</x:v>
      </x:c>
      <x:c r="P67" s="103" t="n">
        <x:f>N67-O67</x:f>
        <x:v>48.63332118068054</x:v>
      </x:c>
      <x:c r="Q67" s="103" t="n">
        <x:f>I67*'Inputs &amp; Guide'!$B$8</x:f>
        <x:v>1.591635965913181</x:v>
      </x:c>
      <x:c r="R67" s="104" t="n">
        <x:f>IFERROR(P67/Q67,0)</x:f>
        <x:v>30.555555555555564</x:v>
      </x:c>
      <x:c r="S67" s="105" t="n">
        <x:f>ROUND(E67*XLOOKUP(C67,'Reference Tables'!$E$4:$E$12,'Reference Tables'!$G$4:$G$12,1),1)</x:f>
        <x:v>9.9</x:v>
      </x:c>
      <x:c r="T67" s="106" t="str">
        <x:f>IF(R67&gt;='Inputs &amp; Guide'!$B$9,"HIGH",IF(R67&gt;=0.45,"WATCH","NORMAL"))</x:f>
        <x:v>HIGH</x:v>
      </x:c>
    </x:row>
    <x:row r="68">
      <x:c r="A68" s="95" t="n">
        <x:v>513</x:v>
      </x:c>
      <x:c r="B68" s="96" t="n">
        <x:v>45313.104166666664</x:v>
      </x:c>
      <x:c r="C68" s="97" t="str">
        <x:v>Wildfire</x:v>
      </x:c>
      <x:c r="D68" s="97" t="str">
        <x:v>Japan</x:v>
      </x:c>
      <x:c r="E68" s="98" t="n">
        <x:v>9.806893769308447</x:v>
      </x:c>
      <x:c r="F68" s="99" t="n">
        <x:v>517.3764471587534</x:v>
      </x:c>
      <x:c r="G68" s="100" t="str">
        <x:f>XLOOKUP(D68,'Reference Tables'!$A$4:$A$23,'Reference Tables'!$B$4:$B$23,"Other")</x:f>
        <x:v>Asia Pacific</x:v>
      </x:c>
      <x:c r="H68" s="100" t="str">
        <x:f>VLOOKUP(G68,'Reference Tables'!$I$4:$J$9,2,FALSE)</x:f>
        <x:v>High</x:v>
      </x:c>
      <x:c r="I68" s="101" t="n">
        <x:f>F68*'Inputs &amp; Guide'!$B$4*XLOOKUP(D68,'Reference Tables'!$A$4:$A$23,'Reference Tables'!$C$4:$C$23,0.75)</x:f>
        <x:v>97.68067322357265</x:v>
      </x:c>
      <x:c r="J68" s="102" t="n">
        <x:f>XLOOKUP(C68,'Reference Tables'!$E$4:$E$12,'Reference Tables'!$F$4:$F$12,0.05)</x:f>
        <x:v>0.1</x:v>
      </x:c>
      <x:c r="K68" s="103" t="n">
        <x:f>MIN(I68,F68*J68)</x:f>
        <x:v>51.73764471587535</x:v>
      </x:c>
      <x:c r="L68" s="103" t="n">
        <x:f>'Inputs &amp; Guide'!$B$5</x:f>
        <x:v>15</x:v>
      </x:c>
      <x:c r="M68" s="103" t="n">
        <x:f>I68*'Inputs &amp; Guide'!$B$6</x:f>
        <x:v>53.72437027296496</x:v>
      </x:c>
      <x:c r="N68" s="103" t="n">
        <x:f>MAX(0,MIN(K68-L68,M68))</x:f>
        <x:v>36.73764471587535</x:v>
      </x:c>
      <x:c r="O68" s="103" t="n">
        <x:f>MAX(0,N68-'Inputs &amp; Guide'!$B$7)</x:f>
        <x:v>0</x:v>
      </x:c>
      <x:c r="P68" s="103" t="n">
        <x:f>N68-O68</x:f>
        <x:v>36.73764471587535</x:v>
      </x:c>
      <x:c r="Q68" s="103" t="n">
        <x:f>I68*'Inputs &amp; Guide'!$B$8</x:f>
        <x:v>1.7582521180243076</x:v>
      </x:c>
      <x:c r="R68" s="104" t="n">
        <x:f>IFERROR(P68/Q68,0)</x:f>
        <x:v>20.894412319637233</x:v>
      </x:c>
      <x:c r="S68" s="105" t="n">
        <x:f>ROUND(E68*XLOOKUP(C68,'Reference Tables'!$E$4:$E$12,'Reference Tables'!$G$4:$G$12,1),1)</x:f>
        <x:v>11.3</x:v>
      </x:c>
      <x:c r="T68" s="106" t="str">
        <x:f>IF(R68&gt;='Inputs &amp; Guide'!$B$9,"HIGH",IF(R68&gt;=0.45,"WATCH","NORMAL"))</x:f>
        <x:v>HIGH</x:v>
      </x:c>
    </x:row>
    <x:row r="69">
      <x:c r="A69" s="95" t="n">
        <x:v>521</x:v>
      </x:c>
      <x:c r="B69" s="96" t="n">
        <x:v>45313.4375</x:v>
      </x:c>
      <x:c r="C69" s="97" t="str">
        <x:v>Earthquake</x:v>
      </x:c>
      <x:c r="D69" s="97" t="str">
        <x:v>India</x:v>
      </x:c>
      <x:c r="E69" s="98" t="n">
        <x:v>5.430577694651462</x:v>
      </x:c>
      <x:c r="F69" s="99" t="n">
        <x:v>606.4969682431033</x:v>
      </x:c>
      <x:c r="G69" s="100" t="str">
        <x:f>XLOOKUP(D69,'Reference Tables'!$A$4:$A$23,'Reference Tables'!$B$4:$B$23,"Other")</x:f>
        <x:v>Asia Pacific</x:v>
      </x:c>
      <x:c r="H69" s="100" t="str">
        <x:f>VLOOKUP(G69,'Reference Tables'!$I$4:$J$9,2,FALSE)</x:f>
        <x:v>High</x:v>
      </x:c>
      <x:c r="I69" s="101" t="n">
        <x:f>F69*'Inputs &amp; Guide'!$B$4*XLOOKUP(D69,'Reference Tables'!$A$4:$A$23,'Reference Tables'!$C$4:$C$23,0.75)</x:f>
        <x:v>88.30595857619585</x:v>
      </x:c>
      <x:c r="J69" s="102" t="n">
        <x:f>XLOOKUP(C69,'Reference Tables'!$E$4:$E$12,'Reference Tables'!$F$4:$F$12,0.05)</x:f>
        <x:v>0.14</x:v>
      </x:c>
      <x:c r="K69" s="103" t="n">
        <x:f>MIN(I69,F69*J69)</x:f>
        <x:v>84.90957555403448</x:v>
      </x:c>
      <x:c r="L69" s="103" t="n">
        <x:f>'Inputs &amp; Guide'!$B$5</x:f>
        <x:v>15</x:v>
      </x:c>
      <x:c r="M69" s="103" t="n">
        <x:f>I69*'Inputs &amp; Guide'!$B$6</x:f>
        <x:v>48.568277216907724</x:v>
      </x:c>
      <x:c r="N69" s="103" t="n">
        <x:f>MAX(0,MIN(K69-L69,M69))</x:f>
        <x:v>48.568277216907724</x:v>
      </x:c>
      <x:c r="O69" s="103" t="n">
        <x:f>MAX(0,N69-'Inputs &amp; Guide'!$B$7)</x:f>
        <x:v>0</x:v>
      </x:c>
      <x:c r="P69" s="103" t="n">
        <x:f>N69-O69</x:f>
        <x:v>48.568277216907724</x:v>
      </x:c>
      <x:c r="Q69" s="103" t="n">
        <x:f>I69*'Inputs &amp; Guide'!$B$8</x:f>
        <x:v>1.5895072543715252</x:v>
      </x:c>
      <x:c r="R69" s="104" t="n">
        <x:f>IFERROR(P69/Q69,0)</x:f>
        <x:v>30.55555555555556</x:v>
      </x:c>
      <x:c r="S69" s="105" t="n">
        <x:f>ROUND(E69*XLOOKUP(C69,'Reference Tables'!$E$4:$E$12,'Reference Tables'!$G$4:$G$12,1),1)</x:f>
        <x:v>8.1</x:v>
      </x:c>
      <x:c r="T69" s="106" t="str">
        <x:f>IF(R69&gt;='Inputs &amp; Guide'!$B$9,"HIGH",IF(R69&gt;=0.45,"WATCH","NORMAL"))</x:f>
        <x:v>HIGH</x:v>
      </x:c>
    </x:row>
    <x:row r="70">
      <x:c r="A70" s="95" t="n">
        <x:v>529</x:v>
      </x:c>
      <x:c r="B70" s="96" t="n">
        <x:v>45314</x:v>
      </x:c>
      <x:c r="C70" s="97" t="str">
        <x:v>Tornado</x:v>
      </x:c>
      <x:c r="D70" s="97" t="str">
        <x:v>USA</x:v>
      </x:c>
      <x:c r="E70" s="98" t="n">
        <x:v>2.659714086958077</x:v>
      </x:c>
      <x:c r="F70" s="99" t="n">
        <x:v>471.58367378405944</x:v>
      </x:c>
      <x:c r="G70" s="100" t="str">
        <x:f>XLOOKUP(D70,'Reference Tables'!$A$4:$A$23,'Reference Tables'!$B$4:$B$23,"Other")</x:f>
        <x:v>Other</x:v>
      </x:c>
      <x:c r="H70" s="100" t="str">
        <x:f>VLOOKUP(G70,'Reference Tables'!$I$4:$J$9,2,FALSE)</x:f>
        <x:v>Moderate</x:v>
      </x:c>
      <x:c r="I70" s="101" t="n">
        <x:f>F70*'Inputs &amp; Guide'!$B$4*XLOOKUP(D70,'Reference Tables'!$A$4:$A$23,'Reference Tables'!$C$4:$C$23,0.75)</x:f>
        <x:v>56.590040854087135</x:v>
      </x:c>
      <x:c r="J70" s="102" t="n">
        <x:f>XLOOKUP(C70,'Reference Tables'!$E$4:$E$12,'Reference Tables'!$F$4:$F$12,0.05)</x:f>
        <x:v>0.09</x:v>
      </x:c>
      <x:c r="K70" s="103" t="n">
        <x:f>MIN(I70,F70*J70)</x:f>
        <x:v>42.44253064056535</x:v>
      </x:c>
      <x:c r="L70" s="103" t="n">
        <x:f>'Inputs &amp; Guide'!$B$5</x:f>
        <x:v>15</x:v>
      </x:c>
      <x:c r="M70" s="103" t="n">
        <x:f>I70*'Inputs &amp; Guide'!$B$6</x:f>
        <x:v>31.124522469747927</x:v>
      </x:c>
      <x:c r="N70" s="103" t="n">
        <x:f>MAX(0,MIN(K70-L70,M70))</x:f>
        <x:v>27.44253064056535</x:v>
      </x:c>
      <x:c r="O70" s="103" t="n">
        <x:f>MAX(0,N70-'Inputs &amp; Guide'!$B$7)</x:f>
        <x:v>0</x:v>
      </x:c>
      <x:c r="P70" s="103" t="n">
        <x:f>N70-O70</x:f>
        <x:v>27.44253064056535</x:v>
      </x:c>
      <x:c r="Q70" s="103" t="n">
        <x:f>I70*'Inputs &amp; Guide'!$B$8</x:f>
        <x:v>1.0186207353735683</x:v>
      </x:c>
      <x:c r="R70" s="104" t="n">
        <x:f>IFERROR(P70/Q70,0)</x:f>
        <x:v>26.94087179611663</x:v>
      </x:c>
      <x:c r="S70" s="105" t="n">
        <x:f>ROUND(E70*XLOOKUP(C70,'Reference Tables'!$E$4:$E$12,'Reference Tables'!$G$4:$G$12,1),1)</x:f>
        <x:v>2.8</x:v>
      </x:c>
      <x:c r="T70" s="106" t="str">
        <x:f>IF(R70&gt;='Inputs &amp; Guide'!$B$9,"HIGH",IF(R70&gt;=0.45,"WATCH","NORMAL"))</x:f>
        <x:v>HIGH</x:v>
      </x:c>
    </x:row>
    <x:row r="71">
      <x:c r="A71" s="95" t="n">
        <x:v>537</x:v>
      </x:c>
      <x:c r="B71" s="96" t="n">
        <x:v>45314.104166666664</x:v>
      </x:c>
      <x:c r="C71" s="97" t="str">
        <x:v>Tornado</x:v>
      </x:c>
      <x:c r="D71" s="97" t="str">
        <x:v>Brazil</x:v>
      </x:c>
      <x:c r="E71" s="98" t="n">
        <x:v>6.201104492025876</x:v>
      </x:c>
      <x:c r="F71" s="99" t="n">
        <x:v>921.385801661416</x:v>
      </x:c>
      <x:c r="G71" s="100" t="str">
        <x:f>XLOOKUP(D71,'Reference Tables'!$A$4:$A$23,'Reference Tables'!$B$4:$B$23,"Other")</x:f>
        <x:v>Latin America</x:v>
      </x:c>
      <x:c r="H71" s="100" t="str">
        <x:f>VLOOKUP(G71,'Reference Tables'!$I$4:$J$9,2,FALSE)</x:f>
        <x:v>Moderate</x:v>
      </x:c>
      <x:c r="I71" s="101" t="n">
        <x:f>F71*'Inputs &amp; Guide'!$B$4*XLOOKUP(D71,'Reference Tables'!$A$4:$A$23,'Reference Tables'!$C$4:$C$23,0.75)</x:f>
        <x:v>120.88581717797778</x:v>
      </x:c>
      <x:c r="J71" s="102" t="n">
        <x:f>XLOOKUP(C71,'Reference Tables'!$E$4:$E$12,'Reference Tables'!$F$4:$F$12,0.05)</x:f>
        <x:v>0.09</x:v>
      </x:c>
      <x:c r="K71" s="103" t="n">
        <x:f>MIN(I71,F71*J71)</x:f>
        <x:v>82.92472214952744</x:v>
      </x:c>
      <x:c r="L71" s="103" t="n">
        <x:f>'Inputs &amp; Guide'!$B$5</x:f>
        <x:v>15</x:v>
      </x:c>
      <x:c r="M71" s="103" t="n">
        <x:f>I71*'Inputs &amp; Guide'!$B$6</x:f>
        <x:v>66.48719944788779</x:v>
      </x:c>
      <x:c r="N71" s="103" t="n">
        <x:f>MAX(0,MIN(K71-L71,M71))</x:f>
        <x:v>66.48719944788779</x:v>
      </x:c>
      <x:c r="O71" s="103" t="n">
        <x:f>MAX(0,N71-'Inputs &amp; Guide'!$B$7)</x:f>
        <x:v>6.4871994478877895</x:v>
      </x:c>
      <x:c r="P71" s="103" t="n">
        <x:f>N71-O71</x:f>
        <x:v>60</x:v>
      </x:c>
      <x:c r="Q71" s="103" t="n">
        <x:f>I71*'Inputs &amp; Guide'!$B$8</x:f>
        <x:v>2.1759447092036</x:v>
      </x:c>
      <x:c r="R71" s="104" t="n">
        <x:f>IFERROR(P71/Q71,0)</x:f>
        <x:v>27.574230055670906</x:v>
      </x:c>
      <x:c r="S71" s="105" t="n">
        <x:f>ROUND(E71*XLOOKUP(C71,'Reference Tables'!$E$4:$E$12,'Reference Tables'!$G$4:$G$12,1),1)</x:f>
        <x:v>6.5</x:v>
      </x:c>
      <x:c r="T71" s="106" t="str">
        <x:f>IF(R71&gt;='Inputs &amp; Guide'!$B$9,"HIGH",IF(R71&gt;=0.45,"WATCH","NORMAL"))</x:f>
        <x:v>HIGH</x:v>
      </x:c>
    </x:row>
    <x:row r="72">
      <x:c r="A72" s="95" t="n">
        <x:v>545</x:v>
      </x:c>
      <x:c r="B72" s="96" t="n">
        <x:v>45314.4375</x:v>
      </x:c>
      <x:c r="C72" s="97" t="str">
        <x:v>Earthquake</x:v>
      </x:c>
      <x:c r="D72" s="97" t="str">
        <x:v>USA</x:v>
      </x:c>
      <x:c r="E72" s="98" t="n">
        <x:v>7.359016553774428</x:v>
      </x:c>
      <x:c r="F72" s="99" t="n">
        <x:v>410.4566794543557</x:v>
      </x:c>
      <x:c r="G72" s="100" t="str">
        <x:f>XLOOKUP(D72,'Reference Tables'!$A$4:$A$23,'Reference Tables'!$B$4:$B$23,"Other")</x:f>
        <x:v>Other</x:v>
      </x:c>
      <x:c r="H72" s="100" t="str">
        <x:f>VLOOKUP(G72,'Reference Tables'!$I$4:$J$9,2,FALSE)</x:f>
        <x:v>Moderate</x:v>
      </x:c>
      <x:c r="I72" s="101" t="n">
        <x:f>F72*'Inputs &amp; Guide'!$B$4*XLOOKUP(D72,'Reference Tables'!$A$4:$A$23,'Reference Tables'!$C$4:$C$23,0.75)</x:f>
        <x:v>49.254801534522684</x:v>
      </x:c>
      <x:c r="J72" s="102" t="n">
        <x:f>XLOOKUP(C72,'Reference Tables'!$E$4:$E$12,'Reference Tables'!$F$4:$F$12,0.05)</x:f>
        <x:v>0.14</x:v>
      </x:c>
      <x:c r="K72" s="103" t="n">
        <x:f>MIN(I72,F72*J72)</x:f>
        <x:v>49.254801534522684</x:v>
      </x:c>
      <x:c r="L72" s="103" t="n">
        <x:f>'Inputs &amp; Guide'!$B$5</x:f>
        <x:v>15</x:v>
      </x:c>
      <x:c r="M72" s="103" t="n">
        <x:f>I72*'Inputs &amp; Guide'!$B$6</x:f>
        <x:v>27.090140843987477</x:v>
      </x:c>
      <x:c r="N72" s="103" t="n">
        <x:f>MAX(0,MIN(K72-L72,M72))</x:f>
        <x:v>27.090140843987477</x:v>
      </x:c>
      <x:c r="O72" s="103" t="n">
        <x:f>MAX(0,N72-'Inputs &amp; Guide'!$B$7)</x:f>
        <x:v>0</x:v>
      </x:c>
      <x:c r="P72" s="103" t="n">
        <x:f>N72-O72</x:f>
        <x:v>27.090140843987477</x:v>
      </x:c>
      <x:c r="Q72" s="103" t="n">
        <x:f>I72*'Inputs &amp; Guide'!$B$8</x:f>
        <x:v>0.8865864276214083</x:v>
      </x:c>
      <x:c r="R72" s="104" t="n">
        <x:f>IFERROR(P72/Q72,0)</x:f>
        <x:v>30.555555555555557</x:v>
      </x:c>
      <x:c r="S72" s="105" t="n">
        <x:f>ROUND(E72*XLOOKUP(C72,'Reference Tables'!$E$4:$E$12,'Reference Tables'!$G$4:$G$12,1),1)</x:f>
        <x:v>11</x:v>
      </x:c>
      <x:c r="T72" s="106" t="str">
        <x:f>IF(R72&gt;='Inputs &amp; Guide'!$B$9,"HIGH",IF(R72&gt;=0.45,"WATCH","NORMAL"))</x:f>
        <x:v>HIGH</x:v>
      </x:c>
    </x:row>
    <x:row r="73">
      <x:c r="A73" s="95" t="n">
        <x:v>553</x:v>
      </x:c>
      <x:c r="B73" s="96" t="n">
        <x:v>45315</x:v>
      </x:c>
      <x:c r="C73" s="97" t="str">
        <x:v>Earthquake</x:v>
      </x:c>
      <x:c r="D73" s="97" t="str">
        <x:v>China</x:v>
      </x:c>
      <x:c r="E73" s="98" t="n">
        <x:v>2.8527845799195415</x:v>
      </x:c>
      <x:c r="F73" s="99" t="n">
        <x:v>295.0059213360967</x:v>
      </x:c>
      <x:c r="G73" s="100" t="str">
        <x:f>XLOOKUP(D73,'Reference Tables'!$A$4:$A$23,'Reference Tables'!$B$4:$B$23,"Other")</x:f>
        <x:v>Asia Pacific</x:v>
      </x:c>
      <x:c r="H73" s="100" t="str">
        <x:f>VLOOKUP(G73,'Reference Tables'!$I$4:$J$9,2,FALSE)</x:f>
        <x:v>High</x:v>
      </x:c>
      <x:c r="I73" s="101" t="n">
        <x:f>F73*'Inputs &amp; Guide'!$B$4*XLOOKUP(D73,'Reference Tables'!$A$4:$A$23,'Reference Tables'!$C$4:$C$23,0.75)</x:f>
        <x:v>50.97702320687751</x:v>
      </x:c>
      <x:c r="J73" s="102" t="n">
        <x:f>XLOOKUP(C73,'Reference Tables'!$E$4:$E$12,'Reference Tables'!$F$4:$F$12,0.05)</x:f>
        <x:v>0.14</x:v>
      </x:c>
      <x:c r="K73" s="103" t="n">
        <x:f>MIN(I73,F73*J73)</x:f>
        <x:v>41.30082898705354</x:v>
      </x:c>
      <x:c r="L73" s="103" t="n">
        <x:f>'Inputs &amp; Guide'!$B$5</x:f>
        <x:v>15</x:v>
      </x:c>
      <x:c r="M73" s="103" t="n">
        <x:f>I73*'Inputs &amp; Guide'!$B$6</x:f>
        <x:v>28.037362763782635</x:v>
      </x:c>
      <x:c r="N73" s="103" t="n">
        <x:f>MAX(0,MIN(K73-L73,M73))</x:f>
        <x:v>26.300828987053542</x:v>
      </x:c>
      <x:c r="O73" s="103" t="n">
        <x:f>MAX(0,N73-'Inputs &amp; Guide'!$B$7)</x:f>
        <x:v>0</x:v>
      </x:c>
      <x:c r="P73" s="103" t="n">
        <x:f>N73-O73</x:f>
        <x:v>26.300828987053542</x:v>
      </x:c>
      <x:c r="Q73" s="103" t="n">
        <x:f>I73*'Inputs &amp; Guide'!$B$8</x:f>
        <x:v>0.9175864177237951</x:v>
      </x:c>
      <x:c r="R73" s="104" t="n">
        <x:f>IFERROR(P73/Q73,0)</x:f>
        <x:v>28.663053941335058</x:v>
      </x:c>
      <x:c r="S73" s="105" t="n">
        <x:f>ROUND(E73*XLOOKUP(C73,'Reference Tables'!$E$4:$E$12,'Reference Tables'!$G$4:$G$12,1),1)</x:f>
        <x:v>4.3</x:v>
      </x:c>
      <x:c r="T73" s="106" t="str">
        <x:f>IF(R73&gt;='Inputs &amp; Guide'!$B$9,"HIGH",IF(R73&gt;=0.45,"WATCH","NORMAL"))</x:f>
        <x:v>HIGH</x:v>
      </x:c>
    </x:row>
    <x:row r="74">
      <x:c r="A74" s="95" t="n">
        <x:v>561</x:v>
      </x:c>
      <x:c r="B74" s="96" t="n">
        <x:v>45315.104166666664</x:v>
      </x:c>
      <x:c r="C74" s="97" t="str">
        <x:v>Wildfire</x:v>
      </x:c>
      <x:c r="D74" s="97" t="str">
        <x:v>USA</x:v>
      </x:c>
      <x:c r="E74" s="98" t="n">
        <x:v>6.347368373034206</x:v>
      </x:c>
      <x:c r="F74" s="99" t="n">
        <x:v>674.6604038013426</x:v>
      </x:c>
      <x:c r="G74" s="100" t="str">
        <x:f>XLOOKUP(D74,'Reference Tables'!$A$4:$A$23,'Reference Tables'!$B$4:$B$23,"Other")</x:f>
        <x:v>Other</x:v>
      </x:c>
      <x:c r="H74" s="100" t="str">
        <x:f>VLOOKUP(G74,'Reference Tables'!$I$4:$J$9,2,FALSE)</x:f>
        <x:v>Moderate</x:v>
      </x:c>
      <x:c r="I74" s="101" t="n">
        <x:f>F74*'Inputs &amp; Guide'!$B$4*XLOOKUP(D74,'Reference Tables'!$A$4:$A$23,'Reference Tables'!$C$4:$C$23,0.75)</x:f>
        <x:v>80.9592484561611</x:v>
      </x:c>
      <x:c r="J74" s="102" t="n">
        <x:f>XLOOKUP(C74,'Reference Tables'!$E$4:$E$12,'Reference Tables'!$F$4:$F$12,0.05)</x:f>
        <x:v>0.1</x:v>
      </x:c>
      <x:c r="K74" s="103" t="n">
        <x:f>MIN(I74,F74*J74)</x:f>
        <x:v>67.46604038013426</x:v>
      </x:c>
      <x:c r="L74" s="103" t="n">
        <x:f>'Inputs &amp; Guide'!$B$5</x:f>
        <x:v>15</x:v>
      </x:c>
      <x:c r="M74" s="103" t="n">
        <x:f>I74*'Inputs &amp; Guide'!$B$6</x:f>
        <x:v>44.527586650888615</x:v>
      </x:c>
      <x:c r="N74" s="103" t="n">
        <x:f>MAX(0,MIN(K74-L74,M74))</x:f>
        <x:v>44.527586650888615</x:v>
      </x:c>
      <x:c r="O74" s="103" t="n">
        <x:f>MAX(0,N74-'Inputs &amp; Guide'!$B$7)</x:f>
        <x:v>0</x:v>
      </x:c>
      <x:c r="P74" s="103" t="n">
        <x:f>N74-O74</x:f>
        <x:v>44.527586650888615</x:v>
      </x:c>
      <x:c r="Q74" s="103" t="n">
        <x:f>I74*'Inputs &amp; Guide'!$B$8</x:f>
        <x:v>1.4572664722108999</x:v>
      </x:c>
      <x:c r="R74" s="104" t="n">
        <x:f>IFERROR(P74/Q74,0)</x:f>
        <x:v>30.55555555555556</x:v>
      </x:c>
      <x:c r="S74" s="105" t="n">
        <x:f>ROUND(E74*XLOOKUP(C74,'Reference Tables'!$E$4:$E$12,'Reference Tables'!$G$4:$G$12,1),1)</x:f>
        <x:v>7.3</x:v>
      </x:c>
      <x:c r="T74" s="106" t="str">
        <x:f>IF(R74&gt;='Inputs &amp; Guide'!$B$9,"HIGH",IF(R74&gt;=0.45,"WATCH","NORMAL"))</x:f>
        <x:v>HIGH</x:v>
      </x:c>
    </x:row>
    <x:row r="75">
      <x:c r="A75" s="95" t="n">
        <x:v>569</x:v>
      </x:c>
      <x:c r="B75" s="96" t="n">
        <x:v>45315.4375</x:v>
      </x:c>
      <x:c r="C75" s="97" t="str">
        <x:v>Earthquake</x:v>
      </x:c>
      <x:c r="D75" s="97" t="str">
        <x:v>USA</x:v>
      </x:c>
      <x:c r="E75" s="98" t="n">
        <x:v>7.0114569806802765</x:v>
      </x:c>
      <x:c r="F75" s="99" t="n">
        <x:v>604.7520312857479</x:v>
      </x:c>
      <x:c r="G75" s="100" t="str">
        <x:f>XLOOKUP(D75,'Reference Tables'!$A$4:$A$23,'Reference Tables'!$B$4:$B$23,"Other")</x:f>
        <x:v>Other</x:v>
      </x:c>
      <x:c r="H75" s="100" t="str">
        <x:f>VLOOKUP(G75,'Reference Tables'!$I$4:$J$9,2,FALSE)</x:f>
        <x:v>Moderate</x:v>
      </x:c>
      <x:c r="I75" s="101" t="n">
        <x:f>F75*'Inputs &amp; Guide'!$B$4*XLOOKUP(D75,'Reference Tables'!$A$4:$A$23,'Reference Tables'!$C$4:$C$23,0.75)</x:f>
        <x:v>72.57024375428975</x:v>
      </x:c>
      <x:c r="J75" s="102" t="n">
        <x:f>XLOOKUP(C75,'Reference Tables'!$E$4:$E$12,'Reference Tables'!$F$4:$F$12,0.05)</x:f>
        <x:v>0.14</x:v>
      </x:c>
      <x:c r="K75" s="103" t="n">
        <x:f>MIN(I75,F75*J75)</x:f>
        <x:v>72.57024375428975</x:v>
      </x:c>
      <x:c r="L75" s="103" t="n">
        <x:f>'Inputs &amp; Guide'!$B$5</x:f>
        <x:v>15</x:v>
      </x:c>
      <x:c r="M75" s="103" t="n">
        <x:f>I75*'Inputs &amp; Guide'!$B$6</x:f>
        <x:v>39.913634064859366</x:v>
      </x:c>
      <x:c r="N75" s="103" t="n">
        <x:f>MAX(0,MIN(K75-L75,M75))</x:f>
        <x:v>39.913634064859366</x:v>
      </x:c>
      <x:c r="O75" s="103" t="n">
        <x:f>MAX(0,N75-'Inputs &amp; Guide'!$B$7)</x:f>
        <x:v>0</x:v>
      </x:c>
      <x:c r="P75" s="103" t="n">
        <x:f>N75-O75</x:f>
        <x:v>39.913634064859366</x:v>
      </x:c>
      <x:c r="Q75" s="103" t="n">
        <x:f>I75*'Inputs &amp; Guide'!$B$8</x:f>
        <x:v>1.3062643875772153</x:v>
      </x:c>
      <x:c r="R75" s="104" t="n">
        <x:f>IFERROR(P75/Q75,0)</x:f>
        <x:v>30.555555555555564</x:v>
      </x:c>
      <x:c r="S75" s="105" t="n">
        <x:f>ROUND(E75*XLOOKUP(C75,'Reference Tables'!$E$4:$E$12,'Reference Tables'!$G$4:$G$12,1),1)</x:f>
        <x:v>10.5</x:v>
      </x:c>
      <x:c r="T75" s="106" t="str">
        <x:f>IF(R75&gt;='Inputs &amp; Guide'!$B$9,"HIGH",IF(R75&gt;=0.45,"WATCH","NORMAL"))</x:f>
        <x:v>HIGH</x:v>
      </x:c>
    </x:row>
    <x:row r="76">
      <x:c r="A76" s="95" t="n">
        <x:v>577</x:v>
      </x:c>
      <x:c r="B76" s="96" t="n">
        <x:v>45316</x:v>
      </x:c>
      <x:c r="C76" s="97" t="str">
        <x:v>Wildfire</x:v>
      </x:c>
      <x:c r="D76" s="97" t="str">
        <x:v>China</x:v>
      </x:c>
      <x:c r="E76" s="98" t="n">
        <x:v>4.610960958172401</x:v>
      </x:c>
      <x:c r="F76" s="99" t="n">
        <x:v>193.1532721344881</x:v>
      </x:c>
      <x:c r="G76" s="100" t="str">
        <x:f>XLOOKUP(D76,'Reference Tables'!$A$4:$A$23,'Reference Tables'!$B$4:$B$23,"Other")</x:f>
        <x:v>Asia Pacific</x:v>
      </x:c>
      <x:c r="H76" s="100" t="str">
        <x:f>VLOOKUP(G76,'Reference Tables'!$I$4:$J$9,2,FALSE)</x:f>
        <x:v>High</x:v>
      </x:c>
      <x:c r="I76" s="101" t="n">
        <x:f>F76*'Inputs &amp; Guide'!$B$4*XLOOKUP(D76,'Reference Tables'!$A$4:$A$23,'Reference Tables'!$C$4:$C$23,0.75)</x:f>
        <x:v>33.37688542483955</x:v>
      </x:c>
      <x:c r="J76" s="102" t="n">
        <x:f>XLOOKUP(C76,'Reference Tables'!$E$4:$E$12,'Reference Tables'!$F$4:$F$12,0.05)</x:f>
        <x:v>0.1</x:v>
      </x:c>
      <x:c r="K76" s="103" t="n">
        <x:f>MIN(I76,F76*J76)</x:f>
        <x:v>19.31532721344881</x:v>
      </x:c>
      <x:c r="L76" s="103" t="n">
        <x:f>'Inputs &amp; Guide'!$B$5</x:f>
        <x:v>15</x:v>
      </x:c>
      <x:c r="M76" s="103" t="n">
        <x:f>I76*'Inputs &amp; Guide'!$B$6</x:f>
        <x:v>18.357286983661755</x:v>
      </x:c>
      <x:c r="N76" s="103" t="n">
        <x:f>MAX(0,MIN(K76-L76,M76))</x:f>
        <x:v>4.3153272134488105</x:v>
      </x:c>
      <x:c r="O76" s="103" t="n">
        <x:f>MAX(0,N76-'Inputs &amp; Guide'!$B$7)</x:f>
        <x:v>0</x:v>
      </x:c>
      <x:c r="P76" s="103" t="n">
        <x:f>N76-O76</x:f>
        <x:v>4.3153272134488105</x:v>
      </x:c>
      <x:c r="Q76" s="103" t="n">
        <x:f>I76*'Inputs &amp; Guide'!$B$8</x:f>
        <x:v>0.6007839376471118</x:v>
      </x:c>
      <x:c r="R76" s="104" t="n">
        <x:f>IFERROR(P76/Q76,0)</x:f>
        <x:v>7.182827207979627</x:v>
      </x:c>
      <x:c r="S76" s="105" t="n">
        <x:f>ROUND(E76*XLOOKUP(C76,'Reference Tables'!$E$4:$E$12,'Reference Tables'!$G$4:$G$12,1),1)</x:f>
        <x:v>5.3</x:v>
      </x:c>
      <x:c r="T76" s="106" t="str">
        <x:f>IF(R76&gt;='Inputs &amp; Guide'!$B$9,"HIGH",IF(R76&gt;=0.45,"WATCH","NORMAL"))</x:f>
        <x:v>HIGH</x:v>
      </x:c>
    </x:row>
    <x:row r="77">
      <x:c r="A77" s="95" t="n">
        <x:v>585</x:v>
      </x:c>
      <x:c r="B77" s="96" t="n">
        <x:v>45316.104166666664</x:v>
      </x:c>
      <x:c r="C77" s="97" t="str">
        <x:v>Wildfire</x:v>
      </x:c>
      <x:c r="D77" s="97" t="str">
        <x:v>Indonesia</x:v>
      </x:c>
      <x:c r="E77" s="98" t="n">
        <x:v>6.0743344637712875</x:v>
      </x:c>
      <x:c r="F77" s="99" t="n">
        <x:v>539.1004969789032</x:v>
      </x:c>
      <x:c r="G77" s="100" t="str">
        <x:f>XLOOKUP(D77,'Reference Tables'!$A$4:$A$23,'Reference Tables'!$B$4:$B$23,"Other")</x:f>
        <x:v>Asia Pacific</x:v>
      </x:c>
      <x:c r="H77" s="100" t="str">
        <x:f>VLOOKUP(G77,'Reference Tables'!$I$4:$J$9,2,FALSE)</x:f>
        <x:v>High</x:v>
      </x:c>
      <x:c r="I77" s="101" t="n">
        <x:f>F77*'Inputs &amp; Guide'!$B$4*XLOOKUP(D77,'Reference Tables'!$A$4:$A$23,'Reference Tables'!$C$4:$C$23,0.75)</x:f>
        <x:v>88.84376190212325</x:v>
      </x:c>
      <x:c r="J77" s="102" t="n">
        <x:f>XLOOKUP(C77,'Reference Tables'!$E$4:$E$12,'Reference Tables'!$F$4:$F$12,0.05)</x:f>
        <x:v>0.1</x:v>
      </x:c>
      <x:c r="K77" s="103" t="n">
        <x:f>MIN(I77,F77*J77)</x:f>
        <x:v>53.910049697890315</x:v>
      </x:c>
      <x:c r="L77" s="103" t="n">
        <x:f>'Inputs &amp; Guide'!$B$5</x:f>
        <x:v>15</x:v>
      </x:c>
      <x:c r="M77" s="103" t="n">
        <x:f>I77*'Inputs &amp; Guide'!$B$6</x:f>
        <x:v>48.86406904616779</x:v>
      </x:c>
      <x:c r="N77" s="103" t="n">
        <x:f>MAX(0,MIN(K77-L77,M77))</x:f>
        <x:v>38.910049697890315</x:v>
      </x:c>
      <x:c r="O77" s="103" t="n">
        <x:f>MAX(0,N77-'Inputs &amp; Guide'!$B$7)</x:f>
        <x:v>0</x:v>
      </x:c>
      <x:c r="P77" s="103" t="n">
        <x:f>N77-O77</x:f>
        <x:v>38.910049697890315</x:v>
      </x:c>
      <x:c r="Q77" s="103" t="n">
        <x:f>I77*'Inputs &amp; Guide'!$B$8</x:f>
        <x:v>1.5991877142382183</x:v>
      </x:c>
      <x:c r="R77" s="104" t="n">
        <x:f>IFERROR(P77/Q77,0)</x:f>
        <x:v>24.331133456978392</x:v>
      </x:c>
      <x:c r="S77" s="105" t="n">
        <x:f>ROUND(E77*XLOOKUP(C77,'Reference Tables'!$E$4:$E$12,'Reference Tables'!$G$4:$G$12,1),1)</x:f>
        <x:v>7</x:v>
      </x:c>
      <x:c r="T77" s="106" t="str">
        <x:f>IF(R77&gt;='Inputs &amp; Guide'!$B$9,"HIGH",IF(R77&gt;=0.45,"WATCH","NORMAL"))</x:f>
        <x:v>HIGH</x:v>
      </x:c>
    </x:row>
    <x:row r="78">
      <x:c r="A78" s="95" t="n">
        <x:v>593</x:v>
      </x:c>
      <x:c r="B78" s="96" t="n">
        <x:v>45316.4375</x:v>
      </x:c>
      <x:c r="C78" s="97" t="str">
        <x:v>Earthquake</x:v>
      </x:c>
      <x:c r="D78" s="97" t="str">
        <x:v>Brazil</x:v>
      </x:c>
      <x:c r="E78" s="98" t="n">
        <x:v>5.199475404082674</x:v>
      </x:c>
      <x:c r="F78" s="99" t="n">
        <x:v>407.7525098749657</x:v>
      </x:c>
      <x:c r="G78" s="100" t="str">
        <x:f>XLOOKUP(D78,'Reference Tables'!$A$4:$A$23,'Reference Tables'!$B$4:$B$23,"Other")</x:f>
        <x:v>Latin America</x:v>
      </x:c>
      <x:c r="H78" s="100" t="str">
        <x:f>VLOOKUP(G78,'Reference Tables'!$I$4:$J$9,2,FALSE)</x:f>
        <x:v>Moderate</x:v>
      </x:c>
      <x:c r="I78" s="101" t="n">
        <x:f>F78*'Inputs &amp; Guide'!$B$4*XLOOKUP(D78,'Reference Tables'!$A$4:$A$23,'Reference Tables'!$C$4:$C$23,0.75)</x:f>
        <x:v>53.4971292955955</x:v>
      </x:c>
      <x:c r="J78" s="102" t="n">
        <x:f>XLOOKUP(C78,'Reference Tables'!$E$4:$E$12,'Reference Tables'!$F$4:$F$12,0.05)</x:f>
        <x:v>0.14</x:v>
      </x:c>
      <x:c r="K78" s="103" t="n">
        <x:f>MIN(I78,F78*J78)</x:f>
        <x:v>53.4971292955955</x:v>
      </x:c>
      <x:c r="L78" s="103" t="n">
        <x:f>'Inputs &amp; Guide'!$B$5</x:f>
        <x:v>15</x:v>
      </x:c>
      <x:c r="M78" s="103" t="n">
        <x:f>I78*'Inputs &amp; Guide'!$B$6</x:f>
        <x:v>29.423421112577525</x:v>
      </x:c>
      <x:c r="N78" s="103" t="n">
        <x:f>MAX(0,MIN(K78-L78,M78))</x:f>
        <x:v>29.423421112577525</x:v>
      </x:c>
      <x:c r="O78" s="103" t="n">
        <x:f>MAX(0,N78-'Inputs &amp; Guide'!$B$7)</x:f>
        <x:v>0</x:v>
      </x:c>
      <x:c r="P78" s="103" t="n">
        <x:f>N78-O78</x:f>
        <x:v>29.423421112577525</x:v>
      </x:c>
      <x:c r="Q78" s="103" t="n">
        <x:f>I78*'Inputs &amp; Guide'!$B$8</x:f>
        <x:v>0.9629483273207189</x:v>
      </x:c>
      <x:c r="R78" s="104" t="n">
        <x:f>IFERROR(P78/Q78,0)</x:f>
        <x:v>30.55555555555556</x:v>
      </x:c>
      <x:c r="S78" s="105" t="n">
        <x:f>ROUND(E78*XLOOKUP(C78,'Reference Tables'!$E$4:$E$12,'Reference Tables'!$G$4:$G$12,1),1)</x:f>
        <x:v>7.8</x:v>
      </x:c>
      <x:c r="T78" s="106" t="str">
        <x:f>IF(R78&gt;='Inputs &amp; Guide'!$B$9,"HIGH",IF(R78&gt;=0.45,"WATCH","NORMAL"))</x:f>
        <x:v>HIGH</x:v>
      </x:c>
    </x:row>
    <x:row r="79">
      <x:c r="A79" s="95" t="n">
        <x:v>601</x:v>
      </x:c>
      <x:c r="B79" s="96" t="n">
        <x:v>45317</x:v>
      </x:c>
      <x:c r="C79" s="97" t="str">
        <x:v>Wildfire</x:v>
      </x:c>
      <x:c r="D79" s="97" t="str">
        <x:v>India</x:v>
      </x:c>
      <x:c r="E79" s="98" t="n">
        <x:v>2.2553571017513088</x:v>
      </x:c>
      <x:c r="F79" s="99" t="n">
        <x:v>492.9694177559775</x:v>
      </x:c>
      <x:c r="G79" s="100" t="str">
        <x:f>XLOOKUP(D79,'Reference Tables'!$A$4:$A$23,'Reference Tables'!$B$4:$B$23,"Other")</x:f>
        <x:v>Asia Pacific</x:v>
      </x:c>
      <x:c r="H79" s="100" t="str">
        <x:f>VLOOKUP(G79,'Reference Tables'!$I$4:$J$9,2,FALSE)</x:f>
        <x:v>High</x:v>
      </x:c>
      <x:c r="I79" s="101" t="n">
        <x:f>F79*'Inputs &amp; Guide'!$B$4*XLOOKUP(D79,'Reference Tables'!$A$4:$A$23,'Reference Tables'!$C$4:$C$23,0.75)</x:f>
        <x:v>71.77634722527031</x:v>
      </x:c>
      <x:c r="J79" s="102" t="n">
        <x:f>XLOOKUP(C79,'Reference Tables'!$E$4:$E$12,'Reference Tables'!$F$4:$F$12,0.05)</x:f>
        <x:v>0.1</x:v>
      </x:c>
      <x:c r="K79" s="103" t="n">
        <x:f>MIN(I79,F79*J79)</x:f>
        <x:v>49.29694177559775</x:v>
      </x:c>
      <x:c r="L79" s="103" t="n">
        <x:f>'Inputs &amp; Guide'!$B$5</x:f>
        <x:v>15</x:v>
      </x:c>
      <x:c r="M79" s="103" t="n">
        <x:f>I79*'Inputs &amp; Guide'!$B$6</x:f>
        <x:v>39.47699097389867</x:v>
      </x:c>
      <x:c r="N79" s="103" t="n">
        <x:f>MAX(0,MIN(K79-L79,M79))</x:f>
        <x:v>34.29694177559775</x:v>
      </x:c>
      <x:c r="O79" s="103" t="n">
        <x:f>MAX(0,N79-'Inputs &amp; Guide'!$B$7)</x:f>
        <x:v>0</x:v>
      </x:c>
      <x:c r="P79" s="103" t="n">
        <x:f>N79-O79</x:f>
        <x:v>34.29694177559775</x:v>
      </x:c>
      <x:c r="Q79" s="103" t="n">
        <x:f>I79*'Inputs &amp; Guide'!$B$8</x:f>
        <x:v>1.2919742500548657</x:v>
      </x:c>
      <x:c r="R79" s="104" t="n">
        <x:f>IFERROR(P79/Q79,0)</x:f>
        <x:v>26.546149642023654</x:v>
      </x:c>
      <x:c r="S79" s="105" t="n">
        <x:f>ROUND(E79*XLOOKUP(C79,'Reference Tables'!$E$4:$E$12,'Reference Tables'!$G$4:$G$12,1),1)</x:f>
        <x:v>2.6</x:v>
      </x:c>
      <x:c r="T79" s="106" t="str">
        <x:f>IF(R79&gt;='Inputs &amp; Guide'!$B$9,"HIGH",IF(R79&gt;=0.45,"WATCH","NORMAL"))</x:f>
        <x:v>HIGH</x:v>
      </x:c>
    </x:row>
    <x:row r="80">
      <x:c r="A80" s="95" t="n">
        <x:v>609</x:v>
      </x:c>
      <x:c r="B80" s="96" t="n">
        <x:v>45317.104166666664</x:v>
      </x:c>
      <x:c r="C80" s="97" t="str">
        <x:v>Hurricane</x:v>
      </x:c>
      <x:c r="D80" s="97" t="str">
        <x:v>USA</x:v>
      </x:c>
      <x:c r="E80" s="98" t="n">
        <x:v>4.849663394929671</x:v>
      </x:c>
      <x:c r="F80" s="99" t="n">
        <x:v>286.38372050372453</x:v>
      </x:c>
      <x:c r="G80" s="100" t="str">
        <x:f>XLOOKUP(D80,'Reference Tables'!$A$4:$A$23,'Reference Tables'!$B$4:$B$23,"Other")</x:f>
        <x:v>Other</x:v>
      </x:c>
      <x:c r="H80" s="100" t="str">
        <x:f>VLOOKUP(G80,'Reference Tables'!$I$4:$J$9,2,FALSE)</x:f>
        <x:v>Moderate</x:v>
      </x:c>
      <x:c r="I80" s="101" t="n">
        <x:f>F80*'Inputs &amp; Guide'!$B$4*XLOOKUP(D80,'Reference Tables'!$A$4:$A$23,'Reference Tables'!$C$4:$C$23,0.75)</x:f>
        <x:v>34.366046460446945</x:v>
      </x:c>
      <x:c r="J80" s="102" t="n">
        <x:f>XLOOKUP(C80,'Reference Tables'!$E$4:$E$12,'Reference Tables'!$F$4:$F$12,0.05)</x:f>
        <x:v>0.18</x:v>
      </x:c>
      <x:c r="K80" s="103" t="n">
        <x:f>MIN(I80,F80*J80)</x:f>
        <x:v>34.366046460446945</x:v>
      </x:c>
      <x:c r="L80" s="103" t="n">
        <x:f>'Inputs &amp; Guide'!$B$5</x:f>
        <x:v>15</x:v>
      </x:c>
      <x:c r="M80" s="103" t="n">
        <x:f>I80*'Inputs &amp; Guide'!$B$6</x:f>
        <x:v>18.901325553245822</x:v>
      </x:c>
      <x:c r="N80" s="103" t="n">
        <x:f>MAX(0,MIN(K80-L80,M80))</x:f>
        <x:v>18.901325553245822</x:v>
      </x:c>
      <x:c r="O80" s="103" t="n">
        <x:f>MAX(0,N80-'Inputs &amp; Guide'!$B$7)</x:f>
        <x:v>0</x:v>
      </x:c>
      <x:c r="P80" s="103" t="n">
        <x:f>N80-O80</x:f>
        <x:v>18.901325553245822</x:v>
      </x:c>
      <x:c r="Q80" s="103" t="n">
        <x:f>I80*'Inputs &amp; Guide'!$B$8</x:f>
        <x:v>0.618588836288045</x:v>
      </x:c>
      <x:c r="R80" s="104" t="n">
        <x:f>IFERROR(P80/Q80,0)</x:f>
        <x:v>30.555555555555564</x:v>
      </x:c>
      <x:c r="S80" s="105" t="n">
        <x:f>ROUND(E80*XLOOKUP(C80,'Reference Tables'!$E$4:$E$12,'Reference Tables'!$G$4:$G$12,1),1)</x:f>
        <x:v>6.8</x:v>
      </x:c>
      <x:c r="T80" s="106" t="str">
        <x:f>IF(R80&gt;='Inputs &amp; Guide'!$B$9,"HIGH",IF(R80&gt;=0.45,"WATCH","NORMAL"))</x:f>
        <x:v>HIGH</x:v>
      </x:c>
    </x:row>
    <x:row r="81">
      <x:c r="A81" s="95" t="n">
        <x:v>617</x:v>
      </x:c>
      <x:c r="B81" s="96" t="n">
        <x:v>45317.4375</x:v>
      </x:c>
      <x:c r="C81" s="97" t="str">
        <x:v>Hurricane</x:v>
      </x:c>
      <x:c r="D81" s="97" t="str">
        <x:v>Indonesia</x:v>
      </x:c>
      <x:c r="E81" s="98" t="n">
        <x:v>3.5097255718934495</x:v>
      </x:c>
      <x:c r="F81" s="99" t="n">
        <x:v>769.6282436339759</x:v>
      </x:c>
      <x:c r="G81" s="100" t="str">
        <x:f>XLOOKUP(D81,'Reference Tables'!$A$4:$A$23,'Reference Tables'!$B$4:$B$23,"Other")</x:f>
        <x:v>Asia Pacific</x:v>
      </x:c>
      <x:c r="H81" s="100" t="str">
        <x:f>VLOOKUP(G81,'Reference Tables'!$I$4:$J$9,2,FALSE)</x:f>
        <x:v>High</x:v>
      </x:c>
      <x:c r="I81" s="101" t="n">
        <x:f>F81*'Inputs &amp; Guide'!$B$4*XLOOKUP(D81,'Reference Tables'!$A$4:$A$23,'Reference Tables'!$C$4:$C$23,0.75)</x:f>
        <x:v>126.83473455087923</x:v>
      </x:c>
      <x:c r="J81" s="102" t="n">
        <x:f>XLOOKUP(C81,'Reference Tables'!$E$4:$E$12,'Reference Tables'!$F$4:$F$12,0.05)</x:f>
        <x:v>0.18</x:v>
      </x:c>
      <x:c r="K81" s="103" t="n">
        <x:f>MIN(I81,F81*J81)</x:f>
        <x:v>126.83473455087923</x:v>
      </x:c>
      <x:c r="L81" s="103" t="n">
        <x:f>'Inputs &amp; Guide'!$B$5</x:f>
        <x:v>15</x:v>
      </x:c>
      <x:c r="M81" s="103" t="n">
        <x:f>I81*'Inputs &amp; Guide'!$B$6</x:f>
        <x:v>69.75910400298358</x:v>
      </x:c>
      <x:c r="N81" s="103" t="n">
        <x:f>MAX(0,MIN(K81-L81,M81))</x:f>
        <x:v>69.75910400298358</x:v>
      </x:c>
      <x:c r="O81" s="103" t="n">
        <x:f>MAX(0,N81-'Inputs &amp; Guide'!$B$7)</x:f>
        <x:v>9.759104002983577</x:v>
      </x:c>
      <x:c r="P81" s="103" t="n">
        <x:f>N81-O81</x:f>
        <x:v>60</x:v>
      </x:c>
      <x:c r="Q81" s="103" t="n">
        <x:f>I81*'Inputs &amp; Guide'!$B$8</x:f>
        <x:v>2.283025221915826</x:v>
      </x:c>
      <x:c r="R81" s="104" t="n">
        <x:f>IFERROR(P81/Q81,0)</x:f>
        <x:v>26.28091859171417</x:v>
      </x:c>
      <x:c r="S81" s="105" t="n">
        <x:f>ROUND(E81*XLOOKUP(C81,'Reference Tables'!$E$4:$E$12,'Reference Tables'!$G$4:$G$12,1),1)</x:f>
        <x:v>4.9</x:v>
      </x:c>
      <x:c r="T81" s="106" t="str">
        <x:f>IF(R81&gt;='Inputs &amp; Guide'!$B$9,"HIGH",IF(R81&gt;=0.45,"WATCH","NORMAL"))</x:f>
        <x:v>HIGH</x:v>
      </x:c>
    </x:row>
    <x:row r="82">
      <x:c r="A82" s="95" t="n">
        <x:v>625</x:v>
      </x:c>
      <x:c r="B82" s="96" t="n">
        <x:v>45318</x:v>
      </x:c>
      <x:c r="C82" s="97" t="str">
        <x:v>Flood</x:v>
      </x:c>
      <x:c r="D82" s="97" t="str">
        <x:v>China</x:v>
      </x:c>
      <x:c r="E82" s="98" t="n">
        <x:v>7.955343742417489</x:v>
      </x:c>
      <x:c r="F82" s="99" t="n">
        <x:v>936.5789152351776</x:v>
      </x:c>
      <x:c r="G82" s="100" t="str">
        <x:f>XLOOKUP(D82,'Reference Tables'!$A$4:$A$23,'Reference Tables'!$B$4:$B$23,"Other")</x:f>
        <x:v>Asia Pacific</x:v>
      </x:c>
      <x:c r="H82" s="100" t="str">
        <x:f>VLOOKUP(G82,'Reference Tables'!$I$4:$J$9,2,FALSE)</x:f>
        <x:v>High</x:v>
      </x:c>
      <x:c r="I82" s="101" t="n">
        <x:f>F82*'Inputs &amp; Guide'!$B$4*XLOOKUP(D82,'Reference Tables'!$A$4:$A$23,'Reference Tables'!$C$4:$C$23,0.75)</x:f>
        <x:v>161.8408365526387</x:v>
      </x:c>
      <x:c r="J82" s="102" t="n">
        <x:f>XLOOKUP(C82,'Reference Tables'!$E$4:$E$12,'Reference Tables'!$F$4:$F$12,0.05)</x:f>
        <x:v>0.12</x:v>
      </x:c>
      <x:c r="K82" s="103" t="n">
        <x:f>MIN(I82,F82*J82)</x:f>
        <x:v>112.38946982822131</x:v>
      </x:c>
      <x:c r="L82" s="103" t="n">
        <x:f>'Inputs &amp; Guide'!$B$5</x:f>
        <x:v>15</x:v>
      </x:c>
      <x:c r="M82" s="103" t="n">
        <x:f>I82*'Inputs &amp; Guide'!$B$6</x:f>
        <x:v>89.0124601039513</x:v>
      </x:c>
      <x:c r="N82" s="103" t="n">
        <x:f>MAX(0,MIN(K82-L82,M82))</x:f>
        <x:v>89.0124601039513</x:v>
      </x:c>
      <x:c r="O82" s="103" t="n">
        <x:f>MAX(0,N82-'Inputs &amp; Guide'!$B$7)</x:f>
        <x:v>29.012460103951298</x:v>
      </x:c>
      <x:c r="P82" s="103" t="n">
        <x:f>N82-O82</x:f>
        <x:v>60</x:v>
      </x:c>
      <x:c r="Q82" s="103" t="n">
        <x:f>I82*'Inputs &amp; Guide'!$B$8</x:f>
        <x:v>2.9131350579474966</x:v>
      </x:c>
      <x:c r="R82" s="104" t="n">
        <x:f>IFERROR(P82/Q82,0)</x:f>
        <x:v>20.59636742083428</x:v>
      </x:c>
      <x:c r="S82" s="105" t="n">
        <x:f>ROUND(E82*XLOOKUP(C82,'Reference Tables'!$E$4:$E$12,'Reference Tables'!$G$4:$G$12,1),1)</x:f>
        <x:v>9.9</x:v>
      </x:c>
      <x:c r="T82" s="106" t="str">
        <x:f>IF(R82&gt;='Inputs &amp; Guide'!$B$9,"HIGH",IF(R82&gt;=0.45,"WATCH","NORMAL"))</x:f>
        <x:v>HIGH</x:v>
      </x:c>
    </x:row>
    <x:row r="83">
      <x:c r="A83" s="95" t="n">
        <x:v>633</x:v>
      </x:c>
      <x:c r="B83" s="96" t="n">
        <x:v>45318.104166666664</x:v>
      </x:c>
      <x:c r="C83" s="97" t="str">
        <x:v>Tornado</x:v>
      </x:c>
      <x:c r="D83" s="97" t="str">
        <x:v>USA</x:v>
      </x:c>
      <x:c r="E83" s="98" t="n">
        <x:v>6.259675872446656</x:v>
      </x:c>
      <x:c r="F83" s="99" t="n">
        <x:v>354.6959504064552</x:v>
      </x:c>
      <x:c r="G83" s="100" t="str">
        <x:f>XLOOKUP(D83,'Reference Tables'!$A$4:$A$23,'Reference Tables'!$B$4:$B$23,"Other")</x:f>
        <x:v>Other</x:v>
      </x:c>
      <x:c r="H83" s="100" t="str">
        <x:f>VLOOKUP(G83,'Reference Tables'!$I$4:$J$9,2,FALSE)</x:f>
        <x:v>Moderate</x:v>
      </x:c>
      <x:c r="I83" s="101" t="n">
        <x:f>F83*'Inputs &amp; Guide'!$B$4*XLOOKUP(D83,'Reference Tables'!$A$4:$A$23,'Reference Tables'!$C$4:$C$23,0.75)</x:f>
        <x:v>42.56351404877462</x:v>
      </x:c>
      <x:c r="J83" s="102" t="n">
        <x:f>XLOOKUP(C83,'Reference Tables'!$E$4:$E$12,'Reference Tables'!$F$4:$F$12,0.05)</x:f>
        <x:v>0.09</x:v>
      </x:c>
      <x:c r="K83" s="103" t="n">
        <x:f>MIN(I83,F83*J83)</x:f>
        <x:v>31.92263553658097</x:v>
      </x:c>
      <x:c r="L83" s="103" t="n">
        <x:f>'Inputs &amp; Guide'!$B$5</x:f>
        <x:v>15</x:v>
      </x:c>
      <x:c r="M83" s="103" t="n">
        <x:f>I83*'Inputs &amp; Guide'!$B$6</x:f>
        <x:v>23.409932726826042</x:v>
      </x:c>
      <x:c r="N83" s="103" t="n">
        <x:f>MAX(0,MIN(K83-L83,M83))</x:f>
        <x:v>16.92263553658097</x:v>
      </x:c>
      <x:c r="O83" s="103" t="n">
        <x:f>MAX(0,N83-'Inputs &amp; Guide'!$B$7)</x:f>
        <x:v>0</x:v>
      </x:c>
      <x:c r="P83" s="103" t="n">
        <x:f>N83-O83</x:f>
        <x:v>16.92263553658097</x:v>
      </x:c>
      <x:c r="Q83" s="103" t="n">
        <x:f>I83*'Inputs &amp; Guide'!$B$8</x:f>
        <x:v>0.7661432528779432</x:v>
      </x:c>
      <x:c r="R83" s="104" t="n">
        <x:f>IFERROR(P83/Q83,0)</x:f>
        <x:v>22.088082709092227</x:v>
      </x:c>
      <x:c r="S83" s="105" t="n">
        <x:f>ROUND(E83*XLOOKUP(C83,'Reference Tables'!$E$4:$E$12,'Reference Tables'!$G$4:$G$12,1),1)</x:f>
        <x:v>6.6</x:v>
      </x:c>
      <x:c r="T83" s="106" t="str">
        <x:f>IF(R83&gt;='Inputs &amp; Guide'!$B$9,"HIGH",IF(R83&gt;=0.45,"WATCH","NORMAL"))</x:f>
        <x:v>HIGH</x:v>
      </x:c>
    </x:row>
    <x:row r="84">
      <x:c r="A84" s="95" t="n">
        <x:v>641</x:v>
      </x:c>
      <x:c r="B84" s="96" t="n">
        <x:v>45318.4375</x:v>
      </x:c>
      <x:c r="C84" s="97" t="str">
        <x:v>Earthquake</x:v>
      </x:c>
      <x:c r="D84" s="97" t="str">
        <x:v>USA</x:v>
      </x:c>
      <x:c r="E84" s="98" t="n">
        <x:v>5.122729374704759</x:v>
      </x:c>
      <x:c r="F84" s="99" t="n">
        <x:v>528.687039445723</x:v>
      </x:c>
      <x:c r="G84" s="100" t="str">
        <x:f>XLOOKUP(D84,'Reference Tables'!$A$4:$A$23,'Reference Tables'!$B$4:$B$23,"Other")</x:f>
        <x:v>Other</x:v>
      </x:c>
      <x:c r="H84" s="100" t="str">
        <x:f>VLOOKUP(G84,'Reference Tables'!$I$4:$J$9,2,FALSE)</x:f>
        <x:v>Moderate</x:v>
      </x:c>
      <x:c r="I84" s="101" t="n">
        <x:f>F84*'Inputs &amp; Guide'!$B$4*XLOOKUP(D84,'Reference Tables'!$A$4:$A$23,'Reference Tables'!$C$4:$C$23,0.75)</x:f>
        <x:v>63.44244473348677</x:v>
      </x:c>
      <x:c r="J84" s="102" t="n">
        <x:f>XLOOKUP(C84,'Reference Tables'!$E$4:$E$12,'Reference Tables'!$F$4:$F$12,0.05)</x:f>
        <x:v>0.14</x:v>
      </x:c>
      <x:c r="K84" s="103" t="n">
        <x:f>MIN(I84,F84*J84)</x:f>
        <x:v>63.44244473348677</x:v>
      </x:c>
      <x:c r="L84" s="103" t="n">
        <x:f>'Inputs &amp; Guide'!$B$5</x:f>
        <x:v>15</x:v>
      </x:c>
      <x:c r="M84" s="103" t="n">
        <x:f>I84*'Inputs &amp; Guide'!$B$6</x:f>
        <x:v>34.893344603417724</x:v>
      </x:c>
      <x:c r="N84" s="103" t="n">
        <x:f>MAX(0,MIN(K84-L84,M84))</x:f>
        <x:v>34.893344603417724</x:v>
      </x:c>
      <x:c r="O84" s="103" t="n">
        <x:f>MAX(0,N84-'Inputs &amp; Guide'!$B$7)</x:f>
        <x:v>0</x:v>
      </x:c>
      <x:c r="P84" s="103" t="n">
        <x:f>N84-O84</x:f>
        <x:v>34.893344603417724</x:v>
      </x:c>
      <x:c r="Q84" s="103" t="n">
        <x:f>I84*'Inputs &amp; Guide'!$B$8</x:f>
        <x:v>1.1419640052027618</x:v>
      </x:c>
      <x:c r="R84" s="104" t="n">
        <x:f>IFERROR(P84/Q84,0)</x:f>
        <x:v>30.555555555555557</x:v>
      </x:c>
      <x:c r="S84" s="105" t="n">
        <x:f>ROUND(E84*XLOOKUP(C84,'Reference Tables'!$E$4:$E$12,'Reference Tables'!$G$4:$G$12,1),1)</x:f>
        <x:v>7.7</x:v>
      </x:c>
      <x:c r="T84" s="106" t="str">
        <x:f>IF(R84&gt;='Inputs &amp; Guide'!$B$9,"HIGH",IF(R84&gt;=0.45,"WATCH","NORMAL"))</x:f>
        <x:v>HIGH</x:v>
      </x:c>
    </x:row>
    <x:row r="85">
      <x:c r="A85" s="95" t="n">
        <x:v>649</x:v>
      </x:c>
      <x:c r="B85" s="96" t="n">
        <x:v>45319</x:v>
      </x:c>
      <x:c r="C85" s="97" t="str">
        <x:v>Earthquake</x:v>
      </x:c>
      <x:c r="D85" s="97" t="str">
        <x:v>Japan</x:v>
      </x:c>
      <x:c r="E85" s="98" t="n">
        <x:v>2.1207140533010875</x:v>
      </x:c>
      <x:c r="F85" s="99" t="n">
        <x:v>609.2676620697304</x:v>
      </x:c>
      <x:c r="G85" s="100" t="str">
        <x:f>XLOOKUP(D85,'Reference Tables'!$A$4:$A$23,'Reference Tables'!$B$4:$B$23,"Other")</x:f>
        <x:v>Asia Pacific</x:v>
      </x:c>
      <x:c r="H85" s="100" t="str">
        <x:f>VLOOKUP(G85,'Reference Tables'!$I$4:$J$9,2,FALSE)</x:f>
        <x:v>High</x:v>
      </x:c>
      <x:c r="I85" s="101" t="n">
        <x:f>F85*'Inputs &amp; Guide'!$B$4*XLOOKUP(D85,'Reference Tables'!$A$4:$A$23,'Reference Tables'!$C$4:$C$23,0.75)</x:f>
        <x:v>115.0297345987651</x:v>
      </x:c>
      <x:c r="J85" s="102" t="n">
        <x:f>XLOOKUP(C85,'Reference Tables'!$E$4:$E$12,'Reference Tables'!$F$4:$F$12,0.05)</x:f>
        <x:v>0.14</x:v>
      </x:c>
      <x:c r="K85" s="103" t="n">
        <x:f>MIN(I85,F85*J85)</x:f>
        <x:v>85.29747268976226</x:v>
      </x:c>
      <x:c r="L85" s="103" t="n">
        <x:f>'Inputs &amp; Guide'!$B$5</x:f>
        <x:v>15</x:v>
      </x:c>
      <x:c r="M85" s="103" t="n">
        <x:f>I85*'Inputs &amp; Guide'!$B$6</x:f>
        <x:v>63.26635402932081</x:v>
      </x:c>
      <x:c r="N85" s="103" t="n">
        <x:f>MAX(0,MIN(K85-L85,M85))</x:f>
        <x:v>63.26635402932081</x:v>
      </x:c>
      <x:c r="O85" s="103" t="n">
        <x:f>MAX(0,N85-'Inputs &amp; Guide'!$B$7)</x:f>
        <x:v>3.2663540293208086</x:v>
      </x:c>
      <x:c r="P85" s="103" t="n">
        <x:f>N85-O85</x:f>
        <x:v>60</x:v>
      </x:c>
      <x:c r="Q85" s="103" t="n">
        <x:f>I85*'Inputs &amp; Guide'!$B$8</x:f>
        <x:v>2.070535222777772</x:v>
      </x:c>
      <x:c r="R85" s="104" t="n">
        <x:f>IFERROR(P85/Q85,0)</x:f>
        <x:v>28.978014640825904</x:v>
      </x:c>
      <x:c r="S85" s="105" t="n">
        <x:f>ROUND(E85*XLOOKUP(C85,'Reference Tables'!$E$4:$E$12,'Reference Tables'!$G$4:$G$12,1),1)</x:f>
        <x:v>3.2</x:v>
      </x:c>
      <x:c r="T85" s="106" t="str">
        <x:f>IF(R85&gt;='Inputs &amp; Guide'!$B$9,"HIGH",IF(R85&gt;=0.45,"WATCH","NORMAL"))</x:f>
        <x:v>HIGH</x:v>
      </x:c>
    </x:row>
    <x:row r="86">
      <x:c r="A86" s="95" t="n">
        <x:v>657</x:v>
      </x:c>
      <x:c r="B86" s="96" t="n">
        <x:v>45319.104166666664</x:v>
      </x:c>
      <x:c r="C86" s="97" t="str">
        <x:v>Earthquake</x:v>
      </x:c>
      <x:c r="D86" s="97" t="str">
        <x:v>Brazil</x:v>
      </x:c>
      <x:c r="E86" s="98" t="n">
        <x:v>7.2395900059868366</x:v>
      </x:c>
      <x:c r="F86" s="99" t="n">
        <x:v>767.8191811573749</x:v>
      </x:c>
      <x:c r="G86" s="100" t="str">
        <x:f>XLOOKUP(D86,'Reference Tables'!$A$4:$A$23,'Reference Tables'!$B$4:$B$23,"Other")</x:f>
        <x:v>Latin America</x:v>
      </x:c>
      <x:c r="H86" s="100" t="str">
        <x:f>VLOOKUP(G86,'Reference Tables'!$I$4:$J$9,2,FALSE)</x:f>
        <x:v>Moderate</x:v>
      </x:c>
      <x:c r="I86" s="101" t="n">
        <x:f>F86*'Inputs &amp; Guide'!$B$4*XLOOKUP(D86,'Reference Tables'!$A$4:$A$23,'Reference Tables'!$C$4:$C$23,0.75)</x:f>
        <x:v>100.7378765678476</x:v>
      </x:c>
      <x:c r="J86" s="102" t="n">
        <x:f>XLOOKUP(C86,'Reference Tables'!$E$4:$E$12,'Reference Tables'!$F$4:$F$12,0.05)</x:f>
        <x:v>0.14</x:v>
      </x:c>
      <x:c r="K86" s="103" t="n">
        <x:f>MIN(I86,F86*J86)</x:f>
        <x:v>100.7378765678476</x:v>
      </x:c>
      <x:c r="L86" s="103" t="n">
        <x:f>'Inputs &amp; Guide'!$B$5</x:f>
        <x:v>15</x:v>
      </x:c>
      <x:c r="M86" s="103" t="n">
        <x:f>I86*'Inputs &amp; Guide'!$B$6</x:f>
        <x:v>55.40583211231618</x:v>
      </x:c>
      <x:c r="N86" s="103" t="n">
        <x:f>MAX(0,MIN(K86-L86,M86))</x:f>
        <x:v>55.40583211231618</x:v>
      </x:c>
      <x:c r="O86" s="103" t="n">
        <x:f>MAX(0,N86-'Inputs &amp; Guide'!$B$7)</x:f>
        <x:v>0</x:v>
      </x:c>
      <x:c r="P86" s="103" t="n">
        <x:f>N86-O86</x:f>
        <x:v>55.40583211231618</x:v>
      </x:c>
      <x:c r="Q86" s="103" t="n">
        <x:f>I86*'Inputs &amp; Guide'!$B$8</x:f>
        <x:v>1.8132817782212565</x:v>
      </x:c>
      <x:c r="R86" s="104" t="n">
        <x:f>IFERROR(P86/Q86,0)</x:f>
        <x:v>30.555555555555564</x:v>
      </x:c>
      <x:c r="S86" s="105" t="n">
        <x:f>ROUND(E86*XLOOKUP(C86,'Reference Tables'!$E$4:$E$12,'Reference Tables'!$G$4:$G$12,1),1)</x:f>
        <x:v>10.9</x:v>
      </x:c>
      <x:c r="T86" s="106" t="str">
        <x:f>IF(R86&gt;='Inputs &amp; Guide'!$B$9,"HIGH",IF(R86&gt;=0.45,"WATCH","NORMAL"))</x:f>
        <x:v>HIGH</x:v>
      </x:c>
    </x:row>
    <x:row r="87">
      <x:c r="A87" s="95" t="n">
        <x:v>665</x:v>
      </x:c>
      <x:c r="B87" s="96" t="n">
        <x:v>45319.4375</x:v>
      </x:c>
      <x:c r="C87" s="97" t="str">
        <x:v>Tornado</x:v>
      </x:c>
      <x:c r="D87" s="97" t="str">
        <x:v>China</x:v>
      </x:c>
      <x:c r="E87" s="98" t="n">
        <x:v>9.35129750433251</x:v>
      </x:c>
      <x:c r="F87" s="99" t="n">
        <x:v>827.3310067403088</x:v>
      </x:c>
      <x:c r="G87" s="100" t="str">
        <x:f>XLOOKUP(D87,'Reference Tables'!$A$4:$A$23,'Reference Tables'!$B$4:$B$23,"Other")</x:f>
        <x:v>Asia Pacific</x:v>
      </x:c>
      <x:c r="H87" s="100" t="str">
        <x:f>VLOOKUP(G87,'Reference Tables'!$I$4:$J$9,2,FALSE)</x:f>
        <x:v>High</x:v>
      </x:c>
      <x:c r="I87" s="101" t="n">
        <x:f>F87*'Inputs &amp; Guide'!$B$4*XLOOKUP(D87,'Reference Tables'!$A$4:$A$23,'Reference Tables'!$C$4:$C$23,0.75)</x:f>
        <x:v>142.96279796472538</x:v>
      </x:c>
      <x:c r="J87" s="102" t="n">
        <x:f>XLOOKUP(C87,'Reference Tables'!$E$4:$E$12,'Reference Tables'!$F$4:$F$12,0.05)</x:f>
        <x:v>0.09</x:v>
      </x:c>
      <x:c r="K87" s="103" t="n">
        <x:f>MIN(I87,F87*J87)</x:f>
        <x:v>74.45979060662779</x:v>
      </x:c>
      <x:c r="L87" s="103" t="n">
        <x:f>'Inputs &amp; Guide'!$B$5</x:f>
        <x:v>15</x:v>
      </x:c>
      <x:c r="M87" s="103" t="n">
        <x:f>I87*'Inputs &amp; Guide'!$B$6</x:f>
        <x:v>78.62953888059897</x:v>
      </x:c>
      <x:c r="N87" s="103" t="n">
        <x:f>MAX(0,MIN(K87-L87,M87))</x:f>
        <x:v>59.45979060662779</x:v>
      </x:c>
      <x:c r="O87" s="103" t="n">
        <x:f>MAX(0,N87-'Inputs &amp; Guide'!$B$7)</x:f>
        <x:v>0</x:v>
      </x:c>
      <x:c r="P87" s="103" t="n">
        <x:f>N87-O87</x:f>
        <x:v>59.45979060662779</x:v>
      </x:c>
      <x:c r="Q87" s="103" t="n">
        <x:f>I87*'Inputs &amp; Guide'!$B$8</x:f>
        <x:v>2.5733303633650566</x:v>
      </x:c>
      <x:c r="R87" s="104" t="n">
        <x:f>IFERROR(P87/Q87,0)</x:f>
        <x:v>23.10616291367823</x:v>
      </x:c>
      <x:c r="S87" s="105" t="n">
        <x:f>ROUND(E87*XLOOKUP(C87,'Reference Tables'!$E$4:$E$12,'Reference Tables'!$G$4:$G$12,1),1)</x:f>
        <x:v>9.8</x:v>
      </x:c>
      <x:c r="T87" s="106" t="str">
        <x:f>IF(R87&gt;='Inputs &amp; Guide'!$B$9,"HIGH",IF(R87&gt;=0.45,"WATCH","NORMAL"))</x:f>
        <x:v>HIGH</x:v>
      </x:c>
    </x:row>
    <x:row r="88">
      <x:c r="A88" s="95" t="n">
        <x:v>673</x:v>
      </x:c>
      <x:c r="B88" s="96" t="n">
        <x:v>45320</x:v>
      </x:c>
      <x:c r="C88" s="97" t="str">
        <x:v>Tornado</x:v>
      </x:c>
      <x:c r="D88" s="97" t="str">
        <x:v>India</x:v>
      </x:c>
      <x:c r="E88" s="98" t="n">
        <x:v>4.485110096572839</x:v>
      </x:c>
      <x:c r="F88" s="99" t="n">
        <x:v>709.6394182030186</x:v>
      </x:c>
      <x:c r="G88" s="100" t="str">
        <x:f>XLOOKUP(D88,'Reference Tables'!$A$4:$A$23,'Reference Tables'!$B$4:$B$23,"Other")</x:f>
        <x:v>Asia Pacific</x:v>
      </x:c>
      <x:c r="H88" s="100" t="str">
        <x:f>VLOOKUP(G88,'Reference Tables'!$I$4:$J$9,2,FALSE)</x:f>
        <x:v>High</x:v>
      </x:c>
      <x:c r="I88" s="101" t="n">
        <x:f>F88*'Inputs &amp; Guide'!$B$4*XLOOKUP(D88,'Reference Tables'!$A$4:$A$23,'Reference Tables'!$C$4:$C$23,0.75)</x:f>
        <x:v>103.32349929035952</x:v>
      </x:c>
      <x:c r="J88" s="102" t="n">
        <x:f>XLOOKUP(C88,'Reference Tables'!$E$4:$E$12,'Reference Tables'!$F$4:$F$12,0.05)</x:f>
        <x:v>0.09</x:v>
      </x:c>
      <x:c r="K88" s="103" t="n">
        <x:f>MIN(I88,F88*J88)</x:f>
        <x:v>63.867547638271674</x:v>
      </x:c>
      <x:c r="L88" s="103" t="n">
        <x:f>'Inputs &amp; Guide'!$B$5</x:f>
        <x:v>15</x:v>
      </x:c>
      <x:c r="M88" s="103" t="n">
        <x:f>I88*'Inputs &amp; Guide'!$B$6</x:f>
        <x:v>56.82792460969774</x:v>
      </x:c>
      <x:c r="N88" s="103" t="n">
        <x:f>MAX(0,MIN(K88-L88,M88))</x:f>
        <x:v>48.867547638271674</x:v>
      </x:c>
      <x:c r="O88" s="103" t="n">
        <x:f>MAX(0,N88-'Inputs &amp; Guide'!$B$7)</x:f>
        <x:v>0</x:v>
      </x:c>
      <x:c r="P88" s="103" t="n">
        <x:f>N88-O88</x:f>
        <x:v>48.867547638271674</x:v>
      </x:c>
      <x:c r="Q88" s="103" t="n">
        <x:f>I88*'Inputs &amp; Guide'!$B$8</x:f>
        <x:v>1.8598229872264713</x:v>
      </x:c>
      <x:c r="R88" s="104" t="n">
        <x:f>IFERROR(P88/Q88,0)</x:f>
        <x:v>26.275375653436342</x:v>
      </x:c>
      <x:c r="S88" s="105" t="n">
        <x:f>ROUND(E88*XLOOKUP(C88,'Reference Tables'!$E$4:$E$12,'Reference Tables'!$G$4:$G$12,1),1)</x:f>
        <x:v>4.7</x:v>
      </x:c>
      <x:c r="T88" s="106" t="str">
        <x:f>IF(R88&gt;='Inputs &amp; Guide'!$B$9,"HIGH",IF(R88&gt;=0.45,"WATCH","NORMAL"))</x:f>
        <x:v>HIGH</x:v>
      </x:c>
    </x:row>
    <x:row r="89">
      <x:c r="A89" s="95" t="n">
        <x:v>681</x:v>
      </x:c>
      <x:c r="B89" s="96" t="n">
        <x:v>45320.104166666664</x:v>
      </x:c>
      <x:c r="C89" s="97" t="str">
        <x:v>Hurricane</x:v>
      </x:c>
      <x:c r="D89" s="97" t="str">
        <x:v>India</x:v>
      </x:c>
      <x:c r="E89" s="98" t="n">
        <x:v>7.58182643062467</x:v>
      </x:c>
      <x:c r="F89" s="99" t="n">
        <x:v>747.6291783571781</x:v>
      </x:c>
      <x:c r="G89" s="100" t="str">
        <x:f>XLOOKUP(D89,'Reference Tables'!$A$4:$A$23,'Reference Tables'!$B$4:$B$23,"Other")</x:f>
        <x:v>Asia Pacific</x:v>
      </x:c>
      <x:c r="H89" s="100" t="str">
        <x:f>VLOOKUP(G89,'Reference Tables'!$I$4:$J$9,2,FALSE)</x:f>
        <x:v>High</x:v>
      </x:c>
      <x:c r="I89" s="101" t="n">
        <x:f>F89*'Inputs &amp; Guide'!$B$4*XLOOKUP(D89,'Reference Tables'!$A$4:$A$23,'Reference Tables'!$C$4:$C$23,0.75)</x:f>
        <x:v>108.85480836880514</x:v>
      </x:c>
      <x:c r="J89" s="102" t="n">
        <x:f>XLOOKUP(C89,'Reference Tables'!$E$4:$E$12,'Reference Tables'!$F$4:$F$12,0.05)</x:f>
        <x:v>0.18</x:v>
      </x:c>
      <x:c r="K89" s="103" t="n">
        <x:f>MIN(I89,F89*J89)</x:f>
        <x:v>108.85480836880514</x:v>
      </x:c>
      <x:c r="L89" s="103" t="n">
        <x:f>'Inputs &amp; Guide'!$B$5</x:f>
        <x:v>15</x:v>
      </x:c>
      <x:c r="M89" s="103" t="n">
        <x:f>I89*'Inputs &amp; Guide'!$B$6</x:f>
        <x:v>59.87014460284283</x:v>
      </x:c>
      <x:c r="N89" s="103" t="n">
        <x:f>MAX(0,MIN(K89-L89,M89))</x:f>
        <x:v>59.87014460284283</x:v>
      </x:c>
      <x:c r="O89" s="103" t="n">
        <x:f>MAX(0,N89-'Inputs &amp; Guide'!$B$7)</x:f>
        <x:v>0</x:v>
      </x:c>
      <x:c r="P89" s="103" t="n">
        <x:f>N89-O89</x:f>
        <x:v>59.87014460284283</x:v>
      </x:c>
      <x:c r="Q89" s="103" t="n">
        <x:f>I89*'Inputs &amp; Guide'!$B$8</x:f>
        <x:v>1.9593865506384924</x:v>
      </x:c>
      <x:c r="R89" s="104" t="n">
        <x:f>IFERROR(P89/Q89,0)</x:f>
        <x:v>30.555555555555557</x:v>
      </x:c>
      <x:c r="S89" s="105" t="n">
        <x:f>ROUND(E89*XLOOKUP(C89,'Reference Tables'!$E$4:$E$12,'Reference Tables'!$G$4:$G$12,1),1)</x:f>
        <x:v>10.6</x:v>
      </x:c>
      <x:c r="T89" s="106" t="str">
        <x:f>IF(R89&gt;='Inputs &amp; Guide'!$B$9,"HIGH",IF(R89&gt;=0.45,"WATCH","NORMAL"))</x:f>
        <x:v>HIGH</x:v>
      </x:c>
    </x:row>
    <x:row r="90">
      <x:c r="A90" s="95" t="n">
        <x:v>689</x:v>
      </x:c>
      <x:c r="B90" s="96" t="n">
        <x:v>45320.4375</x:v>
      </x:c>
      <x:c r="C90" s="97" t="str">
        <x:v>Earthquake</x:v>
      </x:c>
      <x:c r="D90" s="97" t="str">
        <x:v>USA</x:v>
      </x:c>
      <x:c r="E90" s="98" t="n">
        <x:v>5.634692654956867</x:v>
      </x:c>
      <x:c r="F90" s="99" t="n">
        <x:v>621.133274953851</x:v>
      </x:c>
      <x:c r="G90" s="100" t="str">
        <x:f>XLOOKUP(D90,'Reference Tables'!$A$4:$A$23,'Reference Tables'!$B$4:$B$23,"Other")</x:f>
        <x:v>Other</x:v>
      </x:c>
      <x:c r="H90" s="100" t="str">
        <x:f>VLOOKUP(G90,'Reference Tables'!$I$4:$J$9,2,FALSE)</x:f>
        <x:v>Moderate</x:v>
      </x:c>
      <x:c r="I90" s="101" t="n">
        <x:f>F90*'Inputs &amp; Guide'!$B$4*XLOOKUP(D90,'Reference Tables'!$A$4:$A$23,'Reference Tables'!$C$4:$C$23,0.75)</x:f>
        <x:v>74.53599299446212</x:v>
      </x:c>
      <x:c r="J90" s="102" t="n">
        <x:f>XLOOKUP(C90,'Reference Tables'!$E$4:$E$12,'Reference Tables'!$F$4:$F$12,0.05)</x:f>
        <x:v>0.14</x:v>
      </x:c>
      <x:c r="K90" s="103" t="n">
        <x:f>MIN(I90,F90*J90)</x:f>
        <x:v>74.53599299446212</x:v>
      </x:c>
      <x:c r="L90" s="103" t="n">
        <x:f>'Inputs &amp; Guide'!$B$5</x:f>
        <x:v>15</x:v>
      </x:c>
      <x:c r="M90" s="103" t="n">
        <x:f>I90*'Inputs &amp; Guide'!$B$6</x:f>
        <x:v>40.99479614695417</x:v>
      </x:c>
      <x:c r="N90" s="103" t="n">
        <x:f>MAX(0,MIN(K90-L90,M90))</x:f>
        <x:v>40.99479614695417</x:v>
      </x:c>
      <x:c r="O90" s="103" t="n">
        <x:f>MAX(0,N90-'Inputs &amp; Guide'!$B$7)</x:f>
        <x:v>0</x:v>
      </x:c>
      <x:c r="P90" s="103" t="n">
        <x:f>N90-O90</x:f>
        <x:v>40.99479614695417</x:v>
      </x:c>
      <x:c r="Q90" s="103" t="n">
        <x:f>I90*'Inputs &amp; Guide'!$B$8</x:f>
        <x:v>1.3416478739003181</x:v>
      </x:c>
      <x:c r="R90" s="104" t="n">
        <x:f>IFERROR(P90/Q90,0)</x:f>
        <x:v>30.55555555555556</x:v>
      </x:c>
      <x:c r="S90" s="105" t="n">
        <x:f>ROUND(E90*XLOOKUP(C90,'Reference Tables'!$E$4:$E$12,'Reference Tables'!$G$4:$G$12,1),1)</x:f>
        <x:v>8.5</x:v>
      </x:c>
      <x:c r="T90" s="106" t="str">
        <x:f>IF(R90&gt;='Inputs &amp; Guide'!$B$9,"HIGH",IF(R90&gt;=0.45,"WATCH","NORMAL"))</x:f>
        <x:v>HIGH</x:v>
      </x:c>
    </x:row>
    <x:row r="91">
      <x:c r="A91" s="95" t="n">
        <x:v>697</x:v>
      </x:c>
      <x:c r="B91" s="96" t="n">
        <x:v>45321</x:v>
      </x:c>
      <x:c r="C91" s="97" t="str">
        <x:v>Hurricane</x:v>
      </x:c>
      <x:c r="D91" s="97" t="str">
        <x:v>China</x:v>
      </x:c>
      <x:c r="E91" s="98" t="n">
        <x:v>8.98050491084542</x:v>
      </x:c>
      <x:c r="F91" s="99" t="n">
        <x:v>968.7625125574972</x:v>
      </x:c>
      <x:c r="G91" s="100" t="str">
        <x:f>XLOOKUP(D91,'Reference Tables'!$A$4:$A$23,'Reference Tables'!$B$4:$B$23,"Other")</x:f>
        <x:v>Asia Pacific</x:v>
      </x:c>
      <x:c r="H91" s="100" t="str">
        <x:f>VLOOKUP(G91,'Reference Tables'!$I$4:$J$9,2,FALSE)</x:f>
        <x:v>High</x:v>
      </x:c>
      <x:c r="I91" s="101" t="n">
        <x:f>F91*'Inputs &amp; Guide'!$B$4*XLOOKUP(D91,'Reference Tables'!$A$4:$A$23,'Reference Tables'!$C$4:$C$23,0.75)</x:f>
        <x:v>167.4021621699355</x:v>
      </x:c>
      <x:c r="J91" s="102" t="n">
        <x:f>XLOOKUP(C91,'Reference Tables'!$E$4:$E$12,'Reference Tables'!$F$4:$F$12,0.05)</x:f>
        <x:v>0.18</x:v>
      </x:c>
      <x:c r="K91" s="103" t="n">
        <x:f>MIN(I91,F91*J91)</x:f>
        <x:v>167.4021621699355</x:v>
      </x:c>
      <x:c r="L91" s="103" t="n">
        <x:f>'Inputs &amp; Guide'!$B$5</x:f>
        <x:v>15</x:v>
      </x:c>
      <x:c r="M91" s="103" t="n">
        <x:f>I91*'Inputs &amp; Guide'!$B$6</x:f>
        <x:v>92.07118919346453</x:v>
      </x:c>
      <x:c r="N91" s="103" t="n">
        <x:f>MAX(0,MIN(K91-L91,M91))</x:f>
        <x:v>92.07118919346453</x:v>
      </x:c>
      <x:c r="O91" s="103" t="n">
        <x:f>MAX(0,N91-'Inputs &amp; Guide'!$B$7)</x:f>
        <x:v>32.071189193464534</x:v>
      </x:c>
      <x:c r="P91" s="103" t="n">
        <x:f>N91-O91</x:f>
        <x:v>60</x:v>
      </x:c>
      <x:c r="Q91" s="103" t="n">
        <x:f>I91*'Inputs &amp; Guide'!$B$8</x:f>
        <x:v>3.013238919058839</x:v>
      </x:c>
      <x:c r="R91" s="104" t="n">
        <x:f>IFERROR(P91/Q91,0)</x:f>
        <x:v>19.91212831498291</x:v>
      </x:c>
      <x:c r="S91" s="105" t="n">
        <x:f>ROUND(E91*XLOOKUP(C91,'Reference Tables'!$E$4:$E$12,'Reference Tables'!$G$4:$G$12,1),1)</x:f>
        <x:v>12.6</x:v>
      </x:c>
      <x:c r="T91" s="106" t="str">
        <x:f>IF(R91&gt;='Inputs &amp; Guide'!$B$9,"HIGH",IF(R91&gt;=0.45,"WATCH","NORMAL"))</x:f>
        <x:v>HIGH</x:v>
      </x:c>
    </x:row>
    <x:row r="92">
      <x:c r="A92" s="95" t="n">
        <x:v>705</x:v>
      </x:c>
      <x:c r="B92" s="96" t="n">
        <x:v>45321.104166666664</x:v>
      </x:c>
      <x:c r="C92" s="97" t="str">
        <x:v>Hurricane</x:v>
      </x:c>
      <x:c r="D92" s="97" t="str">
        <x:v>China</x:v>
      </x:c>
      <x:c r="E92" s="98" t="n">
        <x:v>7.847585491678959</x:v>
      </x:c>
      <x:c r="F92" s="99" t="n">
        <x:v>874.2407263242305</x:v>
      </x:c>
      <x:c r="G92" s="100" t="str">
        <x:f>XLOOKUP(D92,'Reference Tables'!$A$4:$A$23,'Reference Tables'!$B$4:$B$23,"Other")</x:f>
        <x:v>Asia Pacific</x:v>
      </x:c>
      <x:c r="H92" s="100" t="str">
        <x:f>VLOOKUP(G92,'Reference Tables'!$I$4:$J$9,2,FALSE)</x:f>
        <x:v>High</x:v>
      </x:c>
      <x:c r="I92" s="101" t="n">
        <x:f>F92*'Inputs &amp; Guide'!$B$4*XLOOKUP(D92,'Reference Tables'!$A$4:$A$23,'Reference Tables'!$C$4:$C$23,0.75)</x:f>
        <x:v>151.06879750882706</x:v>
      </x:c>
      <x:c r="J92" s="102" t="n">
        <x:f>XLOOKUP(C92,'Reference Tables'!$E$4:$E$12,'Reference Tables'!$F$4:$F$12,0.05)</x:f>
        <x:v>0.18</x:v>
      </x:c>
      <x:c r="K92" s="103" t="n">
        <x:f>MIN(I92,F92*J92)</x:f>
        <x:v>151.06879750882706</x:v>
      </x:c>
      <x:c r="L92" s="103" t="n">
        <x:f>'Inputs &amp; Guide'!$B$5</x:f>
        <x:v>15</x:v>
      </x:c>
      <x:c r="M92" s="103" t="n">
        <x:f>I92*'Inputs &amp; Guide'!$B$6</x:f>
        <x:v>83.08783862985489</x:v>
      </x:c>
      <x:c r="N92" s="103" t="n">
        <x:f>MAX(0,MIN(K92-L92,M92))</x:f>
        <x:v>83.08783862985489</x:v>
      </x:c>
      <x:c r="O92" s="103" t="n">
        <x:f>MAX(0,N92-'Inputs &amp; Guide'!$B$7)</x:f>
        <x:v>23.087838629854886</x:v>
      </x:c>
      <x:c r="P92" s="103" t="n">
        <x:f>N92-O92</x:f>
        <x:v>60</x:v>
      </x:c>
      <x:c r="Q92" s="103" t="n">
        <x:f>I92*'Inputs &amp; Guide'!$B$8</x:f>
        <x:v>2.719238355158887</x:v>
      </x:c>
      <x:c r="R92" s="104" t="n">
        <x:f>IFERROR(P92/Q92,0)</x:f>
        <x:v>22.065002093755094</x:v>
      </x:c>
      <x:c r="S92" s="105" t="n">
        <x:f>ROUND(E92*XLOOKUP(C92,'Reference Tables'!$E$4:$E$12,'Reference Tables'!$G$4:$G$12,1),1)</x:f>
        <x:v>11</x:v>
      </x:c>
      <x:c r="T92" s="106" t="str">
        <x:f>IF(R92&gt;='Inputs &amp; Guide'!$B$9,"HIGH",IF(R92&gt;=0.45,"WATCH","NORMAL"))</x:f>
        <x:v>HIGH</x:v>
      </x:c>
    </x:row>
    <x:row r="93">
      <x:c r="A93" s="95" t="n">
        <x:v>713</x:v>
      </x:c>
      <x:c r="B93" s="96" t="n">
        <x:v>45321.4375</x:v>
      </x:c>
      <x:c r="C93" s="97" t="str">
        <x:v>Tornado</x:v>
      </x:c>
      <x:c r="D93" s="97" t="str">
        <x:v>USA</x:v>
      </x:c>
      <x:c r="E93" s="98" t="n">
        <x:v>7.8811986245149415</x:v>
      </x:c>
      <x:c r="F93" s="99" t="n">
        <x:v>199.37067304185206</x:v>
      </x:c>
      <x:c r="G93" s="100" t="str">
        <x:f>XLOOKUP(D93,'Reference Tables'!$A$4:$A$23,'Reference Tables'!$B$4:$B$23,"Other")</x:f>
        <x:v>Other</x:v>
      </x:c>
      <x:c r="H93" s="100" t="str">
        <x:f>VLOOKUP(G93,'Reference Tables'!$I$4:$J$9,2,FALSE)</x:f>
        <x:v>Moderate</x:v>
      </x:c>
      <x:c r="I93" s="101" t="n">
        <x:f>F93*'Inputs &amp; Guide'!$B$4*XLOOKUP(D93,'Reference Tables'!$A$4:$A$23,'Reference Tables'!$C$4:$C$23,0.75)</x:f>
        <x:v>23.924480765022246</x:v>
      </x:c>
      <x:c r="J93" s="102" t="n">
        <x:f>XLOOKUP(C93,'Reference Tables'!$E$4:$E$12,'Reference Tables'!$F$4:$F$12,0.05)</x:f>
        <x:v>0.09</x:v>
      </x:c>
      <x:c r="K93" s="103" t="n">
        <x:f>MIN(I93,F93*J93)</x:f>
        <x:v>17.943360573766686</x:v>
      </x:c>
      <x:c r="L93" s="103" t="n">
        <x:f>'Inputs &amp; Guide'!$B$5</x:f>
        <x:v>15</x:v>
      </x:c>
      <x:c r="M93" s="103" t="n">
        <x:f>I93*'Inputs &amp; Guide'!$B$6</x:f>
        <x:v>13.158464420762236</x:v>
      </x:c>
      <x:c r="N93" s="103" t="n">
        <x:f>MAX(0,MIN(K93-L93,M93))</x:f>
        <x:v>2.943360573766686</x:v>
      </x:c>
      <x:c r="O93" s="103" t="n">
        <x:f>MAX(0,N93-'Inputs &amp; Guide'!$B$7)</x:f>
        <x:v>0</x:v>
      </x:c>
      <x:c r="P93" s="103" t="n">
        <x:f>N93-O93</x:f>
        <x:v>2.943360573766686</x:v>
      </x:c>
      <x:c r="Q93" s="103" t="n">
        <x:f>I93*'Inputs &amp; Guide'!$B$8</x:f>
        <x:v>0.4306406537704004</x:v>
      </x:c>
      <x:c r="R93" s="104" t="n">
        <x:f>IFERROR(P93/Q93,0)</x:f>
        <x:v>6.834841411270852</x:v>
      </x:c>
      <x:c r="S93" s="105" t="n">
        <x:f>ROUND(E93*XLOOKUP(C93,'Reference Tables'!$E$4:$E$12,'Reference Tables'!$G$4:$G$12,1),1)</x:f>
        <x:v>8.3</x:v>
      </x:c>
      <x:c r="T93" s="106" t="str">
        <x:f>IF(R93&gt;='Inputs &amp; Guide'!$B$9,"HIGH",IF(R93&gt;=0.45,"WATCH","NORMAL"))</x:f>
        <x:v>HIGH</x:v>
      </x:c>
    </x:row>
    <x:row r="94">
      <x:c r="A94" s="95" t="n">
        <x:v>721</x:v>
      </x:c>
      <x:c r="B94" s="96" t="n">
        <x:v>45322</x:v>
      </x:c>
      <x:c r="C94" s="97" t="str">
        <x:v>Tornado</x:v>
      </x:c>
      <x:c r="D94" s="97" t="str">
        <x:v>China</x:v>
      </x:c>
      <x:c r="E94" s="98" t="n">
        <x:v>7.998075244677378</x:v>
      </x:c>
      <x:c r="F94" s="99" t="n">
        <x:v>522.4848165951877</x:v>
      </x:c>
      <x:c r="G94" s="100" t="str">
        <x:f>XLOOKUP(D94,'Reference Tables'!$A$4:$A$23,'Reference Tables'!$B$4:$B$23,"Other")</x:f>
        <x:v>Asia Pacific</x:v>
      </x:c>
      <x:c r="H94" s="100" t="str">
        <x:f>VLOOKUP(G94,'Reference Tables'!$I$4:$J$9,2,FALSE)</x:f>
        <x:v>High</x:v>
      </x:c>
      <x:c r="I94" s="101" t="n">
        <x:f>F94*'Inputs &amp; Guide'!$B$4*XLOOKUP(D94,'Reference Tables'!$A$4:$A$23,'Reference Tables'!$C$4:$C$23,0.75)</x:f>
        <x:v>90.28537630764843</x:v>
      </x:c>
      <x:c r="J94" s="102" t="n">
        <x:f>XLOOKUP(C94,'Reference Tables'!$E$4:$E$12,'Reference Tables'!$F$4:$F$12,0.05)</x:f>
        <x:v>0.09</x:v>
      </x:c>
      <x:c r="K94" s="103" t="n">
        <x:f>MIN(I94,F94*J94)</x:f>
        <x:v>47.02363349356689</x:v>
      </x:c>
      <x:c r="L94" s="103" t="n">
        <x:f>'Inputs &amp; Guide'!$B$5</x:f>
        <x:v>15</x:v>
      </x:c>
      <x:c r="M94" s="103" t="n">
        <x:f>I94*'Inputs &amp; Guide'!$B$6</x:f>
        <x:v>49.65695696920664</x:v>
      </x:c>
      <x:c r="N94" s="103" t="n">
        <x:f>MAX(0,MIN(K94-L94,M94))</x:f>
        <x:v>32.02363349356689</x:v>
      </x:c>
      <x:c r="O94" s="103" t="n">
        <x:f>MAX(0,N94-'Inputs &amp; Guide'!$B$7)</x:f>
        <x:v>0</x:v>
      </x:c>
      <x:c r="P94" s="103" t="n">
        <x:f>N94-O94</x:f>
        <x:v>32.02363349356689</x:v>
      </x:c>
      <x:c r="Q94" s="103" t="n">
        <x:f>I94*'Inputs &amp; Guide'!$B$8</x:f>
        <x:v>1.6251367735376716</x:v>
      </x:c>
      <x:c r="R94" s="104" t="n">
        <x:f>IFERROR(P94/Q94,0)</x:f>
        <x:v>19.705192827466693</x:v>
      </x:c>
      <x:c r="S94" s="105" t="n">
        <x:f>ROUND(E94*XLOOKUP(C94,'Reference Tables'!$E$4:$E$12,'Reference Tables'!$G$4:$G$12,1),1)</x:f>
        <x:v>8.4</x:v>
      </x:c>
      <x:c r="T94" s="106" t="str">
        <x:f>IF(R94&gt;='Inputs &amp; Guide'!$B$9,"HIGH",IF(R94&gt;=0.45,"WATCH","NORMAL"))</x:f>
        <x:v>HIGH</x:v>
      </x:c>
    </x:row>
    <x:row r="95">
      <x:c r="A95" s="95" t="n">
        <x:v>729</x:v>
      </x:c>
      <x:c r="B95" s="96" t="n">
        <x:v>45322.104166666664</x:v>
      </x:c>
      <x:c r="C95" s="97" t="str">
        <x:v>Tornado</x:v>
      </x:c>
      <x:c r="D95" s="97" t="str">
        <x:v>Japan</x:v>
      </x:c>
      <x:c r="E95" s="98" t="n">
        <x:v>4.220301816508712</x:v>
      </x:c>
      <x:c r="F95" s="99" t="n">
        <x:v>332.13255030128227</x:v>
      </x:c>
      <x:c r="G95" s="100" t="str">
        <x:f>XLOOKUP(D95,'Reference Tables'!$A$4:$A$23,'Reference Tables'!$B$4:$B$23,"Other")</x:f>
        <x:v>Asia Pacific</x:v>
      </x:c>
      <x:c r="H95" s="100" t="str">
        <x:f>VLOOKUP(G95,'Reference Tables'!$I$4:$J$9,2,FALSE)</x:f>
        <x:v>High</x:v>
      </x:c>
      <x:c r="I95" s="101" t="n">
        <x:f>F95*'Inputs &amp; Guide'!$B$4*XLOOKUP(D95,'Reference Tables'!$A$4:$A$23,'Reference Tables'!$C$4:$C$23,0.75)</x:f>
        <x:v>62.70662549688209</x:v>
      </x:c>
      <x:c r="J95" s="102" t="n">
        <x:f>XLOOKUP(C95,'Reference Tables'!$E$4:$E$12,'Reference Tables'!$F$4:$F$12,0.05)</x:f>
        <x:v>0.09</x:v>
      </x:c>
      <x:c r="K95" s="103" t="n">
        <x:f>MIN(I95,F95*J95)</x:f>
        <x:v>29.8919295271154</x:v>
      </x:c>
      <x:c r="L95" s="103" t="n">
        <x:f>'Inputs &amp; Guide'!$B$5</x:f>
        <x:v>15</x:v>
      </x:c>
      <x:c r="M95" s="103" t="n">
        <x:f>I95*'Inputs &amp; Guide'!$B$6</x:f>
        <x:v>34.488644023285154</x:v>
      </x:c>
      <x:c r="N95" s="103" t="n">
        <x:f>MAX(0,MIN(K95-L95,M95))</x:f>
        <x:v>14.891929527115401</x:v>
      </x:c>
      <x:c r="O95" s="103" t="n">
        <x:f>MAX(0,N95-'Inputs &amp; Guide'!$B$7)</x:f>
        <x:v>0</x:v>
      </x:c>
      <x:c r="P95" s="103" t="n">
        <x:f>N95-O95</x:f>
        <x:v>14.891929527115401</x:v>
      </x:c>
      <x:c r="Q95" s="103" t="n">
        <x:f>I95*'Inputs &amp; Guide'!$B$8</x:f>
        <x:v>1.1287192589438775</x:v>
      </x:c>
      <x:c r="R95" s="104" t="n">
        <x:f>IFERROR(P95/Q95,0)</x:f>
        <x:v>13.193652371139228</x:v>
      </x:c>
      <x:c r="S95" s="105" t="n">
        <x:f>ROUND(E95*XLOOKUP(C95,'Reference Tables'!$E$4:$E$12,'Reference Tables'!$G$4:$G$12,1),1)</x:f>
        <x:v>4.4</x:v>
      </x:c>
      <x:c r="T95" s="106" t="str">
        <x:f>IF(R95&gt;='Inputs &amp; Guide'!$B$9,"HIGH",IF(R95&gt;=0.45,"WATCH","NORMAL"))</x:f>
        <x:v>HIGH</x:v>
      </x:c>
    </x:row>
    <x:row r="96">
      <x:c r="A96" s="95" t="n">
        <x:v>737</x:v>
      </x:c>
      <x:c r="B96" s="96" t="n">
        <x:v>45322.4375</x:v>
      </x:c>
      <x:c r="C96" s="97" t="str">
        <x:v>Earthquake</x:v>
      </x:c>
      <x:c r="D96" s="97" t="str">
        <x:v>China</x:v>
      </x:c>
      <x:c r="E96" s="98" t="n">
        <x:v>3.240213263506493</x:v>
      </x:c>
      <x:c r="F96" s="99" t="n">
        <x:v>885.2606947309417</x:v>
      </x:c>
      <x:c r="G96" s="100" t="str">
        <x:f>XLOOKUP(D96,'Reference Tables'!$A$4:$A$23,'Reference Tables'!$B$4:$B$23,"Other")</x:f>
        <x:v>Asia Pacific</x:v>
      </x:c>
      <x:c r="H96" s="100" t="str">
        <x:f>VLOOKUP(G96,'Reference Tables'!$I$4:$J$9,2,FALSE)</x:f>
        <x:v>High</x:v>
      </x:c>
      <x:c r="I96" s="101" t="n">
        <x:f>F96*'Inputs &amp; Guide'!$B$4*XLOOKUP(D96,'Reference Tables'!$A$4:$A$23,'Reference Tables'!$C$4:$C$23,0.75)</x:f>
        <x:v>152.97304804950676</x:v>
      </x:c>
      <x:c r="J96" s="102" t="n">
        <x:f>XLOOKUP(C96,'Reference Tables'!$E$4:$E$12,'Reference Tables'!$F$4:$F$12,0.05)</x:f>
        <x:v>0.14</x:v>
      </x:c>
      <x:c r="K96" s="103" t="n">
        <x:f>MIN(I96,F96*J96)</x:f>
        <x:v>123.93649726233186</x:v>
      </x:c>
      <x:c r="L96" s="103" t="n">
        <x:f>'Inputs &amp; Guide'!$B$5</x:f>
        <x:v>15</x:v>
      </x:c>
      <x:c r="M96" s="103" t="n">
        <x:f>I96*'Inputs &amp; Guide'!$B$6</x:f>
        <x:v>84.13517642722873</x:v>
      </x:c>
      <x:c r="N96" s="103" t="n">
        <x:f>MAX(0,MIN(K96-L96,M96))</x:f>
        <x:v>84.13517642722873</x:v>
      </x:c>
      <x:c r="O96" s="103" t="n">
        <x:f>MAX(0,N96-'Inputs &amp; Guide'!$B$7)</x:f>
        <x:v>24.13517642722873</x:v>
      </x:c>
      <x:c r="P96" s="103" t="n">
        <x:f>N96-O96</x:f>
        <x:v>60</x:v>
      </x:c>
      <x:c r="Q96" s="103" t="n">
        <x:f>I96*'Inputs &amp; Guide'!$B$8</x:f>
        <x:v>2.7535148648911214</x:v>
      </x:c>
      <x:c r="R96" s="104" t="n">
        <x:f>IFERROR(P96/Q96,0)</x:f>
        <x:v>21.7903308840036</x:v>
      </x:c>
      <x:c r="S96" s="105" t="n">
        <x:f>ROUND(E96*XLOOKUP(C96,'Reference Tables'!$E$4:$E$12,'Reference Tables'!$G$4:$G$12,1),1)</x:f>
        <x:v>4.9</x:v>
      </x:c>
      <x:c r="T96" s="106" t="str">
        <x:f>IF(R96&gt;='Inputs &amp; Guide'!$B$9,"HIGH",IF(R96&gt;=0.45,"WATCH","NORMAL"))</x:f>
        <x:v>HIGH</x:v>
      </x:c>
    </x:row>
    <x:row r="97">
      <x:c r="A97" s="95" t="n">
        <x:v>745</x:v>
      </x:c>
      <x:c r="B97" s="96" t="n">
        <x:v>45323</x:v>
      </x:c>
      <x:c r="C97" s="97" t="str">
        <x:v>Flood</x:v>
      </x:c>
      <x:c r="D97" s="97" t="str">
        <x:v>Japan</x:v>
      </x:c>
      <x:c r="E97" s="98" t="n">
        <x:v>6.172804882435446</x:v>
      </x:c>
      <x:c r="F97" s="99" t="n">
        <x:v>144.8951111601755</x:v>
      </x:c>
      <x:c r="G97" s="100" t="str">
        <x:f>XLOOKUP(D97,'Reference Tables'!$A$4:$A$23,'Reference Tables'!$B$4:$B$23,"Other")</x:f>
        <x:v>Asia Pacific</x:v>
      </x:c>
      <x:c r="H97" s="100" t="str">
        <x:f>VLOOKUP(G97,'Reference Tables'!$I$4:$J$9,2,FALSE)</x:f>
        <x:v>High</x:v>
      </x:c>
      <x:c r="I97" s="101" t="n">
        <x:f>F97*'Inputs &amp; Guide'!$B$4*XLOOKUP(D97,'Reference Tables'!$A$4:$A$23,'Reference Tables'!$C$4:$C$23,0.75)</x:f>
        <x:v>27.356196987041134</x:v>
      </x:c>
      <x:c r="J97" s="102" t="n">
        <x:f>XLOOKUP(C97,'Reference Tables'!$E$4:$E$12,'Reference Tables'!$F$4:$F$12,0.05)</x:f>
        <x:v>0.12</x:v>
      </x:c>
      <x:c r="K97" s="103" t="n">
        <x:f>MIN(I97,F97*J97)</x:f>
        <x:v>17.38741333922106</x:v>
      </x:c>
      <x:c r="L97" s="103" t="n">
        <x:f>'Inputs &amp; Guide'!$B$5</x:f>
        <x:v>15</x:v>
      </x:c>
      <x:c r="M97" s="103" t="n">
        <x:f>I97*'Inputs &amp; Guide'!$B$6</x:f>
        <x:v>15.045908342872625</x:v>
      </x:c>
      <x:c r="N97" s="103" t="n">
        <x:f>MAX(0,MIN(K97-L97,M97))</x:f>
        <x:v>2.387413339221059</x:v>
      </x:c>
      <x:c r="O97" s="103" t="n">
        <x:f>MAX(0,N97-'Inputs &amp; Guide'!$B$7)</x:f>
        <x:v>0</x:v>
      </x:c>
      <x:c r="P97" s="103" t="n">
        <x:f>N97-O97</x:f>
        <x:v>2.387413339221059</x:v>
      </x:c>
      <x:c r="Q97" s="103" t="n">
        <x:f>I97*'Inputs &amp; Guide'!$B$8</x:f>
        <x:v>0.4924115457667404</x:v>
      </x:c>
      <x:c r="R97" s="104" t="n">
        <x:f>IFERROR(P97/Q97,0)</x:f>
        <x:v>4.8484105617458395</x:v>
      </x:c>
      <x:c r="S97" s="105" t="n">
        <x:f>ROUND(E97*XLOOKUP(C97,'Reference Tables'!$E$4:$E$12,'Reference Tables'!$G$4:$G$12,1),1)</x:f>
        <x:v>7.7</x:v>
      </x:c>
      <x:c r="T97" s="106" t="str">
        <x:f>IF(R97&gt;='Inputs &amp; Guide'!$B$9,"HIGH",IF(R97&gt;=0.45,"WATCH","NORMAL"))</x:f>
        <x:v>HIGH</x:v>
      </x:c>
    </x:row>
    <x:row r="98">
      <x:c r="A98" s="95" t="n">
        <x:v>753</x:v>
      </x:c>
      <x:c r="B98" s="96" t="n">
        <x:v>45323.104166666664</x:v>
      </x:c>
      <x:c r="C98" s="97" t="str">
        <x:v>Tornado</x:v>
      </x:c>
      <x:c r="D98" s="97" t="str">
        <x:v>China</x:v>
      </x:c>
      <x:c r="E98" s="98" t="n">
        <x:v>1.521277526671098</x:v>
      </x:c>
      <x:c r="F98" s="99" t="n">
        <x:v>379.6098092073824</x:v>
      </x:c>
      <x:c r="G98" s="100" t="str">
        <x:f>XLOOKUP(D98,'Reference Tables'!$A$4:$A$23,'Reference Tables'!$B$4:$B$23,"Other")</x:f>
        <x:v>Asia Pacific</x:v>
      </x:c>
      <x:c r="H98" s="100" t="str">
        <x:f>VLOOKUP(G98,'Reference Tables'!$I$4:$J$9,2,FALSE)</x:f>
        <x:v>High</x:v>
      </x:c>
      <x:c r="I98" s="101" t="n">
        <x:f>F98*'Inputs &amp; Guide'!$B$4*XLOOKUP(D98,'Reference Tables'!$A$4:$A$23,'Reference Tables'!$C$4:$C$23,0.75)</x:f>
        <x:v>65.59657503103568</x:v>
      </x:c>
      <x:c r="J98" s="102" t="n">
        <x:f>XLOOKUP(C98,'Reference Tables'!$E$4:$E$12,'Reference Tables'!$F$4:$F$12,0.05)</x:f>
        <x:v>0.09</x:v>
      </x:c>
      <x:c r="K98" s="103" t="n">
        <x:f>MIN(I98,F98*J98)</x:f>
        <x:v>34.16488282866442</x:v>
      </x:c>
      <x:c r="L98" s="103" t="n">
        <x:f>'Inputs &amp; Guide'!$B$5</x:f>
        <x:v>15</x:v>
      </x:c>
      <x:c r="M98" s="103" t="n">
        <x:f>I98*'Inputs &amp; Guide'!$B$6</x:f>
        <x:v>36.07811626706963</x:v>
      </x:c>
      <x:c r="N98" s="103" t="n">
        <x:f>MAX(0,MIN(K98-L98,M98))</x:f>
        <x:v>19.164882828664418</x:v>
      </x:c>
      <x:c r="O98" s="103" t="n">
        <x:f>MAX(0,N98-'Inputs &amp; Guide'!$B$7)</x:f>
        <x:v>0</x:v>
      </x:c>
      <x:c r="P98" s="103" t="n">
        <x:f>N98-O98</x:f>
        <x:v>19.164882828664418</x:v>
      </x:c>
      <x:c r="Q98" s="103" t="n">
        <x:f>I98*'Inputs &amp; Guide'!$B$8</x:f>
        <x:v>1.1807383505586422</x:v>
      </x:c>
      <x:c r="R98" s="104" t="n">
        <x:f>IFERROR(P98/Q98,0)</x:f>
        <x:v>16.231269882609425</x:v>
      </x:c>
      <x:c r="S98" s="105" t="n">
        <x:f>ROUND(E98*XLOOKUP(C98,'Reference Tables'!$E$4:$E$12,'Reference Tables'!$G$4:$G$12,1),1)</x:f>
        <x:v>1.6</x:v>
      </x:c>
      <x:c r="T98" s="106" t="str">
        <x:f>IF(R98&gt;='Inputs &amp; Guide'!$B$9,"HIGH",IF(R98&gt;=0.45,"WATCH","NORMAL"))</x:f>
        <x:v>HIGH</x:v>
      </x:c>
    </x:row>
    <x:row r="99">
      <x:c r="A99" s="95" t="n">
        <x:v>761</x:v>
      </x:c>
      <x:c r="B99" s="96" t="n">
        <x:v>45323.4375</x:v>
      </x:c>
      <x:c r="C99" s="97" t="str">
        <x:v>Earthquake</x:v>
      </x:c>
      <x:c r="D99" s="97" t="str">
        <x:v>Japan</x:v>
      </x:c>
      <x:c r="E99" s="98" t="n">
        <x:v>5.233753236373623</x:v>
      </x:c>
      <x:c r="F99" s="99" t="n">
        <x:v>152.8586272391528</x:v>
      </x:c>
      <x:c r="G99" s="100" t="str">
        <x:f>XLOOKUP(D99,'Reference Tables'!$A$4:$A$23,'Reference Tables'!$B$4:$B$23,"Other")</x:f>
        <x:v>Asia Pacific</x:v>
      </x:c>
      <x:c r="H99" s="100" t="str">
        <x:f>VLOOKUP(G99,'Reference Tables'!$I$4:$J$9,2,FALSE)</x:f>
        <x:v>High</x:v>
      </x:c>
      <x:c r="I99" s="101" t="n">
        <x:f>F99*'Inputs &amp; Guide'!$B$4*XLOOKUP(D99,'Reference Tables'!$A$4:$A$23,'Reference Tables'!$C$4:$C$23,0.75)</x:f>
        <x:v>28.85970882275205</x:v>
      </x:c>
      <x:c r="J99" s="102" t="n">
        <x:f>XLOOKUP(C99,'Reference Tables'!$E$4:$E$12,'Reference Tables'!$F$4:$F$12,0.05)</x:f>
        <x:v>0.14</x:v>
      </x:c>
      <x:c r="K99" s="103" t="n">
        <x:f>MIN(I99,F99*J99)</x:f>
        <x:v>21.400207813481394</x:v>
      </x:c>
      <x:c r="L99" s="103" t="n">
        <x:f>'Inputs &amp; Guide'!$B$5</x:f>
        <x:v>15</x:v>
      </x:c>
      <x:c r="M99" s="103" t="n">
        <x:f>I99*'Inputs &amp; Guide'!$B$6</x:f>
        <x:v>15.872839852513629</x:v>
      </x:c>
      <x:c r="N99" s="103" t="n">
        <x:f>MAX(0,MIN(K99-L99,M99))</x:f>
        <x:v>6.400207813481394</x:v>
      </x:c>
      <x:c r="O99" s="103" t="n">
        <x:f>MAX(0,N99-'Inputs &amp; Guide'!$B$7)</x:f>
        <x:v>0</x:v>
      </x:c>
      <x:c r="P99" s="103" t="n">
        <x:f>N99-O99</x:f>
        <x:v>6.400207813481394</x:v>
      </x:c>
      <x:c r="Q99" s="103" t="n">
        <x:f>I99*'Inputs &amp; Guide'!$B$8</x:f>
        <x:v>0.5194747588095369</x:v>
      </x:c>
      <x:c r="R99" s="104" t="n">
        <x:f>IFERROR(P99/Q99,0)</x:f>
        <x:v>12.320536666975965</x:v>
      </x:c>
      <x:c r="S99" s="105" t="n">
        <x:f>ROUND(E99*XLOOKUP(C99,'Reference Tables'!$E$4:$E$12,'Reference Tables'!$G$4:$G$12,1),1)</x:f>
        <x:v>7.9</x:v>
      </x:c>
      <x:c r="T99" s="106" t="str">
        <x:f>IF(R99&gt;='Inputs &amp; Guide'!$B$9,"HIGH",IF(R99&gt;=0.45,"WATCH","NORMAL"))</x:f>
        <x:v>HIGH</x:v>
      </x:c>
    </x:row>
    <x:row r="100">
      <x:c r="A100" s="95" t="n">
        <x:v>769</x:v>
      </x:c>
      <x:c r="B100" s="96" t="n">
        <x:v>45324</x:v>
      </x:c>
      <x:c r="C100" s="97" t="str">
        <x:v>Hurricane</x:v>
      </x:c>
      <x:c r="D100" s="97" t="str">
        <x:v>USA</x:v>
      </x:c>
      <x:c r="E100" s="98" t="n">
        <x:v>9.367516031165929</x:v>
      </x:c>
      <x:c r="F100" s="99" t="n">
        <x:v>500.53606298485994</x:v>
      </x:c>
      <x:c r="G100" s="100" t="str">
        <x:f>XLOOKUP(D100,'Reference Tables'!$A$4:$A$23,'Reference Tables'!$B$4:$B$23,"Other")</x:f>
        <x:v>Other</x:v>
      </x:c>
      <x:c r="H100" s="100" t="str">
        <x:f>VLOOKUP(G100,'Reference Tables'!$I$4:$J$9,2,FALSE)</x:f>
        <x:v>Moderate</x:v>
      </x:c>
      <x:c r="I100" s="101" t="n">
        <x:f>F100*'Inputs &amp; Guide'!$B$4*XLOOKUP(D100,'Reference Tables'!$A$4:$A$23,'Reference Tables'!$C$4:$C$23,0.75)</x:f>
        <x:v>60.064327558183194</x:v>
      </x:c>
      <x:c r="J100" s="102" t="n">
        <x:f>XLOOKUP(C100,'Reference Tables'!$E$4:$E$12,'Reference Tables'!$F$4:$F$12,0.05)</x:f>
        <x:v>0.18</x:v>
      </x:c>
      <x:c r="K100" s="103" t="n">
        <x:f>MIN(I100,F100*J100)</x:f>
        <x:v>60.064327558183194</x:v>
      </x:c>
      <x:c r="L100" s="103" t="n">
        <x:f>'Inputs &amp; Guide'!$B$5</x:f>
        <x:v>15</x:v>
      </x:c>
      <x:c r="M100" s="103" t="n">
        <x:f>I100*'Inputs &amp; Guide'!$B$6</x:f>
        <x:v>33.03538015700076</x:v>
      </x:c>
      <x:c r="N100" s="103" t="n">
        <x:f>MAX(0,MIN(K100-L100,M100))</x:f>
        <x:v>33.03538015700076</x:v>
      </x:c>
      <x:c r="O100" s="103" t="n">
        <x:f>MAX(0,N100-'Inputs &amp; Guide'!$B$7)</x:f>
        <x:v>0</x:v>
      </x:c>
      <x:c r="P100" s="103" t="n">
        <x:f>N100-O100</x:f>
        <x:v>33.03538015700076</x:v>
      </x:c>
      <x:c r="Q100" s="103" t="n">
        <x:f>I100*'Inputs &amp; Guide'!$B$8</x:f>
        <x:v>1.0811578960472974</x:v>
      </x:c>
      <x:c r="R100" s="104" t="n">
        <x:f>IFERROR(P100/Q100,0)</x:f>
        <x:v>30.55555555555556</x:v>
      </x:c>
      <x:c r="S100" s="105" t="n">
        <x:f>ROUND(E100*XLOOKUP(C100,'Reference Tables'!$E$4:$E$12,'Reference Tables'!$G$4:$G$12,1),1)</x:f>
        <x:v>13.1</x:v>
      </x:c>
      <x:c r="T100" s="106" t="str">
        <x:f>IF(R100&gt;='Inputs &amp; Guide'!$B$9,"HIGH",IF(R100&gt;=0.45,"WATCH","NORMAL"))</x:f>
        <x:v>HIGH</x:v>
      </x:c>
    </x:row>
    <x:row r="101">
      <x:c r="A101" s="95" t="n">
        <x:v>777</x:v>
      </x:c>
      <x:c r="B101" s="96" t="n">
        <x:v>45324.104166666664</x:v>
      </x:c>
      <x:c r="C101" s="97" t="str">
        <x:v>Hurricane</x:v>
      </x:c>
      <x:c r="D101" s="97" t="str">
        <x:v>India</x:v>
      </x:c>
      <x:c r="E101" s="98" t="n">
        <x:v>1.0317855842448918</x:v>
      </x:c>
      <x:c r="F101" s="99" t="n">
        <x:v>184.04156784906294</x:v>
      </x:c>
      <x:c r="G101" s="100" t="str">
        <x:f>XLOOKUP(D101,'Reference Tables'!$A$4:$A$23,'Reference Tables'!$B$4:$B$23,"Other")</x:f>
        <x:v>Asia Pacific</x:v>
      </x:c>
      <x:c r="H101" s="100" t="str">
        <x:f>VLOOKUP(G101,'Reference Tables'!$I$4:$J$9,2,FALSE)</x:f>
        <x:v>High</x:v>
      </x:c>
      <x:c r="I101" s="101" t="n">
        <x:f>F101*'Inputs &amp; Guide'!$B$4*XLOOKUP(D101,'Reference Tables'!$A$4:$A$23,'Reference Tables'!$C$4:$C$23,0.75)</x:f>
        <x:v>26.796452278823566</x:v>
      </x:c>
      <x:c r="J101" s="102" t="n">
        <x:f>XLOOKUP(C101,'Reference Tables'!$E$4:$E$12,'Reference Tables'!$F$4:$F$12,0.05)</x:f>
        <x:v>0.18</x:v>
      </x:c>
      <x:c r="K101" s="103" t="n">
        <x:f>MIN(I101,F101*J101)</x:f>
        <x:v>26.796452278823566</x:v>
      </x:c>
      <x:c r="L101" s="103" t="n">
        <x:f>'Inputs &amp; Guide'!$B$5</x:f>
        <x:v>15</x:v>
      </x:c>
      <x:c r="M101" s="103" t="n">
        <x:f>I101*'Inputs &amp; Guide'!$B$6</x:f>
        <x:v>14.738048753352961</x:v>
      </x:c>
      <x:c r="N101" s="103" t="n">
        <x:f>MAX(0,MIN(K101-L101,M101))</x:f>
        <x:v>11.796452278823566</x:v>
      </x:c>
      <x:c r="O101" s="103" t="n">
        <x:f>MAX(0,N101-'Inputs &amp; Guide'!$B$7)</x:f>
        <x:v>0</x:v>
      </x:c>
      <x:c r="P101" s="103" t="n">
        <x:f>N101-O101</x:f>
        <x:v>11.796452278823566</x:v>
      </x:c>
      <x:c r="Q101" s="103" t="n">
        <x:f>I101*'Inputs &amp; Guide'!$B$8</x:f>
        <x:v>0.48233614101882416</x:v>
      </x:c>
      <x:c r="R101" s="104" t="n">
        <x:f>IFERROR(P101/Q101,0)</x:f>
        <x:v>24.456911426761994</x:v>
      </x:c>
      <x:c r="S101" s="105" t="n">
        <x:f>ROUND(E101*XLOOKUP(C101,'Reference Tables'!$E$4:$E$12,'Reference Tables'!$G$4:$G$12,1),1)</x:f>
        <x:v>1.4</x:v>
      </x:c>
      <x:c r="T101" s="106" t="str">
        <x:f>IF(R101&gt;='Inputs &amp; Guide'!$B$9,"HIGH",IF(R101&gt;=0.45,"WATCH","NORMAL"))</x:f>
        <x:v>HIGH</x:v>
      </x:c>
    </x:row>
    <x:row r="102">
      <x:c r="A102" s="95" t="n">
        <x:v>785</x:v>
      </x:c>
      <x:c r="B102" s="96" t="n">
        <x:v>45324.4375</x:v>
      </x:c>
      <x:c r="C102" s="97" t="str">
        <x:v>Wildfire</x:v>
      </x:c>
      <x:c r="D102" s="97" t="str">
        <x:v>Japan</x:v>
      </x:c>
      <x:c r="E102" s="98" t="n">
        <x:v>6.918024157178477</x:v>
      </x:c>
      <x:c r="F102" s="99" t="n">
        <x:v>339.23951468716564</x:v>
      </x:c>
      <x:c r="G102" s="100" t="str">
        <x:f>XLOOKUP(D102,'Reference Tables'!$A$4:$A$23,'Reference Tables'!$B$4:$B$23,"Other")</x:f>
        <x:v>Asia Pacific</x:v>
      </x:c>
      <x:c r="H102" s="100" t="str">
        <x:f>VLOOKUP(G102,'Reference Tables'!$I$4:$J$9,2,FALSE)</x:f>
        <x:v>High</x:v>
      </x:c>
      <x:c r="I102" s="101" t="n">
        <x:f>F102*'Inputs &amp; Guide'!$B$4*XLOOKUP(D102,'Reference Tables'!$A$4:$A$23,'Reference Tables'!$C$4:$C$23,0.75)</x:f>
        <x:v>64.04842037293687</x:v>
      </x:c>
      <x:c r="J102" s="102" t="n">
        <x:f>XLOOKUP(C102,'Reference Tables'!$E$4:$E$12,'Reference Tables'!$F$4:$F$12,0.05)</x:f>
        <x:v>0.1</x:v>
      </x:c>
      <x:c r="K102" s="103" t="n">
        <x:f>MIN(I102,F102*J102)</x:f>
        <x:v>33.92395146871657</x:v>
      </x:c>
      <x:c r="L102" s="103" t="n">
        <x:f>'Inputs &amp; Guide'!$B$5</x:f>
        <x:v>15</x:v>
      </x:c>
      <x:c r="M102" s="103" t="n">
        <x:f>I102*'Inputs &amp; Guide'!$B$6</x:f>
        <x:v>35.22663120511528</x:v>
      </x:c>
      <x:c r="N102" s="103" t="n">
        <x:f>MAX(0,MIN(K102-L102,M102))</x:f>
        <x:v>18.923951468716567</x:v>
      </x:c>
      <x:c r="O102" s="103" t="n">
        <x:f>MAX(0,N102-'Inputs &amp; Guide'!$B$7)</x:f>
        <x:v>0</x:v>
      </x:c>
      <x:c r="P102" s="103" t="n">
        <x:f>N102-O102</x:f>
        <x:v>18.923951468716567</x:v>
      </x:c>
      <x:c r="Q102" s="103" t="n">
        <x:f>I102*'Inputs &amp; Guide'!$B$8</x:f>
        <x:v>1.1528715667128637</x:v>
      </x:c>
      <x:c r="R102" s="104" t="n">
        <x:f>IFERROR(P102/Q102,0)</x:f>
        <x:v>16.414622422056663</x:v>
      </x:c>
      <x:c r="S102" s="105" t="n">
        <x:f>ROUND(E102*XLOOKUP(C102,'Reference Tables'!$E$4:$E$12,'Reference Tables'!$G$4:$G$12,1),1)</x:f>
        <x:v>8</x:v>
      </x:c>
      <x:c r="T102" s="106" t="str">
        <x:f>IF(R102&gt;='Inputs &amp; Guide'!$B$9,"HIGH",IF(R102&gt;=0.45,"WATCH","NORMAL"))</x:f>
        <x:v>HIGH</x:v>
      </x:c>
    </x:row>
    <x:row r="103">
      <x:c r="A103" s="95" t="n">
        <x:v>793</x:v>
      </x:c>
      <x:c r="B103" s="96" t="n">
        <x:v>45325</x:v>
      </x:c>
      <x:c r="C103" s="97" t="str">
        <x:v>Tornado</x:v>
      </x:c>
      <x:c r="D103" s="97" t="str">
        <x:v>India</x:v>
      </x:c>
      <x:c r="E103" s="98" t="n">
        <x:v>2.582116433442331</x:v>
      </x:c>
      <x:c r="F103" s="99" t="n">
        <x:v>992.1595486146535</x:v>
      </x:c>
      <x:c r="G103" s="100" t="str">
        <x:f>XLOOKUP(D103,'Reference Tables'!$A$4:$A$23,'Reference Tables'!$B$4:$B$23,"Other")</x:f>
        <x:v>Asia Pacific</x:v>
      </x:c>
      <x:c r="H103" s="100" t="str">
        <x:f>VLOOKUP(G103,'Reference Tables'!$I$4:$J$9,2,FALSE)</x:f>
        <x:v>High</x:v>
      </x:c>
      <x:c r="I103" s="101" t="n">
        <x:f>F103*'Inputs &amp; Guide'!$B$4*XLOOKUP(D103,'Reference Tables'!$A$4:$A$23,'Reference Tables'!$C$4:$C$23,0.75)</x:f>
        <x:v>144.45843027829358</x:v>
      </x:c>
      <x:c r="J103" s="102" t="n">
        <x:f>XLOOKUP(C103,'Reference Tables'!$E$4:$E$12,'Reference Tables'!$F$4:$F$12,0.05)</x:f>
        <x:v>0.09</x:v>
      </x:c>
      <x:c r="K103" s="103" t="n">
        <x:f>MIN(I103,F103*J103)</x:f>
        <x:v>89.29435937531882</x:v>
      </x:c>
      <x:c r="L103" s="103" t="n">
        <x:f>'Inputs &amp; Guide'!$B$5</x:f>
        <x:v>15</x:v>
      </x:c>
      <x:c r="M103" s="103" t="n">
        <x:f>I103*'Inputs &amp; Guide'!$B$6</x:f>
        <x:v>79.45213665306147</x:v>
      </x:c>
      <x:c r="N103" s="103" t="n">
        <x:f>MAX(0,MIN(K103-L103,M103))</x:f>
        <x:v>74.29435937531882</x:v>
      </x:c>
      <x:c r="O103" s="103" t="n">
        <x:f>MAX(0,N103-'Inputs &amp; Guide'!$B$7)</x:f>
        <x:v>14.29435937531882</x:v>
      </x:c>
      <x:c r="P103" s="103" t="n">
        <x:f>N103-O103</x:f>
        <x:v>60</x:v>
      </x:c>
      <x:c r="Q103" s="103" t="n">
        <x:f>I103*'Inputs &amp; Guide'!$B$8</x:f>
        <x:v>2.600251745009284</x:v>
      </x:c>
      <x:c r="R103" s="104" t="n">
        <x:f>IFERROR(P103/Q103,0)</x:f>
        <x:v>23.074688870090835</x:v>
      </x:c>
      <x:c r="S103" s="105" t="n">
        <x:f>ROUND(E103*XLOOKUP(C103,'Reference Tables'!$E$4:$E$12,'Reference Tables'!$G$4:$G$12,1),1)</x:f>
        <x:v>2.7</x:v>
      </x:c>
      <x:c r="T103" s="106" t="str">
        <x:f>IF(R103&gt;='Inputs &amp; Guide'!$B$9,"HIGH",IF(R103&gt;=0.45,"WATCH","NORMAL"))</x:f>
        <x:v>HIGH</x:v>
      </x:c>
    </x:row>
    <x:row r="104">
      <x:c r="A104" s="95" t="n">
        <x:v>801</x:v>
      </x:c>
      <x:c r="B104" s="96" t="n">
        <x:v>45325.104166666664</x:v>
      </x:c>
      <x:c r="C104" s="97" t="str">
        <x:v>Flood</x:v>
      </x:c>
      <x:c r="D104" s="97" t="str">
        <x:v>Brazil</x:v>
      </x:c>
      <x:c r="E104" s="98" t="n">
        <x:v>8.037442350304346</x:v>
      </x:c>
      <x:c r="F104" s="99" t="n">
        <x:v>872.6408581331954</x:v>
      </x:c>
      <x:c r="G104" s="100" t="str">
        <x:f>XLOOKUP(D104,'Reference Tables'!$A$4:$A$23,'Reference Tables'!$B$4:$B$23,"Other")</x:f>
        <x:v>Latin America</x:v>
      </x:c>
      <x:c r="H104" s="100" t="str">
        <x:f>VLOOKUP(G104,'Reference Tables'!$I$4:$J$9,2,FALSE)</x:f>
        <x:v>Moderate</x:v>
      </x:c>
      <x:c r="I104" s="101" t="n">
        <x:f>F104*'Inputs &amp; Guide'!$B$4*XLOOKUP(D104,'Reference Tables'!$A$4:$A$23,'Reference Tables'!$C$4:$C$23,0.75)</x:f>
        <x:v>114.49048058707524</x:v>
      </x:c>
      <x:c r="J104" s="102" t="n">
        <x:f>XLOOKUP(C104,'Reference Tables'!$E$4:$E$12,'Reference Tables'!$F$4:$F$12,0.05)</x:f>
        <x:v>0.12</x:v>
      </x:c>
      <x:c r="K104" s="103" t="n">
        <x:f>MIN(I104,F104*J104)</x:f>
        <x:v>104.71690297598344</x:v>
      </x:c>
      <x:c r="L104" s="103" t="n">
        <x:f>'Inputs &amp; Guide'!$B$5</x:f>
        <x:v>15</x:v>
      </x:c>
      <x:c r="M104" s="103" t="n">
        <x:f>I104*'Inputs &amp; Guide'!$B$6</x:f>
        <x:v>62.969764322891386</x:v>
      </x:c>
      <x:c r="N104" s="103" t="n">
        <x:f>MAX(0,MIN(K104-L104,M104))</x:f>
        <x:v>62.969764322891386</x:v>
      </x:c>
      <x:c r="O104" s="103" t="n">
        <x:f>MAX(0,N104-'Inputs &amp; Guide'!$B$7)</x:f>
        <x:v>2.969764322891386</x:v>
      </x:c>
      <x:c r="P104" s="103" t="n">
        <x:f>N104-O104</x:f>
        <x:v>60</x:v>
      </x:c>
      <x:c r="Q104" s="103" t="n">
        <x:f>I104*'Inputs &amp; Guide'!$B$8</x:f>
        <x:v>2.060828650567354</x:v>
      </x:c>
      <x:c r="R104" s="104" t="n">
        <x:f>IFERROR(P104/Q104,0)</x:f>
        <x:v>29.1145020637605</x:v>
      </x:c>
      <x:c r="S104" s="105" t="n">
        <x:f>ROUND(E104*XLOOKUP(C104,'Reference Tables'!$E$4:$E$12,'Reference Tables'!$G$4:$G$12,1),1)</x:f>
        <x:v>10</x:v>
      </x:c>
      <x:c r="T104" s="106" t="str">
        <x:f>IF(R104&gt;='Inputs &amp; Guide'!$B$9,"HIGH",IF(R104&gt;=0.45,"WATCH","NORMAL"))</x:f>
        <x:v>HIGH</x:v>
      </x:c>
    </x:row>
    <x:row r="105">
      <x:c r="A105" s="95" t="n">
        <x:v>809</x:v>
      </x:c>
      <x:c r="B105" s="96" t="n">
        <x:v>45325.4375</x:v>
      </x:c>
      <x:c r="C105" s="97" t="str">
        <x:v>Flood</x:v>
      </x:c>
      <x:c r="D105" s="97" t="str">
        <x:v>USA</x:v>
      </x:c>
      <x:c r="E105" s="98" t="n">
        <x:v>4.006223503447888</x:v>
      </x:c>
      <x:c r="F105" s="99" t="n">
        <x:v>962.528362227994</x:v>
      </x:c>
      <x:c r="G105" s="100" t="str">
        <x:f>XLOOKUP(D105,'Reference Tables'!$A$4:$A$23,'Reference Tables'!$B$4:$B$23,"Other")</x:f>
        <x:v>Other</x:v>
      </x:c>
      <x:c r="H105" s="100" t="str">
        <x:f>VLOOKUP(G105,'Reference Tables'!$I$4:$J$9,2,FALSE)</x:f>
        <x:v>Moderate</x:v>
      </x:c>
      <x:c r="I105" s="101" t="n">
        <x:f>F105*'Inputs &amp; Guide'!$B$4*XLOOKUP(D105,'Reference Tables'!$A$4:$A$23,'Reference Tables'!$C$4:$C$23,0.75)</x:f>
        <x:v>115.50340346735928</x:v>
      </x:c>
      <x:c r="J105" s="102" t="n">
        <x:f>XLOOKUP(C105,'Reference Tables'!$E$4:$E$12,'Reference Tables'!$F$4:$F$12,0.05)</x:f>
        <x:v>0.12</x:v>
      </x:c>
      <x:c r="K105" s="103" t="n">
        <x:f>MIN(I105,F105*J105)</x:f>
        <x:v>115.50340346735928</x:v>
      </x:c>
      <x:c r="L105" s="103" t="n">
        <x:f>'Inputs &amp; Guide'!$B$5</x:f>
        <x:v>15</x:v>
      </x:c>
      <x:c r="M105" s="103" t="n">
        <x:f>I105*'Inputs &amp; Guide'!$B$6</x:f>
        <x:v>63.52687190704761</x:v>
      </x:c>
      <x:c r="N105" s="103" t="n">
        <x:f>MAX(0,MIN(K105-L105,M105))</x:f>
        <x:v>63.52687190704761</x:v>
      </x:c>
      <x:c r="O105" s="103" t="n">
        <x:f>MAX(0,N105-'Inputs &amp; Guide'!$B$7)</x:f>
        <x:v>3.5268719070476067</x:v>
      </x:c>
      <x:c r="P105" s="103" t="n">
        <x:f>N105-O105</x:f>
        <x:v>60</x:v>
      </x:c>
      <x:c r="Q105" s="103" t="n">
        <x:f>I105*'Inputs &amp; Guide'!$B$8</x:f>
        <x:v>2.0790612624124667</x:v>
      </x:c>
      <x:c r="R105" s="104" t="n">
        <x:f>IFERROR(P105/Q105,0)</x:f>
        <x:v>28.859178459406333</x:v>
      </x:c>
      <x:c r="S105" s="105" t="n">
        <x:f>ROUND(E105*XLOOKUP(C105,'Reference Tables'!$E$4:$E$12,'Reference Tables'!$G$4:$G$12,1),1)</x:f>
        <x:v>5</x:v>
      </x:c>
      <x:c r="T105" s="106" t="str">
        <x:f>IF(R105&gt;='Inputs &amp; Guide'!$B$9,"HIGH",IF(R105&gt;=0.45,"WATCH","NORMAL"))</x:f>
        <x:v>HIGH</x:v>
      </x:c>
    </x:row>
    <x:row r="106">
      <x:c r="A106" s="95" t="n">
        <x:v>817</x:v>
      </x:c>
      <x:c r="B106" s="96" t="n">
        <x:v>45326</x:v>
      </x:c>
      <x:c r="C106" s="97" t="str">
        <x:v>Earthquake</x:v>
      </x:c>
      <x:c r="D106" s="97" t="str">
        <x:v>Indonesia</x:v>
      </x:c>
      <x:c r="E106" s="98" t="n">
        <x:v>6.2223536240333965</x:v>
      </x:c>
      <x:c r="F106" s="99" t="n">
        <x:v>531.7006496937537</x:v>
      </x:c>
      <x:c r="G106" s="100" t="str">
        <x:f>XLOOKUP(D106,'Reference Tables'!$A$4:$A$23,'Reference Tables'!$B$4:$B$23,"Other")</x:f>
        <x:v>Asia Pacific</x:v>
      </x:c>
      <x:c r="H106" s="100" t="str">
        <x:f>VLOOKUP(G106,'Reference Tables'!$I$4:$J$9,2,FALSE)</x:f>
        <x:v>High</x:v>
      </x:c>
      <x:c r="I106" s="101" t="n">
        <x:f>F106*'Inputs &amp; Guide'!$B$4*XLOOKUP(D106,'Reference Tables'!$A$4:$A$23,'Reference Tables'!$C$4:$C$23,0.75)</x:f>
        <x:v>87.6242670695306</x:v>
      </x:c>
      <x:c r="J106" s="102" t="n">
        <x:f>XLOOKUP(C106,'Reference Tables'!$E$4:$E$12,'Reference Tables'!$F$4:$F$12,0.05)</x:f>
        <x:v>0.14</x:v>
      </x:c>
      <x:c r="K106" s="103" t="n">
        <x:f>MIN(I106,F106*J106)</x:f>
        <x:v>74.43809095712552</x:v>
      </x:c>
      <x:c r="L106" s="103" t="n">
        <x:f>'Inputs &amp; Guide'!$B$5</x:f>
        <x:v>15</x:v>
      </x:c>
      <x:c r="M106" s="103" t="n">
        <x:f>I106*'Inputs &amp; Guide'!$B$6</x:f>
        <x:v>48.193346888241834</x:v>
      </x:c>
      <x:c r="N106" s="103" t="n">
        <x:f>MAX(0,MIN(K106-L106,M106))</x:f>
        <x:v>48.193346888241834</x:v>
      </x:c>
      <x:c r="O106" s="103" t="n">
        <x:f>MAX(0,N106-'Inputs &amp; Guide'!$B$7)</x:f>
        <x:v>0</x:v>
      </x:c>
      <x:c r="P106" s="103" t="n">
        <x:f>N106-O106</x:f>
        <x:v>48.193346888241834</x:v>
      </x:c>
      <x:c r="Q106" s="103" t="n">
        <x:f>I106*'Inputs &amp; Guide'!$B$8</x:f>
        <x:v>1.5772368072515508</x:v>
      </x:c>
      <x:c r="R106" s="104" t="n">
        <x:f>IFERROR(P106/Q106,0)</x:f>
        <x:v>30.555555555555557</x:v>
      </x:c>
      <x:c r="S106" s="105" t="n">
        <x:f>ROUND(E106*XLOOKUP(C106,'Reference Tables'!$E$4:$E$12,'Reference Tables'!$G$4:$G$12,1),1)</x:f>
        <x:v>9.3</x:v>
      </x:c>
      <x:c r="T106" s="106" t="str">
        <x:f>IF(R106&gt;='Inputs &amp; Guide'!$B$9,"HIGH",IF(R106&gt;=0.45,"WATCH","NORMAL"))</x:f>
        <x:v>HIGH</x:v>
      </x:c>
    </x:row>
    <x:row r="107">
      <x:c r="A107" s="95" t="n">
        <x:v>825</x:v>
      </x:c>
      <x:c r="B107" s="96" t="n">
        <x:v>45326.104166666664</x:v>
      </x:c>
      <x:c r="C107" s="97" t="str">
        <x:v>Hurricane</x:v>
      </x:c>
      <x:c r="D107" s="97" t="str">
        <x:v>India</x:v>
      </x:c>
      <x:c r="E107" s="98" t="n">
        <x:v>5.31967935073895</x:v>
      </x:c>
      <x:c r="F107" s="99" t="n">
        <x:v>303.61247905421027</x:v>
      </x:c>
      <x:c r="G107" s="100" t="str">
        <x:f>XLOOKUP(D107,'Reference Tables'!$A$4:$A$23,'Reference Tables'!$B$4:$B$23,"Other")</x:f>
        <x:v>Asia Pacific</x:v>
      </x:c>
      <x:c r="H107" s="100" t="str">
        <x:f>VLOOKUP(G107,'Reference Tables'!$I$4:$J$9,2,FALSE)</x:f>
        <x:v>High</x:v>
      </x:c>
      <x:c r="I107" s="101" t="n">
        <x:f>F107*'Inputs &amp; Guide'!$B$4*XLOOKUP(D107,'Reference Tables'!$A$4:$A$23,'Reference Tables'!$C$4:$C$23,0.75)</x:f>
        <x:v>44.20597695029302</x:v>
      </x:c>
      <x:c r="J107" s="102" t="n">
        <x:f>XLOOKUP(C107,'Reference Tables'!$E$4:$E$12,'Reference Tables'!$F$4:$F$12,0.05)</x:f>
        <x:v>0.18</x:v>
      </x:c>
      <x:c r="K107" s="103" t="n">
        <x:f>MIN(I107,F107*J107)</x:f>
        <x:v>44.20597695029302</x:v>
      </x:c>
      <x:c r="L107" s="103" t="n">
        <x:f>'Inputs &amp; Guide'!$B$5</x:f>
        <x:v>15</x:v>
      </x:c>
      <x:c r="M107" s="103" t="n">
        <x:f>I107*'Inputs &amp; Guide'!$B$6</x:f>
        <x:v>24.313287322661164</x:v>
      </x:c>
      <x:c r="N107" s="103" t="n">
        <x:f>MAX(0,MIN(K107-L107,M107))</x:f>
        <x:v>24.313287322661164</x:v>
      </x:c>
      <x:c r="O107" s="103" t="n">
        <x:f>MAX(0,N107-'Inputs &amp; Guide'!$B$7)</x:f>
        <x:v>0</x:v>
      </x:c>
      <x:c r="P107" s="103" t="n">
        <x:f>N107-O107</x:f>
        <x:v>24.313287322661164</x:v>
      </x:c>
      <x:c r="Q107" s="103" t="n">
        <x:f>I107*'Inputs &amp; Guide'!$B$8</x:f>
        <x:v>0.7957075851052743</x:v>
      </x:c>
      <x:c r="R107" s="104" t="n">
        <x:f>IFERROR(P107/Q107,0)</x:f>
        <x:v>30.555555555555564</x:v>
      </x:c>
      <x:c r="S107" s="105" t="n">
        <x:f>ROUND(E107*XLOOKUP(C107,'Reference Tables'!$E$4:$E$12,'Reference Tables'!$G$4:$G$12,1),1)</x:f>
        <x:v>7.4</x:v>
      </x:c>
      <x:c r="T107" s="106" t="str">
        <x:f>IF(R107&gt;='Inputs &amp; Guide'!$B$9,"HIGH",IF(R107&gt;=0.45,"WATCH","NORMAL"))</x:f>
        <x:v>HIGH</x:v>
      </x:c>
    </x:row>
    <x:row r="108">
      <x:c r="A108" s="95" t="n">
        <x:v>833</x:v>
      </x:c>
      <x:c r="B108" s="96" t="n">
        <x:v>45326.4375</x:v>
      </x:c>
      <x:c r="C108" s="97" t="str">
        <x:v>Flood</x:v>
      </x:c>
      <x:c r="D108" s="97" t="str">
        <x:v>Indonesia</x:v>
      </x:c>
      <x:c r="E108" s="98" t="n">
        <x:v>7.574293576098825</x:v>
      </x:c>
      <x:c r="F108" s="99" t="n">
        <x:v>773.33615765804</x:v>
      </x:c>
      <x:c r="G108" s="100" t="str">
        <x:f>XLOOKUP(D108,'Reference Tables'!$A$4:$A$23,'Reference Tables'!$B$4:$B$23,"Other")</x:f>
        <x:v>Asia Pacific</x:v>
      </x:c>
      <x:c r="H108" s="100" t="str">
        <x:f>VLOOKUP(G108,'Reference Tables'!$I$4:$J$9,2,FALSE)</x:f>
        <x:v>High</x:v>
      </x:c>
      <x:c r="I108" s="101" t="n">
        <x:f>F108*'Inputs &amp; Guide'!$B$4*XLOOKUP(D108,'Reference Tables'!$A$4:$A$23,'Reference Tables'!$C$4:$C$23,0.75)</x:f>
        <x:v>127.44579878204499</x:v>
      </x:c>
      <x:c r="J108" s="102" t="n">
        <x:f>XLOOKUP(C108,'Reference Tables'!$E$4:$E$12,'Reference Tables'!$F$4:$F$12,0.05)</x:f>
        <x:v>0.12</x:v>
      </x:c>
      <x:c r="K108" s="103" t="n">
        <x:f>MIN(I108,F108*J108)</x:f>
        <x:v>92.8003389189648</x:v>
      </x:c>
      <x:c r="L108" s="103" t="n">
        <x:f>'Inputs &amp; Guide'!$B$5</x:f>
        <x:v>15</x:v>
      </x:c>
      <x:c r="M108" s="103" t="n">
        <x:f>I108*'Inputs &amp; Guide'!$B$6</x:f>
        <x:v>70.09518933012475</x:v>
      </x:c>
      <x:c r="N108" s="103" t="n">
        <x:f>MAX(0,MIN(K108-L108,M108))</x:f>
        <x:v>70.09518933012475</x:v>
      </x:c>
      <x:c r="O108" s="103" t="n">
        <x:f>MAX(0,N108-'Inputs &amp; Guide'!$B$7)</x:f>
        <x:v>10.095189330124754</x:v>
      </x:c>
      <x:c r="P108" s="103" t="n">
        <x:f>N108-O108</x:f>
        <x:v>60</x:v>
      </x:c>
      <x:c r="Q108" s="103" t="n">
        <x:f>I108*'Inputs &amp; Guide'!$B$8</x:f>
        <x:v>2.2940243780768097</x:v>
      </x:c>
      <x:c r="R108" s="104" t="n">
        <x:f>IFERROR(P108/Q108,0)</x:f>
        <x:v>26.15490950026471</x:v>
      </x:c>
      <x:c r="S108" s="105" t="n">
        <x:f>ROUND(E108*XLOOKUP(C108,'Reference Tables'!$E$4:$E$12,'Reference Tables'!$G$4:$G$12,1),1)</x:f>
        <x:v>9.5</x:v>
      </x:c>
      <x:c r="T108" s="106" t="str">
        <x:f>IF(R108&gt;='Inputs &amp; Guide'!$B$9,"HIGH",IF(R108&gt;=0.45,"WATCH","NORMAL"))</x:f>
        <x:v>HIGH</x:v>
      </x:c>
    </x:row>
    <x:row r="109">
      <x:c r="A109" s="95" t="n">
        <x:v>841</x:v>
      </x:c>
      <x:c r="B109" s="96" t="n">
        <x:v>45327</x:v>
      </x:c>
      <x:c r="C109" s="97" t="str">
        <x:v>Wildfire</x:v>
      </x:c>
      <x:c r="D109" s="97" t="str">
        <x:v>Japan</x:v>
      </x:c>
      <x:c r="E109" s="98" t="n">
        <x:v>1.33921430370296</x:v>
      </x:c>
      <x:c r="F109" s="99" t="n">
        <x:v>306.0555696254441</x:v>
      </x:c>
      <x:c r="G109" s="100" t="str">
        <x:f>XLOOKUP(D109,'Reference Tables'!$A$4:$A$23,'Reference Tables'!$B$4:$B$23,"Other")</x:f>
        <x:v>Asia Pacific</x:v>
      </x:c>
      <x:c r="H109" s="100" t="str">
        <x:f>VLOOKUP(G109,'Reference Tables'!$I$4:$J$9,2,FALSE)</x:f>
        <x:v>High</x:v>
      </x:c>
      <x:c r="I109" s="101" t="n">
        <x:f>F109*'Inputs &amp; Guide'!$B$4*XLOOKUP(D109,'Reference Tables'!$A$4:$A$23,'Reference Tables'!$C$4:$C$23,0.75)</x:f>
        <x:v>57.783291545283845</x:v>
      </x:c>
      <x:c r="J109" s="102" t="n">
        <x:f>XLOOKUP(C109,'Reference Tables'!$E$4:$E$12,'Reference Tables'!$F$4:$F$12,0.05)</x:f>
        <x:v>0.1</x:v>
      </x:c>
      <x:c r="K109" s="103" t="n">
        <x:f>MIN(I109,F109*J109)</x:f>
        <x:v>30.605556962544412</x:v>
      </x:c>
      <x:c r="L109" s="103" t="n">
        <x:f>'Inputs &amp; Guide'!$B$5</x:f>
        <x:v>15</x:v>
      </x:c>
      <x:c r="M109" s="103" t="n">
        <x:f>I109*'Inputs &amp; Guide'!$B$6</x:f>
        <x:v>31.78081034990612</x:v>
      </x:c>
      <x:c r="N109" s="103" t="n">
        <x:f>MAX(0,MIN(K109-L109,M109))</x:f>
        <x:v>15.605556962544412</x:v>
      </x:c>
      <x:c r="O109" s="103" t="n">
        <x:f>MAX(0,N109-'Inputs &amp; Guide'!$B$7)</x:f>
        <x:v>0</x:v>
      </x:c>
      <x:c r="P109" s="103" t="n">
        <x:f>N109-O109</x:f>
        <x:v>15.605556962544412</x:v>
      </x:c>
      <x:c r="Q109" s="103" t="n">
        <x:f>I109*'Inputs &amp; Guide'!$B$8</x:f>
        <x:v>1.0400992478151092</x:v>
      </x:c>
      <x:c r="R109" s="104" t="n">
        <x:f>IFERROR(P109/Q109,0)</x:f>
        <x:v>15.003911401076696</x:v>
      </x:c>
      <x:c r="S109" s="105" t="n">
        <x:f>ROUND(E109*XLOOKUP(C109,'Reference Tables'!$E$4:$E$12,'Reference Tables'!$G$4:$G$12,1),1)</x:f>
        <x:v>1.5</x:v>
      </x:c>
      <x:c r="T109" s="106" t="str">
        <x:f>IF(R109&gt;='Inputs &amp; Guide'!$B$9,"HIGH",IF(R109&gt;=0.45,"WATCH","NORMAL"))</x:f>
        <x:v>HIGH</x:v>
      </x:c>
    </x:row>
    <x:row r="110">
      <x:c r="A110" s="95" t="n">
        <x:v>849</x:v>
      </x:c>
      <x:c r="B110" s="96" t="n">
        <x:v>45327.104166666664</x:v>
      </x:c>
      <x:c r="C110" s="97" t="str">
        <x:v>Earthquake</x:v>
      </x:c>
      <x:c r="D110" s="97" t="str">
        <x:v>USA</x:v>
      </x:c>
      <x:c r="E110" s="98" t="n">
        <x:v>6.53783466540989</x:v>
      </x:c>
      <x:c r="F110" s="99" t="n">
        <x:v>567.908046319322</x:v>
      </x:c>
      <x:c r="G110" s="100" t="str">
        <x:f>XLOOKUP(D110,'Reference Tables'!$A$4:$A$23,'Reference Tables'!$B$4:$B$23,"Other")</x:f>
        <x:v>Other</x:v>
      </x:c>
      <x:c r="H110" s="100" t="str">
        <x:f>VLOOKUP(G110,'Reference Tables'!$I$4:$J$9,2,FALSE)</x:f>
        <x:v>Moderate</x:v>
      </x:c>
      <x:c r="I110" s="101" t="n">
        <x:f>F110*'Inputs &amp; Guide'!$B$4*XLOOKUP(D110,'Reference Tables'!$A$4:$A$23,'Reference Tables'!$C$4:$C$23,0.75)</x:f>
        <x:v>68.14896555831865</x:v>
      </x:c>
      <x:c r="J110" s="102" t="n">
        <x:f>XLOOKUP(C110,'Reference Tables'!$E$4:$E$12,'Reference Tables'!$F$4:$F$12,0.05)</x:f>
        <x:v>0.14</x:v>
      </x:c>
      <x:c r="K110" s="103" t="n">
        <x:f>MIN(I110,F110*J110)</x:f>
        <x:v>68.14896555831865</x:v>
      </x:c>
      <x:c r="L110" s="103" t="n">
        <x:f>'Inputs &amp; Guide'!$B$5</x:f>
        <x:v>15</x:v>
      </x:c>
      <x:c r="M110" s="103" t="n">
        <x:f>I110*'Inputs &amp; Guide'!$B$6</x:f>
        <x:v>37.48193105707526</x:v>
      </x:c>
      <x:c r="N110" s="103" t="n">
        <x:f>MAX(0,MIN(K110-L110,M110))</x:f>
        <x:v>37.48193105707526</x:v>
      </x:c>
      <x:c r="O110" s="103" t="n">
        <x:f>MAX(0,N110-'Inputs &amp; Guide'!$B$7)</x:f>
        <x:v>0</x:v>
      </x:c>
      <x:c r="P110" s="103" t="n">
        <x:f>N110-O110</x:f>
        <x:v>37.48193105707526</x:v>
      </x:c>
      <x:c r="Q110" s="103" t="n">
        <x:f>I110*'Inputs &amp; Guide'!$B$8</x:f>
        <x:v>1.2266813800497356</x:v>
      </x:c>
      <x:c r="R110" s="104" t="n">
        <x:f>IFERROR(P110/Q110,0)</x:f>
        <x:v>30.555555555555557</x:v>
      </x:c>
      <x:c r="S110" s="105" t="n">
        <x:f>ROUND(E110*XLOOKUP(C110,'Reference Tables'!$E$4:$E$12,'Reference Tables'!$G$4:$G$12,1),1)</x:f>
        <x:v>9.8</x:v>
      </x:c>
      <x:c r="T110" s="106" t="str">
        <x:f>IF(R110&gt;='Inputs &amp; Guide'!$B$9,"HIGH",IF(R110&gt;=0.45,"WATCH","NORMAL"))</x:f>
        <x:v>HIGH</x:v>
      </x:c>
    </x:row>
    <x:row r="111">
      <x:c r="A111" s="95" t="n">
        <x:v>857</x:v>
      </x:c>
      <x:c r="B111" s="96" t="n">
        <x:v>45327.4375</x:v>
      </x:c>
      <x:c r="C111" s="97" t="str">
        <x:v>Hurricane</x:v>
      </x:c>
      <x:c r="D111" s="97" t="str">
        <x:v>Japan</x:v>
      </x:c>
      <x:c r="E111" s="98" t="n">
        <x:v>6.012547793889006</x:v>
      </x:c>
      <x:c r="F111" s="99" t="n">
        <x:v>647.7414078589587</x:v>
      </x:c>
      <x:c r="G111" s="100" t="str">
        <x:f>XLOOKUP(D111,'Reference Tables'!$A$4:$A$23,'Reference Tables'!$B$4:$B$23,"Other")</x:f>
        <x:v>Asia Pacific</x:v>
      </x:c>
      <x:c r="H111" s="100" t="str">
        <x:f>VLOOKUP(G111,'Reference Tables'!$I$4:$J$9,2,FALSE)</x:f>
        <x:v>High</x:v>
      </x:c>
      <x:c r="I111" s="101" t="n">
        <x:f>F111*'Inputs &amp; Guide'!$B$4*XLOOKUP(D111,'Reference Tables'!$A$4:$A$23,'Reference Tables'!$C$4:$C$23,0.75)</x:f>
        <x:v>122.29357780377141</x:v>
      </x:c>
      <x:c r="J111" s="102" t="n">
        <x:f>XLOOKUP(C111,'Reference Tables'!$E$4:$E$12,'Reference Tables'!$F$4:$F$12,0.05)</x:f>
        <x:v>0.18</x:v>
      </x:c>
      <x:c r="K111" s="103" t="n">
        <x:f>MIN(I111,F111*J111)</x:f>
        <x:v>116.59345341461257</x:v>
      </x:c>
      <x:c r="L111" s="103" t="n">
        <x:f>'Inputs &amp; Guide'!$B$5</x:f>
        <x:v>15</x:v>
      </x:c>
      <x:c r="M111" s="103" t="n">
        <x:f>I111*'Inputs &amp; Guide'!$B$6</x:f>
        <x:v>67.26146779207428</x:v>
      </x:c>
      <x:c r="N111" s="103" t="n">
        <x:f>MAX(0,MIN(K111-L111,M111))</x:f>
        <x:v>67.26146779207428</x:v>
      </x:c>
      <x:c r="O111" s="103" t="n">
        <x:f>MAX(0,N111-'Inputs &amp; Guide'!$B$7)</x:f>
        <x:v>7.261467792074285</x:v>
      </x:c>
      <x:c r="P111" s="103" t="n">
        <x:f>N111-O111</x:f>
        <x:v>60</x:v>
      </x:c>
      <x:c r="Q111" s="103" t="n">
        <x:f>I111*'Inputs &amp; Guide'!$B$8</x:f>
        <x:v>2.2012844004678853</x:v>
      </x:c>
      <x:c r="R111" s="104" t="n">
        <x:f>IFERROR(P111/Q111,0)</x:f>
        <x:v>27.256814243196807</x:v>
      </x:c>
      <x:c r="S111" s="105" t="n">
        <x:f>ROUND(E111*XLOOKUP(C111,'Reference Tables'!$E$4:$E$12,'Reference Tables'!$G$4:$G$12,1),1)</x:f>
        <x:v>8.4</x:v>
      </x:c>
      <x:c r="T111" s="106" t="str">
        <x:f>IF(R111&gt;='Inputs &amp; Guide'!$B$9,"HIGH",IF(R111&gt;=0.45,"WATCH","NORMAL"))</x:f>
        <x:v>HIGH</x:v>
      </x:c>
    </x:row>
    <x:row r="112">
      <x:c r="A112" s="95" t="n">
        <x:v>865</x:v>
      </x:c>
      <x:c r="B112" s="96" t="n">
        <x:v>45328</x:v>
      </x:c>
      <x:c r="C112" s="97" t="str">
        <x:v>Hurricane</x:v>
      </x:c>
      <x:c r="D112" s="97" t="str">
        <x:v>China</x:v>
      </x:c>
      <x:c r="E112" s="98" t="n">
        <x:v>2.922925239860545</x:v>
      </x:c>
      <x:c r="F112" s="99" t="n">
        <x:v>542.4146321691312</x:v>
      </x:c>
      <x:c r="G112" s="100" t="str">
        <x:f>XLOOKUP(D112,'Reference Tables'!$A$4:$A$23,'Reference Tables'!$B$4:$B$23,"Other")</x:f>
        <x:v>Asia Pacific</x:v>
      </x:c>
      <x:c r="H112" s="100" t="str">
        <x:f>VLOOKUP(G112,'Reference Tables'!$I$4:$J$9,2,FALSE)</x:f>
        <x:v>High</x:v>
      </x:c>
      <x:c r="I112" s="101" t="n">
        <x:f>F112*'Inputs &amp; Guide'!$B$4*XLOOKUP(D112,'Reference Tables'!$A$4:$A$23,'Reference Tables'!$C$4:$C$23,0.75)</x:f>
        <x:v>93.72924843882588</x:v>
      </x:c>
      <x:c r="J112" s="102" t="n">
        <x:f>XLOOKUP(C112,'Reference Tables'!$E$4:$E$12,'Reference Tables'!$F$4:$F$12,0.05)</x:f>
        <x:v>0.18</x:v>
      </x:c>
      <x:c r="K112" s="103" t="n">
        <x:f>MIN(I112,F112*J112)</x:f>
        <x:v>93.72924843882588</x:v>
      </x:c>
      <x:c r="L112" s="103" t="n">
        <x:f>'Inputs &amp; Guide'!$B$5</x:f>
        <x:v>15</x:v>
      </x:c>
      <x:c r="M112" s="103" t="n">
        <x:f>I112*'Inputs &amp; Guide'!$B$6</x:f>
        <x:v>51.55108664135424</x:v>
      </x:c>
      <x:c r="N112" s="103" t="n">
        <x:f>MAX(0,MIN(K112-L112,M112))</x:f>
        <x:v>51.55108664135424</x:v>
      </x:c>
      <x:c r="O112" s="103" t="n">
        <x:f>MAX(0,N112-'Inputs &amp; Guide'!$B$7)</x:f>
        <x:v>0</x:v>
      </x:c>
      <x:c r="P112" s="103" t="n">
        <x:f>N112-O112</x:f>
        <x:v>51.55108664135424</x:v>
      </x:c>
      <x:c r="Q112" s="103" t="n">
        <x:f>I112*'Inputs &amp; Guide'!$B$8</x:f>
        <x:v>1.6871264718988657</x:v>
      </x:c>
      <x:c r="R112" s="104" t="n">
        <x:f>IFERROR(P112/Q112,0)</x:f>
        <x:v>30.55555555555556</x:v>
      </x:c>
      <x:c r="S112" s="105" t="n">
        <x:f>ROUND(E112*XLOOKUP(C112,'Reference Tables'!$E$4:$E$12,'Reference Tables'!$G$4:$G$12,1),1)</x:f>
        <x:v>4.1</x:v>
      </x:c>
      <x:c r="T112" s="106" t="str">
        <x:f>IF(R112&gt;='Inputs &amp; Guide'!$B$9,"HIGH",IF(R112&gt;=0.45,"WATCH","NORMAL"))</x:f>
        <x:v>HIGH</x:v>
      </x:c>
    </x:row>
    <x:row r="113">
      <x:c r="A113" s="95" t="n">
        <x:v>873</x:v>
      </x:c>
      <x:c r="B113" s="96" t="n">
        <x:v>45328.104166666664</x:v>
      </x:c>
      <x:c r="C113" s="97" t="str">
        <x:v>Tornado</x:v>
      </x:c>
      <x:c r="D113" s="97" t="str">
        <x:v>Indonesia</x:v>
      </x:c>
      <x:c r="E113" s="98" t="n">
        <x:v>2.897393407070353</x:v>
      </x:c>
      <x:c r="F113" s="99" t="n">
        <x:v>340.20937598620975</x:v>
      </x:c>
      <x:c r="G113" s="100" t="str">
        <x:f>XLOOKUP(D113,'Reference Tables'!$A$4:$A$23,'Reference Tables'!$B$4:$B$23,"Other")</x:f>
        <x:v>Asia Pacific</x:v>
      </x:c>
      <x:c r="H113" s="100" t="str">
        <x:f>VLOOKUP(G113,'Reference Tables'!$I$4:$J$9,2,FALSE)</x:f>
        <x:v>High</x:v>
      </x:c>
      <x:c r="I113" s="101" t="n">
        <x:f>F113*'Inputs &amp; Guide'!$B$4*XLOOKUP(D113,'Reference Tables'!$A$4:$A$23,'Reference Tables'!$C$4:$C$23,0.75)</x:f>
        <x:v>56.06650516252737</x:v>
      </x:c>
      <x:c r="J113" s="102" t="n">
        <x:f>XLOOKUP(C113,'Reference Tables'!$E$4:$E$12,'Reference Tables'!$F$4:$F$12,0.05)</x:f>
        <x:v>0.09</x:v>
      </x:c>
      <x:c r="K113" s="103" t="n">
        <x:f>MIN(I113,F113*J113)</x:f>
        <x:v>30.618843838758877</x:v>
      </x:c>
      <x:c r="L113" s="103" t="n">
        <x:f>'Inputs &amp; Guide'!$B$5</x:f>
        <x:v>15</x:v>
      </x:c>
      <x:c r="M113" s="103" t="n">
        <x:f>I113*'Inputs &amp; Guide'!$B$6</x:f>
        <x:v>30.836577839390056</x:v>
      </x:c>
      <x:c r="N113" s="103" t="n">
        <x:f>MAX(0,MIN(K113-L113,M113))</x:f>
        <x:v>15.618843838758877</x:v>
      </x:c>
      <x:c r="O113" s="103" t="n">
        <x:f>MAX(0,N113-'Inputs &amp; Guide'!$B$7)</x:f>
        <x:v>0</x:v>
      </x:c>
      <x:c r="P113" s="103" t="n">
        <x:f>N113-O113</x:f>
        <x:v>15.618843838758877</x:v>
      </x:c>
      <x:c r="Q113" s="103" t="n">
        <x:f>I113*'Inputs &amp; Guide'!$B$8</x:f>
        <x:v>1.0091970929254925</x:v>
      </x:c>
      <x:c r="R113" s="104" t="n">
        <x:f>IFERROR(P113/Q113,0)</x:f>
        <x:v>15.476504984256819</x:v>
      </x:c>
      <x:c r="S113" s="105" t="n">
        <x:f>ROUND(E113*XLOOKUP(C113,'Reference Tables'!$E$4:$E$12,'Reference Tables'!$G$4:$G$12,1),1)</x:f>
        <x:v>3</x:v>
      </x:c>
      <x:c r="T113" s="106" t="str">
        <x:f>IF(R113&gt;='Inputs &amp; Guide'!$B$9,"HIGH",IF(R113&gt;=0.45,"WATCH","NORMAL"))</x:f>
        <x:v>HIGH</x:v>
      </x:c>
    </x:row>
    <x:row r="114">
      <x:c r="A114" s="95" t="n">
        <x:v>881</x:v>
      </x:c>
      <x:c r="B114" s="96" t="n">
        <x:v>45328.4375</x:v>
      </x:c>
      <x:c r="C114" s="97" t="str">
        <x:v>Flood</x:v>
      </x:c>
      <x:c r="D114" s="97" t="str">
        <x:v>Brazil</x:v>
      </x:c>
      <x:c r="E114" s="98" t="n">
        <x:v>2.7670473305427694</x:v>
      </x:c>
      <x:c r="F114" s="99" t="n">
        <x:v>526.6769601810752</x:v>
      </x:c>
      <x:c r="G114" s="100" t="str">
        <x:f>XLOOKUP(D114,'Reference Tables'!$A$4:$A$23,'Reference Tables'!$B$4:$B$23,"Other")</x:f>
        <x:v>Latin America</x:v>
      </x:c>
      <x:c r="H114" s="100" t="str">
        <x:f>VLOOKUP(G114,'Reference Tables'!$I$4:$J$9,2,FALSE)</x:f>
        <x:v>Moderate</x:v>
      </x:c>
      <x:c r="I114" s="101" t="n">
        <x:f>F114*'Inputs &amp; Guide'!$B$4*XLOOKUP(D114,'Reference Tables'!$A$4:$A$23,'Reference Tables'!$C$4:$C$23,0.75)</x:f>
        <x:v>69.10001717575706</x:v>
      </x:c>
      <x:c r="J114" s="102" t="n">
        <x:f>XLOOKUP(C114,'Reference Tables'!$E$4:$E$12,'Reference Tables'!$F$4:$F$12,0.05)</x:f>
        <x:v>0.12</x:v>
      </x:c>
      <x:c r="K114" s="103" t="n">
        <x:f>MIN(I114,F114*J114)</x:f>
        <x:v>63.20123522172902</x:v>
      </x:c>
      <x:c r="L114" s="103" t="n">
        <x:f>'Inputs &amp; Guide'!$B$5</x:f>
        <x:v>15</x:v>
      </x:c>
      <x:c r="M114" s="103" t="n">
        <x:f>I114*'Inputs &amp; Guide'!$B$6</x:f>
        <x:v>38.005009446666385</x:v>
      </x:c>
      <x:c r="N114" s="103" t="n">
        <x:f>MAX(0,MIN(K114-L114,M114))</x:f>
        <x:v>38.005009446666385</x:v>
      </x:c>
      <x:c r="O114" s="103" t="n">
        <x:f>MAX(0,N114-'Inputs &amp; Guide'!$B$7)</x:f>
        <x:v>0</x:v>
      </x:c>
      <x:c r="P114" s="103" t="n">
        <x:f>N114-O114</x:f>
        <x:v>38.005009446666385</x:v>
      </x:c>
      <x:c r="Q114" s="103" t="n">
        <x:f>I114*'Inputs &amp; Guide'!$B$8</x:f>
        <x:v>1.243800309163627</x:v>
      </x:c>
      <x:c r="R114" s="104" t="n">
        <x:f>IFERROR(P114/Q114,0)</x:f>
        <x:v>30.55555555555556</x:v>
      </x:c>
      <x:c r="S114" s="105" t="n">
        <x:f>ROUND(E114*XLOOKUP(C114,'Reference Tables'!$E$4:$E$12,'Reference Tables'!$G$4:$G$12,1),1)</x:f>
        <x:v>3.5</x:v>
      </x:c>
      <x:c r="T114" s="106" t="str">
        <x:f>IF(R114&gt;='Inputs &amp; Guide'!$B$9,"HIGH",IF(R114&gt;=0.45,"WATCH","NORMAL"))</x:f>
        <x:v>HIGH</x:v>
      </x:c>
    </x:row>
    <x:row r="115">
      <x:c r="A115" s="95" t="n">
        <x:v>889</x:v>
      </x:c>
      <x:c r="B115" s="96" t="n">
        <x:v>45329</x:v>
      </x:c>
      <x:c r="C115" s="97" t="str">
        <x:v>Flood</x:v>
      </x:c>
      <x:c r="D115" s="97" t="str">
        <x:v>Japan</x:v>
      </x:c>
      <x:c r="E115" s="98" t="n">
        <x:v>7.014896151659183</x:v>
      </x:c>
      <x:c r="F115" s="99" t="n">
        <x:v>820.922056213859</x:v>
      </x:c>
      <x:c r="G115" s="100" t="str">
        <x:f>XLOOKUP(D115,'Reference Tables'!$A$4:$A$23,'Reference Tables'!$B$4:$B$23,"Other")</x:f>
        <x:v>Asia Pacific</x:v>
      </x:c>
      <x:c r="H115" s="100" t="str">
        <x:f>VLOOKUP(G115,'Reference Tables'!$I$4:$J$9,2,FALSE)</x:f>
        <x:v>High</x:v>
      </x:c>
      <x:c r="I115" s="101" t="n">
        <x:f>F115*'Inputs &amp; Guide'!$B$4*XLOOKUP(D115,'Reference Tables'!$A$4:$A$23,'Reference Tables'!$C$4:$C$23,0.75)</x:f>
        <x:v>154.99008421317657</x:v>
      </x:c>
      <x:c r="J115" s="102" t="n">
        <x:f>XLOOKUP(C115,'Reference Tables'!$E$4:$E$12,'Reference Tables'!$F$4:$F$12,0.05)</x:f>
        <x:v>0.12</x:v>
      </x:c>
      <x:c r="K115" s="103" t="n">
        <x:f>MIN(I115,F115*J115)</x:f>
        <x:v>98.51064674566308</x:v>
      </x:c>
      <x:c r="L115" s="103" t="n">
        <x:f>'Inputs &amp; Guide'!$B$5</x:f>
        <x:v>15</x:v>
      </x:c>
      <x:c r="M115" s="103" t="n">
        <x:f>I115*'Inputs &amp; Guide'!$B$6</x:f>
        <x:v>85.24454631724713</x:v>
      </x:c>
      <x:c r="N115" s="103" t="n">
        <x:f>MAX(0,MIN(K115-L115,M115))</x:f>
        <x:v>83.51064674566308</x:v>
      </x:c>
      <x:c r="O115" s="103" t="n">
        <x:f>MAX(0,N115-'Inputs &amp; Guide'!$B$7)</x:f>
        <x:v>23.51064674566308</x:v>
      </x:c>
      <x:c r="P115" s="103" t="n">
        <x:f>N115-O115</x:f>
        <x:v>60</x:v>
      </x:c>
      <x:c r="Q115" s="103" t="n">
        <x:f>I115*'Inputs &amp; Guide'!$B$8</x:f>
        <x:v>2.789821515837178</x:v>
      </x:c>
      <x:c r="R115" s="104" t="n">
        <x:f>IFERROR(P115/Q115,0)</x:f>
        <x:v>21.506752191634387</x:v>
      </x:c>
      <x:c r="S115" s="105" t="n">
        <x:f>ROUND(E115*XLOOKUP(C115,'Reference Tables'!$E$4:$E$12,'Reference Tables'!$G$4:$G$12,1),1)</x:f>
        <x:v>8.8</x:v>
      </x:c>
      <x:c r="T115" s="106" t="str">
        <x:f>IF(R115&gt;='Inputs &amp; Guide'!$B$9,"HIGH",IF(R115&gt;=0.45,"WATCH","NORMAL"))</x:f>
        <x:v>HIGH</x:v>
      </x:c>
    </x:row>
    <x:row r="116">
      <x:c r="A116" s="95" t="n">
        <x:v>897</x:v>
      </x:c>
      <x:c r="B116" s="96" t="n">
        <x:v>45329.104166666664</x:v>
      </x:c>
      <x:c r="C116" s="97" t="str">
        <x:v>Flood</x:v>
      </x:c>
      <x:c r="D116" s="97" t="str">
        <x:v>China</x:v>
      </x:c>
      <x:c r="E116" s="98" t="n">
        <x:v>1.806371076950022</x:v>
      </x:c>
      <x:c r="F116" s="99" t="n">
        <x:v>383.13215241595526</x:v>
      </x:c>
      <x:c r="G116" s="100" t="str">
        <x:f>XLOOKUP(D116,'Reference Tables'!$A$4:$A$23,'Reference Tables'!$B$4:$B$23,"Other")</x:f>
        <x:v>Asia Pacific</x:v>
      </x:c>
      <x:c r="H116" s="100" t="str">
        <x:f>VLOOKUP(G116,'Reference Tables'!$I$4:$J$9,2,FALSE)</x:f>
        <x:v>High</x:v>
      </x:c>
      <x:c r="I116" s="101" t="n">
        <x:f>F116*'Inputs &amp; Guide'!$B$4*XLOOKUP(D116,'Reference Tables'!$A$4:$A$23,'Reference Tables'!$C$4:$C$23,0.75)</x:f>
        <x:v>66.20523593747707</x:v>
      </x:c>
      <x:c r="J116" s="102" t="n">
        <x:f>XLOOKUP(C116,'Reference Tables'!$E$4:$E$12,'Reference Tables'!$F$4:$F$12,0.05)</x:f>
        <x:v>0.12</x:v>
      </x:c>
      <x:c r="K116" s="103" t="n">
        <x:f>MIN(I116,F116*J116)</x:f>
        <x:v>45.975858289914626</x:v>
      </x:c>
      <x:c r="L116" s="103" t="n">
        <x:f>'Inputs &amp; Guide'!$B$5</x:f>
        <x:v>15</x:v>
      </x:c>
      <x:c r="M116" s="103" t="n">
        <x:f>I116*'Inputs &amp; Guide'!$B$6</x:f>
        <x:v>36.412879765612395</x:v>
      </x:c>
      <x:c r="N116" s="103" t="n">
        <x:f>MAX(0,MIN(K116-L116,M116))</x:f>
        <x:v>30.975858289914626</x:v>
      </x:c>
      <x:c r="O116" s="103" t="n">
        <x:f>MAX(0,N116-'Inputs &amp; Guide'!$B$7)</x:f>
        <x:v>0</x:v>
      </x:c>
      <x:c r="P116" s="103" t="n">
        <x:f>N116-O116</x:f>
        <x:v>30.975858289914626</x:v>
      </x:c>
      <x:c r="Q116" s="103" t="n">
        <x:f>I116*'Inputs &amp; Guide'!$B$8</x:f>
        <x:v>1.1916942468745872</x:v>
      </x:c>
      <x:c r="R116" s="104" t="n">
        <x:f>IFERROR(P116/Q116,0)</x:f>
        <x:v>25.993125645402646</x:v>
      </x:c>
      <x:c r="S116" s="105" t="n">
        <x:f>ROUND(E116*XLOOKUP(C116,'Reference Tables'!$E$4:$E$12,'Reference Tables'!$G$4:$G$12,1),1)</x:f>
        <x:v>2.3</x:v>
      </x:c>
      <x:c r="T116" s="106" t="str">
        <x:f>IF(R116&gt;='Inputs &amp; Guide'!$B$9,"HIGH",IF(R116&gt;=0.45,"WATCH","NORMAL"))</x:f>
        <x:v>HIGH</x:v>
      </x:c>
    </x:row>
    <x:row r="117">
      <x:c r="A117" s="95" t="n">
        <x:v>905</x:v>
      </x:c>
      <x:c r="B117" s="96" t="n">
        <x:v>45329.4375</x:v>
      </x:c>
      <x:c r="C117" s="97" t="str">
        <x:v>Tornado</x:v>
      </x:c>
      <x:c r="D117" s="97" t="str">
        <x:v>Indonesia</x:v>
      </x:c>
      <x:c r="E117" s="98" t="n">
        <x:v>1.0854781627196615</x:v>
      </x:c>
      <x:c r="F117" s="99" t="n">
        <x:v>905.2145942939619</x:v>
      </x:c>
      <x:c r="G117" s="100" t="str">
        <x:f>XLOOKUP(D117,'Reference Tables'!$A$4:$A$23,'Reference Tables'!$B$4:$B$23,"Other")</x:f>
        <x:v>Asia Pacific</x:v>
      </x:c>
      <x:c r="H117" s="100" t="str">
        <x:f>VLOOKUP(G117,'Reference Tables'!$I$4:$J$9,2,FALSE)</x:f>
        <x:v>High</x:v>
      </x:c>
      <x:c r="I117" s="101" t="n">
        <x:f>F117*'Inputs &amp; Guide'!$B$4*XLOOKUP(D117,'Reference Tables'!$A$4:$A$23,'Reference Tables'!$C$4:$C$23,0.75)</x:f>
        <x:v>149.17936513964491</x:v>
      </x:c>
      <x:c r="J117" s="102" t="n">
        <x:f>XLOOKUP(C117,'Reference Tables'!$E$4:$E$12,'Reference Tables'!$F$4:$F$12,0.05)</x:f>
        <x:v>0.09</x:v>
      </x:c>
      <x:c r="K117" s="103" t="n">
        <x:f>MIN(I117,F117*J117)</x:f>
        <x:v>81.46931348645657</x:v>
      </x:c>
      <x:c r="L117" s="103" t="n">
        <x:f>'Inputs &amp; Guide'!$B$5</x:f>
        <x:v>15</x:v>
      </x:c>
      <x:c r="M117" s="103" t="n">
        <x:f>I117*'Inputs &amp; Guide'!$B$6</x:f>
        <x:v>82.0486508268047</x:v>
      </x:c>
      <x:c r="N117" s="103" t="n">
        <x:f>MAX(0,MIN(K117-L117,M117))</x:f>
        <x:v>66.46931348645657</x:v>
      </x:c>
      <x:c r="O117" s="103" t="n">
        <x:f>MAX(0,N117-'Inputs &amp; Guide'!$B$7)</x:f>
        <x:v>6.469313486456571</x:v>
      </x:c>
      <x:c r="P117" s="103" t="n">
        <x:f>N117-O117</x:f>
        <x:v>60</x:v>
      </x:c>
      <x:c r="Q117" s="103" t="n">
        <x:f>I117*'Inputs &amp; Guide'!$B$8</x:f>
        <x:v>2.6852285725136085</x:v>
      </x:c>
      <x:c r="R117" s="104" t="n">
        <x:f>IFERROR(P117/Q117,0)</x:f>
        <x:v>22.34446654343275</x:v>
      </x:c>
      <x:c r="S117" s="105" t="n">
        <x:f>ROUND(E117*XLOOKUP(C117,'Reference Tables'!$E$4:$E$12,'Reference Tables'!$G$4:$G$12,1),1)</x:f>
        <x:v>1.1</x:v>
      </x:c>
      <x:c r="T117" s="106" t="str">
        <x:f>IF(R117&gt;='Inputs &amp; Guide'!$B$9,"HIGH",IF(R117&gt;=0.45,"WATCH","NORMAL"))</x:f>
        <x:v>HIGH</x:v>
      </x:c>
    </x:row>
    <x:row r="118">
      <x:c r="A118" s="95" t="n">
        <x:v>913</x:v>
      </x:c>
      <x:c r="B118" s="96" t="n">
        <x:v>45330</x:v>
      </x:c>
      <x:c r="C118" s="97" t="str">
        <x:v>Tornado</x:v>
      </x:c>
      <x:c r="D118" s="97" t="str">
        <x:v>USA</x:v>
      </x:c>
      <x:c r="E118" s="98" t="n">
        <x:v>3.3023546299941104</x:v>
      </x:c>
      <x:c r="F118" s="99" t="n">
        <x:v>683.968224090133</x:v>
      </x:c>
      <x:c r="G118" s="100" t="str">
        <x:f>XLOOKUP(D118,'Reference Tables'!$A$4:$A$23,'Reference Tables'!$B$4:$B$23,"Other")</x:f>
        <x:v>Other</x:v>
      </x:c>
      <x:c r="H118" s="100" t="str">
        <x:f>VLOOKUP(G118,'Reference Tables'!$I$4:$J$9,2,FALSE)</x:f>
        <x:v>Moderate</x:v>
      </x:c>
      <x:c r="I118" s="101" t="n">
        <x:f>F118*'Inputs &amp; Guide'!$B$4*XLOOKUP(D118,'Reference Tables'!$A$4:$A$23,'Reference Tables'!$C$4:$C$23,0.75)</x:f>
        <x:v>82.07618689081596</x:v>
      </x:c>
      <x:c r="J118" s="102" t="n">
        <x:f>XLOOKUP(C118,'Reference Tables'!$E$4:$E$12,'Reference Tables'!$F$4:$F$12,0.05)</x:f>
        <x:v>0.09</x:v>
      </x:c>
      <x:c r="K118" s="103" t="n">
        <x:f>MIN(I118,F118*J118)</x:f>
        <x:v>61.55714016811197</x:v>
      </x:c>
      <x:c r="L118" s="103" t="n">
        <x:f>'Inputs &amp; Guide'!$B$5</x:f>
        <x:v>15</x:v>
      </x:c>
      <x:c r="M118" s="103" t="n">
        <x:f>I118*'Inputs &amp; Guide'!$B$6</x:f>
        <x:v>45.14190278994878</x:v>
      </x:c>
      <x:c r="N118" s="103" t="n">
        <x:f>MAX(0,MIN(K118-L118,M118))</x:f>
        <x:v>45.14190278994878</x:v>
      </x:c>
      <x:c r="O118" s="103" t="n">
        <x:f>MAX(0,N118-'Inputs &amp; Guide'!$B$7)</x:f>
        <x:v>0</x:v>
      </x:c>
      <x:c r="P118" s="103" t="n">
        <x:f>N118-O118</x:f>
        <x:v>45.14190278994878</x:v>
      </x:c>
      <x:c r="Q118" s="103" t="n">
        <x:f>I118*'Inputs &amp; Guide'!$B$8</x:f>
        <x:v>1.4773713640346873</x:v>
      </x:c>
      <x:c r="R118" s="104" t="n">
        <x:f>IFERROR(P118/Q118,0)</x:f>
        <x:v>30.555555555555557</x:v>
      </x:c>
      <x:c r="S118" s="105" t="n">
        <x:f>ROUND(E118*XLOOKUP(C118,'Reference Tables'!$E$4:$E$12,'Reference Tables'!$G$4:$G$12,1),1)</x:f>
        <x:v>3.5</x:v>
      </x:c>
      <x:c r="T118" s="106" t="str">
        <x:f>IF(R118&gt;='Inputs &amp; Guide'!$B$9,"HIGH",IF(R118&gt;=0.45,"WATCH","NORMAL"))</x:f>
        <x:v>HIGH</x:v>
      </x:c>
    </x:row>
    <x:row r="119">
      <x:c r="A119" s="95" t="n">
        <x:v>921</x:v>
      </x:c>
      <x:c r="B119" s="96" t="n">
        <x:v>45330.104166666664</x:v>
      </x:c>
      <x:c r="C119" s="97" t="str">
        <x:v>Earthquake</x:v>
      </x:c>
      <x:c r="D119" s="97" t="str">
        <x:v>China</x:v>
      </x:c>
      <x:c r="E119" s="98" t="n">
        <x:v>4.7693961665129585</x:v>
      </x:c>
      <x:c r="F119" s="99" t="n">
        <x:v>848.621022000421</x:v>
      </x:c>
      <x:c r="G119" s="100" t="str">
        <x:f>XLOOKUP(D119,'Reference Tables'!$A$4:$A$23,'Reference Tables'!$B$4:$B$23,"Other")</x:f>
        <x:v>Asia Pacific</x:v>
      </x:c>
      <x:c r="H119" s="100" t="str">
        <x:f>VLOOKUP(G119,'Reference Tables'!$I$4:$J$9,2,FALSE)</x:f>
        <x:v>High</x:v>
      </x:c>
      <x:c r="I119" s="101" t="n">
        <x:f>F119*'Inputs &amp; Guide'!$B$4*XLOOKUP(D119,'Reference Tables'!$A$4:$A$23,'Reference Tables'!$C$4:$C$23,0.75)</x:f>
        <x:v>146.64171260167277</x:v>
      </x:c>
      <x:c r="J119" s="102" t="n">
        <x:f>XLOOKUP(C119,'Reference Tables'!$E$4:$E$12,'Reference Tables'!$F$4:$F$12,0.05)</x:f>
        <x:v>0.14</x:v>
      </x:c>
      <x:c r="K119" s="103" t="n">
        <x:f>MIN(I119,F119*J119)</x:f>
        <x:v>118.80694308005896</x:v>
      </x:c>
      <x:c r="L119" s="103" t="n">
        <x:f>'Inputs &amp; Guide'!$B$5</x:f>
        <x:v>15</x:v>
      </x:c>
      <x:c r="M119" s="103" t="n">
        <x:f>I119*'Inputs &amp; Guide'!$B$6</x:f>
        <x:v>80.65294193092002</x:v>
      </x:c>
      <x:c r="N119" s="103" t="n">
        <x:f>MAX(0,MIN(K119-L119,M119))</x:f>
        <x:v>80.65294193092002</x:v>
      </x:c>
      <x:c r="O119" s="103" t="n">
        <x:f>MAX(0,N119-'Inputs &amp; Guide'!$B$7)</x:f>
        <x:v>20.652941930920022</x:v>
      </x:c>
      <x:c r="P119" s="103" t="n">
        <x:f>N119-O119</x:f>
        <x:v>60</x:v>
      </x:c>
      <x:c r="Q119" s="103" t="n">
        <x:f>I119*'Inputs &amp; Guide'!$B$8</x:f>
        <x:v>2.6395508268301096</x:v>
      </x:c>
      <x:c r="R119" s="104" t="n">
        <x:f>IFERROR(P119/Q119,0)</x:f>
        <x:v>22.731140234209935</x:v>
      </x:c>
      <x:c r="S119" s="105" t="n">
        <x:f>ROUND(E119*XLOOKUP(C119,'Reference Tables'!$E$4:$E$12,'Reference Tables'!$G$4:$G$12,1),1)</x:f>
        <x:v>7.2</x:v>
      </x:c>
      <x:c r="T119" s="106" t="str">
        <x:f>IF(R119&gt;='Inputs &amp; Guide'!$B$9,"HIGH",IF(R119&gt;=0.45,"WATCH","NORMAL"))</x:f>
        <x:v>HIGH</x:v>
      </x:c>
    </x:row>
    <x:row r="120">
      <x:c r="A120" s="95" t="n">
        <x:v>929</x:v>
      </x:c>
      <x:c r="B120" s="96" t="n">
        <x:v>45330.4375</x:v>
      </x:c>
      <x:c r="C120" s="97" t="str">
        <x:v>Earthquake</x:v>
      </x:c>
      <x:c r="D120" s="97" t="str">
        <x:v>China</x:v>
      </x:c>
      <x:c r="E120" s="98" t="n">
        <x:v>4.311178472802212</x:v>
      </x:c>
      <x:c r="F120" s="99" t="n">
        <x:v>825.7748829565647</x:v>
      </x:c>
      <x:c r="G120" s="100" t="str">
        <x:f>XLOOKUP(D120,'Reference Tables'!$A$4:$A$23,'Reference Tables'!$B$4:$B$23,"Other")</x:f>
        <x:v>Asia Pacific</x:v>
      </x:c>
      <x:c r="H120" s="100" t="str">
        <x:f>VLOOKUP(G120,'Reference Tables'!$I$4:$J$9,2,FALSE)</x:f>
        <x:v>High</x:v>
      </x:c>
      <x:c r="I120" s="101" t="n">
        <x:f>F120*'Inputs &amp; Guide'!$B$4*XLOOKUP(D120,'Reference Tables'!$A$4:$A$23,'Reference Tables'!$C$4:$C$23,0.75)</x:f>
        <x:v>142.6938997748944</x:v>
      </x:c>
      <x:c r="J120" s="102" t="n">
        <x:f>XLOOKUP(C120,'Reference Tables'!$E$4:$E$12,'Reference Tables'!$F$4:$F$12,0.05)</x:f>
        <x:v>0.14</x:v>
      </x:c>
      <x:c r="K120" s="103" t="n">
        <x:f>MIN(I120,F120*J120)</x:f>
        <x:v>115.60848361391908</x:v>
      </x:c>
      <x:c r="L120" s="103" t="n">
        <x:f>'Inputs &amp; Guide'!$B$5</x:f>
        <x:v>15</x:v>
      </x:c>
      <x:c r="M120" s="103" t="n">
        <x:f>I120*'Inputs &amp; Guide'!$B$6</x:f>
        <x:v>78.48164487619192</x:v>
      </x:c>
      <x:c r="N120" s="103" t="n">
        <x:f>MAX(0,MIN(K120-L120,M120))</x:f>
        <x:v>78.48164487619192</x:v>
      </x:c>
      <x:c r="O120" s="103" t="n">
        <x:f>MAX(0,N120-'Inputs &amp; Guide'!$B$7)</x:f>
        <x:v>18.481644876191922</x:v>
      </x:c>
      <x:c r="P120" s="103" t="n">
        <x:f>N120-O120</x:f>
        <x:v>60</x:v>
      </x:c>
      <x:c r="Q120" s="103" t="n">
        <x:f>I120*'Inputs &amp; Guide'!$B$8</x:f>
        <x:v>2.568490195948099</x:v>
      </x:c>
      <x:c r="R120" s="104" t="n">
        <x:f>IFERROR(P120/Q120,0)</x:f>
        <x:v>23.360026872850252</x:v>
      </x:c>
      <x:c r="S120" s="105" t="n">
        <x:f>ROUND(E120*XLOOKUP(C120,'Reference Tables'!$E$4:$E$12,'Reference Tables'!$G$4:$G$12,1),1)</x:f>
        <x:v>6.5</x:v>
      </x:c>
      <x:c r="T120" s="106" t="str">
        <x:f>IF(R120&gt;='Inputs &amp; Guide'!$B$9,"HIGH",IF(R120&gt;=0.45,"WATCH","NORMAL"))</x:f>
        <x:v>HIGH</x:v>
      </x:c>
    </x:row>
    <x:row r="121">
      <x:c r="A121" s="95" t="n">
        <x:v>937</x:v>
      </x:c>
      <x:c r="B121" s="96" t="n">
        <x:v>45331</x:v>
      </x:c>
      <x:c r="C121" s="97" t="str">
        <x:v>Wildfire</x:v>
      </x:c>
      <x:c r="D121" s="97" t="str">
        <x:v>China</x:v>
      </x:c>
      <x:c r="E121" s="98" t="n">
        <x:v>7.156338834593847</x:v>
      </x:c>
      <x:c r="F121" s="99" t="n">
        <x:v>503.4687870475646</x:v>
      </x:c>
      <x:c r="G121" s="100" t="str">
        <x:f>XLOOKUP(D121,'Reference Tables'!$A$4:$A$23,'Reference Tables'!$B$4:$B$23,"Other")</x:f>
        <x:v>Asia Pacific</x:v>
      </x:c>
      <x:c r="H121" s="100" t="str">
        <x:f>VLOOKUP(G121,'Reference Tables'!$I$4:$J$9,2,FALSE)</x:f>
        <x:v>High</x:v>
      </x:c>
      <x:c r="I121" s="101" t="n">
        <x:f>F121*'Inputs &amp; Guide'!$B$4*XLOOKUP(D121,'Reference Tables'!$A$4:$A$23,'Reference Tables'!$C$4:$C$23,0.75)</x:f>
        <x:v>86.99940640181917</x:v>
      </x:c>
      <x:c r="J121" s="102" t="n">
        <x:f>XLOOKUP(C121,'Reference Tables'!$E$4:$E$12,'Reference Tables'!$F$4:$F$12,0.05)</x:f>
        <x:v>0.1</x:v>
      </x:c>
      <x:c r="K121" s="103" t="n">
        <x:f>MIN(I121,F121*J121)</x:f>
        <x:v>50.34687870475646</x:v>
      </x:c>
      <x:c r="L121" s="103" t="n">
        <x:f>'Inputs &amp; Guide'!$B$5</x:f>
        <x:v>15</x:v>
      </x:c>
      <x:c r="M121" s="103" t="n">
        <x:f>I121*'Inputs &amp; Guide'!$B$6</x:f>
        <x:v>47.84967352100055</x:v>
      </x:c>
      <x:c r="N121" s="103" t="n">
        <x:f>MAX(0,MIN(K121-L121,M121))</x:f>
        <x:v>35.34687870475646</x:v>
      </x:c>
      <x:c r="O121" s="103" t="n">
        <x:f>MAX(0,N121-'Inputs &amp; Guide'!$B$7)</x:f>
        <x:v>0</x:v>
      </x:c>
      <x:c r="P121" s="103" t="n">
        <x:f>N121-O121</x:f>
        <x:v>35.34687870475646</x:v>
      </x:c>
      <x:c r="Q121" s="103" t="n">
        <x:f>I121*'Inputs &amp; Guide'!$B$8</x:f>
        <x:v>1.5659893152327449</x:v>
      </x:c>
      <x:c r="R121" s="104" t="n">
        <x:f>IFERROR(P121/Q121,0)</x:f>
        <x:v>22.571596345472535</x:v>
      </x:c>
      <x:c r="S121" s="105" t="n">
        <x:f>ROUND(E121*XLOOKUP(C121,'Reference Tables'!$E$4:$E$12,'Reference Tables'!$G$4:$G$12,1),1)</x:f>
        <x:v>8.2</x:v>
      </x:c>
      <x:c r="T121" s="106" t="str">
        <x:f>IF(R121&gt;='Inputs &amp; Guide'!$B$9,"HIGH",IF(R121&gt;=0.45,"WATCH","NORMAL"))</x:f>
        <x:v>HIGH</x:v>
      </x:c>
    </x:row>
    <x:row r="122">
      <x:c r="A122" s="95" t="n">
        <x:v>945</x:v>
      </x:c>
      <x:c r="B122" s="96" t="n">
        <x:v>45331.104166666664</x:v>
      </x:c>
      <x:c r="C122" s="97" t="str">
        <x:v>Wildfire</x:v>
      </x:c>
      <x:c r="D122" s="97" t="str">
        <x:v>China</x:v>
      </x:c>
      <x:c r="E122" s="98" t="n">
        <x:v>5.204427276172223</x:v>
      </x:c>
      <x:c r="F122" s="99" t="n">
        <x:v>781.6288622267903</x:v>
      </x:c>
      <x:c r="G122" s="100" t="str">
        <x:f>XLOOKUP(D122,'Reference Tables'!$A$4:$A$23,'Reference Tables'!$B$4:$B$23,"Other")</x:f>
        <x:v>Asia Pacific</x:v>
      </x:c>
      <x:c r="H122" s="100" t="str">
        <x:f>VLOOKUP(G122,'Reference Tables'!$I$4:$J$9,2,FALSE)</x:f>
        <x:v>High</x:v>
      </x:c>
      <x:c r="I122" s="101" t="n">
        <x:f>F122*'Inputs &amp; Guide'!$B$4*XLOOKUP(D122,'Reference Tables'!$A$4:$A$23,'Reference Tables'!$C$4:$C$23,0.75)</x:f>
        <x:v>135.06546739278937</x:v>
      </x:c>
      <x:c r="J122" s="102" t="n">
        <x:f>XLOOKUP(C122,'Reference Tables'!$E$4:$E$12,'Reference Tables'!$F$4:$F$12,0.05)</x:f>
        <x:v>0.1</x:v>
      </x:c>
      <x:c r="K122" s="103" t="n">
        <x:f>MIN(I122,F122*J122)</x:f>
        <x:v>78.16288622267903</x:v>
      </x:c>
      <x:c r="L122" s="103" t="n">
        <x:f>'Inputs &amp; Guide'!$B$5</x:f>
        <x:v>15</x:v>
      </x:c>
      <x:c r="M122" s="103" t="n">
        <x:f>I122*'Inputs &amp; Guide'!$B$6</x:f>
        <x:v>74.28600706603416</x:v>
      </x:c>
      <x:c r="N122" s="103" t="n">
        <x:f>MAX(0,MIN(K122-L122,M122))</x:f>
        <x:v>63.162886222679035</x:v>
      </x:c>
      <x:c r="O122" s="103" t="n">
        <x:f>MAX(0,N122-'Inputs &amp; Guide'!$B$7)</x:f>
        <x:v>3.1628862226790346</x:v>
      </x:c>
      <x:c r="P122" s="103" t="n">
        <x:f>N122-O122</x:f>
        <x:v>60</x:v>
      </x:c>
      <x:c r="Q122" s="103" t="n">
        <x:f>I122*'Inputs &amp; Guide'!$B$8</x:f>
        <x:v>2.4311784130702083</x:v>
      </x:c>
      <x:c r="R122" s="104" t="n">
        <x:f>IFERROR(P122/Q122,0)</x:f>
        <x:v>24.679389911260824</x:v>
      </x:c>
      <x:c r="S122" s="105" t="n">
        <x:f>ROUND(E122*XLOOKUP(C122,'Reference Tables'!$E$4:$E$12,'Reference Tables'!$G$4:$G$12,1),1)</x:f>
        <x:v>6</x:v>
      </x:c>
      <x:c r="T122" s="106" t="str">
        <x:f>IF(R122&gt;='Inputs &amp; Guide'!$B$9,"HIGH",IF(R122&gt;=0.45,"WATCH","NORMAL"))</x:f>
        <x:v>HIGH</x:v>
      </x:c>
    </x:row>
    <x:row r="123">
      <x:c r="A123" s="95" t="n">
        <x:v>953</x:v>
      </x:c>
      <x:c r="B123" s="96" t="n">
        <x:v>45331.4375</x:v>
      </x:c>
      <x:c r="C123" s="97" t="str">
        <x:v>Hurricane</x:v>
      </x:c>
      <x:c r="D123" s="97" t="str">
        <x:v>China</x:v>
      </x:c>
      <x:c r="E123" s="98" t="n">
        <x:v>4.481152696238484</x:v>
      </x:c>
      <x:c r="F123" s="99" t="n">
        <x:v>940.8738681981857</x:v>
      </x:c>
      <x:c r="G123" s="100" t="str">
        <x:f>XLOOKUP(D123,'Reference Tables'!$A$4:$A$23,'Reference Tables'!$B$4:$B$23,"Other")</x:f>
        <x:v>Asia Pacific</x:v>
      </x:c>
      <x:c r="H123" s="100" t="str">
        <x:f>VLOOKUP(G123,'Reference Tables'!$I$4:$J$9,2,FALSE)</x:f>
        <x:v>High</x:v>
      </x:c>
      <x:c r="I123" s="101" t="n">
        <x:f>F123*'Inputs &amp; Guide'!$B$4*XLOOKUP(D123,'Reference Tables'!$A$4:$A$23,'Reference Tables'!$C$4:$C$23,0.75)</x:f>
        <x:v>162.5830044246465</x:v>
      </x:c>
      <x:c r="J123" s="102" t="n">
        <x:f>XLOOKUP(C123,'Reference Tables'!$E$4:$E$12,'Reference Tables'!$F$4:$F$12,0.05)</x:f>
        <x:v>0.18</x:v>
      </x:c>
      <x:c r="K123" s="103" t="n">
        <x:f>MIN(I123,F123*J123)</x:f>
        <x:v>162.5830044246465</x:v>
      </x:c>
      <x:c r="L123" s="103" t="n">
        <x:f>'Inputs &amp; Guide'!$B$5</x:f>
        <x:v>15</x:v>
      </x:c>
      <x:c r="M123" s="103" t="n">
        <x:f>I123*'Inputs &amp; Guide'!$B$6</x:f>
        <x:v>89.42065243355559</x:v>
      </x:c>
      <x:c r="N123" s="103" t="n">
        <x:f>MAX(0,MIN(K123-L123,M123))</x:f>
        <x:v>89.42065243355559</x:v>
      </x:c>
      <x:c r="O123" s="103" t="n">
        <x:f>MAX(0,N123-'Inputs &amp; Guide'!$B$7)</x:f>
        <x:v>29.42065243355559</x:v>
      </x:c>
      <x:c r="P123" s="103" t="n">
        <x:f>N123-O123</x:f>
        <x:v>60</x:v>
      </x:c>
      <x:c r="Q123" s="103" t="n">
        <x:f>I123*'Inputs &amp; Guide'!$B$8</x:f>
        <x:v>2.926494079643637</x:v>
      </x:c>
      <x:c r="R123" s="104" t="n">
        <x:f>IFERROR(P123/Q123,0)</x:f>
        <x:v>20.502347986060602</x:v>
      </x:c>
      <x:c r="S123" s="105" t="n">
        <x:f>ROUND(E123*XLOOKUP(C123,'Reference Tables'!$E$4:$E$12,'Reference Tables'!$G$4:$G$12,1),1)</x:f>
        <x:v>6.3</x:v>
      </x:c>
      <x:c r="T123" s="106" t="str">
        <x:f>IF(R123&gt;='Inputs &amp; Guide'!$B$9,"HIGH",IF(R123&gt;=0.45,"WATCH","NORMAL"))</x:f>
        <x:v>HIGH</x:v>
      </x:c>
    </x:row>
    <x:row r="124">
      <x:c r="A124" s="95" t="n">
        <x:v>961</x:v>
      </x:c>
      <x:c r="B124" s="96" t="n">
        <x:v>45332</x:v>
      </x:c>
      <x:c r="C124" s="97" t="str">
        <x:v>Flood</x:v>
      </x:c>
      <x:c r="D124" s="97" t="str">
        <x:v>Indonesia</x:v>
      </x:c>
      <x:c r="E124" s="98" t="n">
        <x:v>9.63798633105467</x:v>
      </x:c>
      <x:c r="F124" s="99" t="n">
        <x:v>754.4599307537867</x:v>
      </x:c>
      <x:c r="G124" s="100" t="str">
        <x:f>XLOOKUP(D124,'Reference Tables'!$A$4:$A$23,'Reference Tables'!$B$4:$B$23,"Other")</x:f>
        <x:v>Asia Pacific</x:v>
      </x:c>
      <x:c r="H124" s="100" t="str">
        <x:f>VLOOKUP(G124,'Reference Tables'!$I$4:$J$9,2,FALSE)</x:f>
        <x:v>High</x:v>
      </x:c>
      <x:c r="I124" s="101" t="n">
        <x:f>F124*'Inputs &amp; Guide'!$B$4*XLOOKUP(D124,'Reference Tables'!$A$4:$A$23,'Reference Tables'!$C$4:$C$23,0.75)</x:f>
        <x:v>124.33499658822406</x:v>
      </x:c>
      <x:c r="J124" s="102" t="n">
        <x:f>XLOOKUP(C124,'Reference Tables'!$E$4:$E$12,'Reference Tables'!$F$4:$F$12,0.05)</x:f>
        <x:v>0.12</x:v>
      </x:c>
      <x:c r="K124" s="103" t="n">
        <x:f>MIN(I124,F124*J124)</x:f>
        <x:v>90.5351916904544</x:v>
      </x:c>
      <x:c r="L124" s="103" t="n">
        <x:f>'Inputs &amp; Guide'!$B$5</x:f>
        <x:v>15</x:v>
      </x:c>
      <x:c r="M124" s="103" t="n">
        <x:f>I124*'Inputs &amp; Guide'!$B$6</x:f>
        <x:v>68.38424812352324</x:v>
      </x:c>
      <x:c r="N124" s="103" t="n">
        <x:f>MAX(0,MIN(K124-L124,M124))</x:f>
        <x:v>68.38424812352324</x:v>
      </x:c>
      <x:c r="O124" s="103" t="n">
        <x:f>MAX(0,N124-'Inputs &amp; Guide'!$B$7)</x:f>
        <x:v>8.384248123523236</x:v>
      </x:c>
      <x:c r="P124" s="103" t="n">
        <x:f>N124-O124</x:f>
        <x:v>60</x:v>
      </x:c>
      <x:c r="Q124" s="103" t="n">
        <x:f>I124*'Inputs &amp; Guide'!$B$8</x:f>
        <x:v>2.2380299385880327</x:v>
      </x:c>
      <x:c r="R124" s="104" t="n">
        <x:f>IFERROR(P124/Q124,0)</x:f>
        <x:v>26.80929283629416</x:v>
      </x:c>
      <x:c r="S124" s="105" t="n">
        <x:f>ROUND(E124*XLOOKUP(C124,'Reference Tables'!$E$4:$E$12,'Reference Tables'!$G$4:$G$12,1),1)</x:f>
        <x:v>12</x:v>
      </x:c>
      <x:c r="T124" s="106" t="str">
        <x:f>IF(R124&gt;='Inputs &amp; Guide'!$B$9,"HIGH",IF(R124&gt;=0.45,"WATCH","NORMAL"))</x:f>
        <x:v>HIGH</x:v>
      </x:c>
    </x:row>
    <x:row r="125">
      <x:c r="A125" s="95" t="n">
        <x:v>969</x:v>
      </x:c>
      <x:c r="B125" s="96" t="n">
        <x:v>45332.104166666664</x:v>
      </x:c>
      <x:c r="C125" s="97" t="str">
        <x:v>Tornado</x:v>
      </x:c>
      <x:c r="D125" s="97" t="str">
        <x:v>Japan</x:v>
      </x:c>
      <x:c r="E125" s="98" t="n">
        <x:v>1.0713713358772656</x:v>
      </x:c>
      <x:c r="F125" s="99" t="n">
        <x:v>580.363082340822</x:v>
      </x:c>
      <x:c r="G125" s="100" t="str">
        <x:f>XLOOKUP(D125,'Reference Tables'!$A$4:$A$23,'Reference Tables'!$B$4:$B$23,"Other")</x:f>
        <x:v>Asia Pacific</x:v>
      </x:c>
      <x:c r="H125" s="100" t="str">
        <x:f>VLOOKUP(G125,'Reference Tables'!$I$4:$J$9,2,FALSE)</x:f>
        <x:v>High</x:v>
      </x:c>
      <x:c r="I125" s="101" t="n">
        <x:f>F125*'Inputs &amp; Guide'!$B$4*XLOOKUP(D125,'Reference Tables'!$A$4:$A$23,'Reference Tables'!$C$4:$C$23,0.75)</x:f>
        <x:v>109.57254994594719</x:v>
      </x:c>
      <x:c r="J125" s="102" t="n">
        <x:f>XLOOKUP(C125,'Reference Tables'!$E$4:$E$12,'Reference Tables'!$F$4:$F$12,0.05)</x:f>
        <x:v>0.09</x:v>
      </x:c>
      <x:c r="K125" s="103" t="n">
        <x:f>MIN(I125,F125*J125)</x:f>
        <x:v>52.23267741067397</x:v>
      </x:c>
      <x:c r="L125" s="103" t="n">
        <x:f>'Inputs &amp; Guide'!$B$5</x:f>
        <x:v>15</x:v>
      </x:c>
      <x:c r="M125" s="103" t="n">
        <x:f>I125*'Inputs &amp; Guide'!$B$6</x:f>
        <x:v>60.26490247027096</x:v>
      </x:c>
      <x:c r="N125" s="103" t="n">
        <x:f>MAX(0,MIN(K125-L125,M125))</x:f>
        <x:v>37.23267741067397</x:v>
      </x:c>
      <x:c r="O125" s="103" t="n">
        <x:f>MAX(0,N125-'Inputs &amp; Guide'!$B$7)</x:f>
        <x:v>0</x:v>
      </x:c>
      <x:c r="P125" s="103" t="n">
        <x:f>N125-O125</x:f>
        <x:v>37.23267741067397</x:v>
      </x:c>
      <x:c r="Q125" s="103" t="n">
        <x:f>I125*'Inputs &amp; Guide'!$B$8</x:f>
        <x:v>1.9723058990270492</x:v>
      </x:c>
      <x:c r="R125" s="104" t="n">
        <x:f>IFERROR(P125/Q125,0)</x:f>
        <x:v>18.877739720314725</x:v>
      </x:c>
      <x:c r="S125" s="105" t="n">
        <x:f>ROUND(E125*XLOOKUP(C125,'Reference Tables'!$E$4:$E$12,'Reference Tables'!$G$4:$G$12,1),1)</x:f>
        <x:v>1.1</x:v>
      </x:c>
      <x:c r="T125" s="106" t="str">
        <x:f>IF(R125&gt;='Inputs &amp; Guide'!$B$9,"HIGH",IF(R125&gt;=0.45,"WATCH","NORMAL"))</x:f>
        <x:v>HIGH</x:v>
      </x:c>
    </x:row>
    <x:row r="126">
      <x:c r="A126" s="95" t="n">
        <x:v>977</x:v>
      </x:c>
      <x:c r="B126" s="96" t="n">
        <x:v>45332.4375</x:v>
      </x:c>
      <x:c r="C126" s="97" t="str">
        <x:v>Tornado</x:v>
      </x:c>
      <x:c r="D126" s="97" t="str">
        <x:v>China</x:v>
      </x:c>
      <x:c r="E126" s="98" t="n">
        <x:v>4.83055350016849</x:v>
      </x:c>
      <x:c r="F126" s="99" t="n">
        <x:v>858.1990620037893</x:v>
      </x:c>
      <x:c r="G126" s="100" t="str">
        <x:f>XLOOKUP(D126,'Reference Tables'!$A$4:$A$23,'Reference Tables'!$B$4:$B$23,"Other")</x:f>
        <x:v>Asia Pacific</x:v>
      </x:c>
      <x:c r="H126" s="100" t="str">
        <x:f>VLOOKUP(G126,'Reference Tables'!$I$4:$J$9,2,FALSE)</x:f>
        <x:v>High</x:v>
      </x:c>
      <x:c r="I126" s="101" t="n">
        <x:f>F126*'Inputs &amp; Guide'!$B$4*XLOOKUP(D126,'Reference Tables'!$A$4:$A$23,'Reference Tables'!$C$4:$C$23,0.75)</x:f>
        <x:v>148.29679791425482</x:v>
      </x:c>
      <x:c r="J126" s="102" t="n">
        <x:f>XLOOKUP(C126,'Reference Tables'!$E$4:$E$12,'Reference Tables'!$F$4:$F$12,0.05)</x:f>
        <x:v>0.09</x:v>
      </x:c>
      <x:c r="K126" s="103" t="n">
        <x:f>MIN(I126,F126*J126)</x:f>
        <x:v>77.23791558034104</x:v>
      </x:c>
      <x:c r="L126" s="103" t="n">
        <x:f>'Inputs &amp; Guide'!$B$5</x:f>
        <x:v>15</x:v>
      </x:c>
      <x:c r="M126" s="103" t="n">
        <x:f>I126*'Inputs &amp; Guide'!$B$6</x:f>
        <x:v>81.56323885284016</x:v>
      </x:c>
      <x:c r="N126" s="103" t="n">
        <x:f>MAX(0,MIN(K126-L126,M126))</x:f>
        <x:v>62.23791558034104</x:v>
      </x:c>
      <x:c r="O126" s="103" t="n">
        <x:f>MAX(0,N126-'Inputs &amp; Guide'!$B$7)</x:f>
        <x:v>2.2379155803410384</x:v>
      </x:c>
      <x:c r="P126" s="103" t="n">
        <x:f>N126-O126</x:f>
        <x:v>60</x:v>
      </x:c>
      <x:c r="Q126" s="103" t="n">
        <x:f>I126*'Inputs &amp; Guide'!$B$8</x:f>
        <x:v>2.669342362456587</x:v>
      </x:c>
      <x:c r="R126" s="104" t="n">
        <x:f>IFERROR(P126/Q126,0)</x:f>
        <x:v>22.47744644669041</x:v>
      </x:c>
      <x:c r="S126" s="105" t="n">
        <x:f>ROUND(E126*XLOOKUP(C126,'Reference Tables'!$E$4:$E$12,'Reference Tables'!$G$4:$G$12,1),1)</x:f>
        <x:v>5.1</x:v>
      </x:c>
      <x:c r="T126" s="106" t="str">
        <x:f>IF(R126&gt;='Inputs &amp; Guide'!$B$9,"HIGH",IF(R126&gt;=0.45,"WATCH","NORMAL"))</x:f>
        <x:v>HIGH</x:v>
      </x:c>
    </x:row>
    <x:row r="127">
      <x:c r="A127" s="95" t="n">
        <x:v>985</x:v>
      </x:c>
      <x:c r="B127" s="96" t="n">
        <x:v>45333</x:v>
      </x:c>
      <x:c r="C127" s="97" t="str">
        <x:v>Wildfire</x:v>
      </x:c>
      <x:c r="D127" s="97" t="str">
        <x:v>Japan</x:v>
      </x:c>
      <x:c r="E127" s="98" t="n">
        <x:v>6.84509187755913</x:v>
      </x:c>
      <x:c r="F127" s="99" t="n">
        <x:v>444.94938488006346</x:v>
      </x:c>
      <x:c r="G127" s="100" t="str">
        <x:f>XLOOKUP(D127,'Reference Tables'!$A$4:$A$23,'Reference Tables'!$B$4:$B$23,"Other")</x:f>
        <x:v>Asia Pacific</x:v>
      </x:c>
      <x:c r="H127" s="100" t="str">
        <x:f>VLOOKUP(G127,'Reference Tables'!$I$4:$J$9,2,FALSE)</x:f>
        <x:v>High</x:v>
      </x:c>
      <x:c r="I127" s="101" t="n">
        <x:f>F127*'Inputs &amp; Guide'!$B$4*XLOOKUP(D127,'Reference Tables'!$A$4:$A$23,'Reference Tables'!$C$4:$C$23,0.75)</x:f>
        <x:v>84.00644386535598</x:v>
      </x:c>
      <x:c r="J127" s="102" t="n">
        <x:f>XLOOKUP(C127,'Reference Tables'!$E$4:$E$12,'Reference Tables'!$F$4:$F$12,0.05)</x:f>
        <x:v>0.1</x:v>
      </x:c>
      <x:c r="K127" s="103" t="n">
        <x:f>MIN(I127,F127*J127)</x:f>
        <x:v>44.49493848800635</x:v>
      </x:c>
      <x:c r="L127" s="103" t="n">
        <x:f>'Inputs &amp; Guide'!$B$5</x:f>
        <x:v>15</x:v>
      </x:c>
      <x:c r="M127" s="103" t="n">
        <x:f>I127*'Inputs &amp; Guide'!$B$6</x:f>
        <x:v>46.20354412594579</x:v>
      </x:c>
      <x:c r="N127" s="103" t="n">
        <x:f>MAX(0,MIN(K127-L127,M127))</x:f>
        <x:v>29.494938488006348</x:v>
      </x:c>
      <x:c r="O127" s="103" t="n">
        <x:f>MAX(0,N127-'Inputs &amp; Guide'!$B$7)</x:f>
        <x:v>0</x:v>
      </x:c>
      <x:c r="P127" s="103" t="n">
        <x:f>N127-O127</x:f>
        <x:v>29.494938488006348</x:v>
      </x:c>
      <x:c r="Q127" s="103" t="n">
        <x:f>I127*'Inputs &amp; Guide'!$B$8</x:f>
        <x:v>1.5121159895764074</x:v>
      </x:c>
      <x:c r="R127" s="104" t="n">
        <x:f>IFERROR(P127/Q127,0)</x:f>
        <x:v>19.505738112238888</x:v>
      </x:c>
      <x:c r="S127" s="105" t="n">
        <x:f>ROUND(E127*XLOOKUP(C127,'Reference Tables'!$E$4:$E$12,'Reference Tables'!$G$4:$G$12,1),1)</x:f>
        <x:v>7.9</x:v>
      </x:c>
      <x:c r="T127" s="106" t="str">
        <x:f>IF(R127&gt;='Inputs &amp; Guide'!$B$9,"HIGH",IF(R127&gt;=0.45,"WATCH","NORMAL"))</x:f>
        <x:v>HIGH</x:v>
      </x:c>
    </x:row>
    <x:row r="128">
      <x:c r="A128" s="95" t="n">
        <x:v>993</x:v>
      </x:c>
      <x:c r="B128" s="96" t="n">
        <x:v>45333.104166666664</x:v>
      </x:c>
      <x:c r="C128" s="97" t="str">
        <x:v>Wildfire</x:v>
      </x:c>
      <x:c r="D128" s="97" t="str">
        <x:v>USA</x:v>
      </x:c>
      <x:c r="E128" s="98" t="n">
        <x:v>5.055516288373417</x:v>
      </x:c>
      <x:c r="F128" s="99" t="n">
        <x:v>347.14162542380177</x:v>
      </x:c>
      <x:c r="G128" s="100" t="str">
        <x:f>XLOOKUP(D128,'Reference Tables'!$A$4:$A$23,'Reference Tables'!$B$4:$B$23,"Other")</x:f>
        <x:v>Other</x:v>
      </x:c>
      <x:c r="H128" s="100" t="str">
        <x:f>VLOOKUP(G128,'Reference Tables'!$I$4:$J$9,2,FALSE)</x:f>
        <x:v>Moderate</x:v>
      </x:c>
      <x:c r="I128" s="101" t="n">
        <x:f>F128*'Inputs &amp; Guide'!$B$4*XLOOKUP(D128,'Reference Tables'!$A$4:$A$23,'Reference Tables'!$C$4:$C$23,0.75)</x:f>
        <x:v>41.65699505085621</x:v>
      </x:c>
      <x:c r="J128" s="102" t="n">
        <x:f>XLOOKUP(C128,'Reference Tables'!$E$4:$E$12,'Reference Tables'!$F$4:$F$12,0.05)</x:f>
        <x:v>0.1</x:v>
      </x:c>
      <x:c r="K128" s="103" t="n">
        <x:f>MIN(I128,F128*J128)</x:f>
        <x:v>34.71416254238018</x:v>
      </x:c>
      <x:c r="L128" s="103" t="n">
        <x:f>'Inputs &amp; Guide'!$B$5</x:f>
        <x:v>15</x:v>
      </x:c>
      <x:c r="M128" s="103" t="n">
        <x:f>I128*'Inputs &amp; Guide'!$B$6</x:f>
        <x:v>22.91134727797092</x:v>
      </x:c>
      <x:c r="N128" s="103" t="n">
        <x:f>MAX(0,MIN(K128-L128,M128))</x:f>
        <x:v>19.71416254238018</x:v>
      </x:c>
      <x:c r="O128" s="103" t="n">
        <x:f>MAX(0,N128-'Inputs &amp; Guide'!$B$7)</x:f>
        <x:v>0</x:v>
      </x:c>
      <x:c r="P128" s="103" t="n">
        <x:f>N128-O128</x:f>
        <x:v>19.71416254238018</x:v>
      </x:c>
      <x:c r="Q128" s="103" t="n">
        <x:f>I128*'Inputs &amp; Guide'!$B$8</x:f>
        <x:v>0.7498259109154117</x:v>
      </x:c>
      <x:c r="R128" s="104" t="n">
        <x:f>IFERROR(P128/Q128,0)</x:f>
        <x:v>26.291652842874544</x:v>
      </x:c>
      <x:c r="S128" s="105" t="n">
        <x:f>ROUND(E128*XLOOKUP(C128,'Reference Tables'!$E$4:$E$12,'Reference Tables'!$G$4:$G$12,1),1)</x:f>
        <x:v>5.8</x:v>
      </x:c>
      <x:c r="T128" s="106" t="str">
        <x:f>IF(R128&gt;='Inputs &amp; Guide'!$B$9,"HIGH",IF(R128&gt;=0.45,"WATCH","NORMAL"))</x:f>
        <x:v>HIGH</x:v>
      </x:c>
    </x:row>
    <x:row r="129">
      <x:c r="A129" s="95" t="n">
        <x:v>1001</x:v>
      </x:c>
      <x:c r="B129" s="96" t="n">
        <x:v>45333.4375</x:v>
      </x:c>
      <x:c r="C129" s="97" t="str">
        <x:v>Hurricane</x:v>
      </x:c>
      <x:c r="D129" s="97" t="str">
        <x:v>Indonesia</x:v>
      </x:c>
      <x:c r="E129" s="98" t="n">
        <x:v>7.9891654996296735</x:v>
      </x:c>
      <x:c r="F129" s="99" t="n">
        <x:v>678.066687335291</x:v>
      </x:c>
      <x:c r="G129" s="100" t="str">
        <x:f>XLOOKUP(D129,'Reference Tables'!$A$4:$A$23,'Reference Tables'!$B$4:$B$23,"Other")</x:f>
        <x:v>Asia Pacific</x:v>
      </x:c>
      <x:c r="H129" s="100" t="str">
        <x:f>VLOOKUP(G129,'Reference Tables'!$I$4:$J$9,2,FALSE)</x:f>
        <x:v>High</x:v>
      </x:c>
      <x:c r="I129" s="101" t="n">
        <x:f>F129*'Inputs &amp; Guide'!$B$4*XLOOKUP(D129,'Reference Tables'!$A$4:$A$23,'Reference Tables'!$C$4:$C$23,0.75)</x:f>
        <x:v>111.74539007285595</x:v>
      </x:c>
      <x:c r="J129" s="102" t="n">
        <x:f>XLOOKUP(C129,'Reference Tables'!$E$4:$E$12,'Reference Tables'!$F$4:$F$12,0.05)</x:f>
        <x:v>0.18</x:v>
      </x:c>
      <x:c r="K129" s="103" t="n">
        <x:f>MIN(I129,F129*J129)</x:f>
        <x:v>111.74539007285595</x:v>
      </x:c>
      <x:c r="L129" s="103" t="n">
        <x:f>'Inputs &amp; Guide'!$B$5</x:f>
        <x:v>15</x:v>
      </x:c>
      <x:c r="M129" s="103" t="n">
        <x:f>I129*'Inputs &amp; Guide'!$B$6</x:f>
        <x:v>61.45996454007078</x:v>
      </x:c>
      <x:c r="N129" s="103" t="n">
        <x:f>MAX(0,MIN(K129-L129,M129))</x:f>
        <x:v>61.45996454007078</x:v>
      </x:c>
      <x:c r="O129" s="103" t="n">
        <x:f>MAX(0,N129-'Inputs &amp; Guide'!$B$7)</x:f>
        <x:v>1.4599645400707786</x:v>
      </x:c>
      <x:c r="P129" s="103" t="n">
        <x:f>N129-O129</x:f>
        <x:v>60</x:v>
      </x:c>
      <x:c r="Q129" s="103" t="n">
        <x:f>I129*'Inputs &amp; Guide'!$B$8</x:f>
        <x:v>2.011417021311407</x:v>
      </x:c>
      <x:c r="R129" s="104" t="n">
        <x:f>IFERROR(P129/Q129,0)</x:f>
        <x:v>29.829716744109632</x:v>
      </x:c>
      <x:c r="S129" s="105" t="n">
        <x:f>ROUND(E129*XLOOKUP(C129,'Reference Tables'!$E$4:$E$12,'Reference Tables'!$G$4:$G$12,1),1)</x:f>
        <x:v>11.2</x:v>
      </x:c>
      <x:c r="T129" s="106" t="str">
        <x:f>IF(R129&gt;='Inputs &amp; Guide'!$B$9,"HIGH",IF(R129&gt;=0.45,"WATCH","NORMAL"))</x:f>
        <x:v>HIGH</x:v>
      </x:c>
    </x:row>
    <x:row r="130">
      <x:c r="A130" s="95" t="n">
        <x:v>1009</x:v>
      </x:c>
      <x:c r="B130" s="96" t="n">
        <x:v>45334</x:v>
      </x:c>
      <x:c r="C130" s="97" t="str">
        <x:v>Tornado</x:v>
      </x:c>
      <x:c r="D130" s="97" t="str">
        <x:v>India</x:v>
      </x:c>
      <x:c r="E130" s="98" t="n">
        <x:v>7.784450985359728</x:v>
      </x:c>
      <x:c r="F130" s="99" t="n">
        <x:v>136.38067610546327</x:v>
      </x:c>
      <x:c r="G130" s="100" t="str">
        <x:f>XLOOKUP(D130,'Reference Tables'!$A$4:$A$23,'Reference Tables'!$B$4:$B$23,"Other")</x:f>
        <x:v>Asia Pacific</x:v>
      </x:c>
      <x:c r="H130" s="100" t="str">
        <x:f>VLOOKUP(G130,'Reference Tables'!$I$4:$J$9,2,FALSE)</x:f>
        <x:v>High</x:v>
      </x:c>
      <x:c r="I130" s="101" t="n">
        <x:f>F130*'Inputs &amp; Guide'!$B$4*XLOOKUP(D130,'Reference Tables'!$A$4:$A$23,'Reference Tables'!$C$4:$C$23,0.75)</x:f>
        <x:v>19.857026440955455</x:v>
      </x:c>
      <x:c r="J130" s="102" t="n">
        <x:f>XLOOKUP(C130,'Reference Tables'!$E$4:$E$12,'Reference Tables'!$F$4:$F$12,0.05)</x:f>
        <x:v>0.09</x:v>
      </x:c>
      <x:c r="K130" s="103" t="n">
        <x:f>MIN(I130,F130*J130)</x:f>
        <x:v>12.274260849491693</x:v>
      </x:c>
      <x:c r="L130" s="103" t="n">
        <x:f>'Inputs &amp; Guide'!$B$5</x:f>
        <x:v>15</x:v>
      </x:c>
      <x:c r="M130" s="103" t="n">
        <x:f>I130*'Inputs &amp; Guide'!$B$6</x:f>
        <x:v>10.9213645425255</x:v>
      </x:c>
      <x:c r="N130" s="103" t="n">
        <x:f>MAX(0,MIN(K130-L130,M130))</x:f>
        <x:v>0</x:v>
      </x:c>
      <x:c r="O130" s="103" t="n">
        <x:f>MAX(0,N130-'Inputs &amp; Guide'!$B$7)</x:f>
        <x:v>0</x:v>
      </x:c>
      <x:c r="P130" s="103" t="n">
        <x:f>N130-O130</x:f>
        <x:v>0</x:v>
      </x:c>
      <x:c r="Q130" s="103" t="n">
        <x:f>I130*'Inputs &amp; Guide'!$B$8</x:f>
        <x:v>0.3574264759371982</x:v>
      </x:c>
      <x:c r="R130" s="104" t="n">
        <x:f>IFERROR(P130/Q130,0)</x:f>
        <x:v>0</x:v>
      </x:c>
      <x:c r="S130" s="105" t="n">
        <x:f>ROUND(E130*XLOOKUP(C130,'Reference Tables'!$E$4:$E$12,'Reference Tables'!$G$4:$G$12,1),1)</x:f>
        <x:v>8.2</x:v>
      </x:c>
      <x:c r="T130" s="106" t="str">
        <x:f>IF(R130&gt;='Inputs &amp; Guide'!$B$9,"HIGH",IF(R130&gt;=0.45,"WATCH","NORMAL"))</x:f>
        <x:v>NORMAL</x:v>
      </x:c>
    </x:row>
    <x:row r="131">
      <x:c r="A131" s="95" t="n">
        <x:v>1017</x:v>
      </x:c>
      <x:c r="B131" s="96" t="n">
        <x:v>45334.104166666664</x:v>
      </x:c>
      <x:c r="C131" s="97" t="str">
        <x:v>Earthquake</x:v>
      </x:c>
      <x:c r="D131" s="97" t="str">
        <x:v>India</x:v>
      </x:c>
      <x:c r="E131" s="98" t="n">
        <x:v>2.5866785119966984</x:v>
      </x:c>
      <x:c r="F131" s="99" t="n">
        <x:v>664.6008088212081</x:v>
      </x:c>
      <x:c r="G131" s="100" t="str">
        <x:f>XLOOKUP(D131,'Reference Tables'!$A$4:$A$23,'Reference Tables'!$B$4:$B$23,"Other")</x:f>
        <x:v>Asia Pacific</x:v>
      </x:c>
      <x:c r="H131" s="100" t="str">
        <x:f>VLOOKUP(G131,'Reference Tables'!$I$4:$J$9,2,FALSE)</x:f>
        <x:v>High</x:v>
      </x:c>
      <x:c r="I131" s="101" t="n">
        <x:f>F131*'Inputs &amp; Guide'!$B$4*XLOOKUP(D131,'Reference Tables'!$A$4:$A$23,'Reference Tables'!$C$4:$C$23,0.75)</x:f>
        <x:v>96.76587776436791</x:v>
      </x:c>
      <x:c r="J131" s="102" t="n">
        <x:f>XLOOKUP(C131,'Reference Tables'!$E$4:$E$12,'Reference Tables'!$F$4:$F$12,0.05)</x:f>
        <x:v>0.14</x:v>
      </x:c>
      <x:c r="K131" s="103" t="n">
        <x:f>MIN(I131,F131*J131)</x:f>
        <x:v>93.04411323496915</x:v>
      </x:c>
      <x:c r="L131" s="103" t="n">
        <x:f>'Inputs &amp; Guide'!$B$5</x:f>
        <x:v>15</x:v>
      </x:c>
      <x:c r="M131" s="103" t="n">
        <x:f>I131*'Inputs &amp; Guide'!$B$6</x:f>
        <x:v>53.22123277040236</x:v>
      </x:c>
      <x:c r="N131" s="103" t="n">
        <x:f>MAX(0,MIN(K131-L131,M131))</x:f>
        <x:v>53.22123277040236</x:v>
      </x:c>
      <x:c r="O131" s="103" t="n">
        <x:f>MAX(0,N131-'Inputs &amp; Guide'!$B$7)</x:f>
        <x:v>0</x:v>
      </x:c>
      <x:c r="P131" s="103" t="n">
        <x:f>N131-O131</x:f>
        <x:v>53.22123277040236</x:v>
      </x:c>
      <x:c r="Q131" s="103" t="n">
        <x:f>I131*'Inputs &amp; Guide'!$B$8</x:f>
        <x:v>1.7417857997586224</x:v>
      </x:c>
      <x:c r="R131" s="104" t="n">
        <x:f>IFERROR(P131/Q131,0)</x:f>
        <x:v>30.55555555555556</x:v>
      </x:c>
      <x:c r="S131" s="105" t="n">
        <x:f>ROUND(E131*XLOOKUP(C131,'Reference Tables'!$E$4:$E$12,'Reference Tables'!$G$4:$G$12,1),1)</x:f>
        <x:v>3.9</x:v>
      </x:c>
      <x:c r="T131" s="106" t="str">
        <x:f>IF(R131&gt;='Inputs &amp; Guide'!$B$9,"HIGH",IF(R131&gt;=0.45,"WATCH","NORMAL"))</x:f>
        <x:v>HIGH</x:v>
      </x:c>
    </x:row>
    <x:row r="132">
      <x:c r="A132" s="95" t="n">
        <x:v>1025</x:v>
      </x:c>
      <x:c r="B132" s="96" t="n">
        <x:v>45334.4375</x:v>
      </x:c>
      <x:c r="C132" s="97" t="str">
        <x:v>Wildfire</x:v>
      </x:c>
      <x:c r="D132" s="97" t="str">
        <x:v>USA</x:v>
      </x:c>
      <x:c r="E132" s="98" t="n">
        <x:v>4.757295551943011</x:v>
      </x:c>
      <x:c r="F132" s="99" t="n">
        <x:v>979.1856472469918</x:v>
      </x:c>
      <x:c r="G132" s="100" t="str">
        <x:f>XLOOKUP(D132,'Reference Tables'!$A$4:$A$23,'Reference Tables'!$B$4:$B$23,"Other")</x:f>
        <x:v>Other</x:v>
      </x:c>
      <x:c r="H132" s="100" t="str">
        <x:f>VLOOKUP(G132,'Reference Tables'!$I$4:$J$9,2,FALSE)</x:f>
        <x:v>Moderate</x:v>
      </x:c>
      <x:c r="I132" s="101" t="n">
        <x:f>F132*'Inputs &amp; Guide'!$B$4*XLOOKUP(D132,'Reference Tables'!$A$4:$A$23,'Reference Tables'!$C$4:$C$23,0.75)</x:f>
        <x:v>117.50227766963903</x:v>
      </x:c>
      <x:c r="J132" s="102" t="n">
        <x:f>XLOOKUP(C132,'Reference Tables'!$E$4:$E$12,'Reference Tables'!$F$4:$F$12,0.05)</x:f>
        <x:v>0.1</x:v>
      </x:c>
      <x:c r="K132" s="103" t="n">
        <x:f>MIN(I132,F132*J132)</x:f>
        <x:v>97.9185647246992</x:v>
      </x:c>
      <x:c r="L132" s="103" t="n">
        <x:f>'Inputs &amp; Guide'!$B$5</x:f>
        <x:v>15</x:v>
      </x:c>
      <x:c r="M132" s="103" t="n">
        <x:f>I132*'Inputs &amp; Guide'!$B$6</x:f>
        <x:v>64.62625271830147</x:v>
      </x:c>
      <x:c r="N132" s="103" t="n">
        <x:f>MAX(0,MIN(K132-L132,M132))</x:f>
        <x:v>64.62625271830147</x:v>
      </x:c>
      <x:c r="O132" s="103" t="n">
        <x:f>MAX(0,N132-'Inputs &amp; Guide'!$B$7)</x:f>
        <x:v>4.6262527183014726</x:v>
      </x:c>
      <x:c r="P132" s="103" t="n">
        <x:f>N132-O132</x:f>
        <x:v>60</x:v>
      </x:c>
      <x:c r="Q132" s="103" t="n">
        <x:f>I132*'Inputs &amp; Guide'!$B$8</x:f>
        <x:v>2.1150409980535025</x:v>
      </x:c>
      <x:c r="R132" s="104" t="n">
        <x:f>IFERROR(P132/Q132,0)</x:f>
        <x:v>28.36824442420677</x:v>
      </x:c>
      <x:c r="S132" s="105" t="n">
        <x:f>ROUND(E132*XLOOKUP(C132,'Reference Tables'!$E$4:$E$12,'Reference Tables'!$G$4:$G$12,1),1)</x:f>
        <x:v>5.5</x:v>
      </x:c>
      <x:c r="T132" s="106" t="str">
        <x:f>IF(R132&gt;='Inputs &amp; Guide'!$B$9,"HIGH",IF(R132&gt;=0.45,"WATCH","NORMAL"))</x:f>
        <x:v>HIGH</x:v>
      </x:c>
    </x:row>
    <x:row r="133">
      <x:c r="A133" s="95" t="n">
        <x:v>1033</x:v>
      </x:c>
      <x:c r="B133" s="96" t="n">
        <x:v>45335</x:v>
      </x:c>
      <x:c r="C133" s="97" t="str">
        <x:v>Earthquake</x:v>
      </x:c>
      <x:c r="D133" s="97" t="str">
        <x:v>USA</x:v>
      </x:c>
      <x:c r="E133" s="98" t="n">
        <x:v>4.588339941728622</x:v>
      </x:c>
      <x:c r="F133" s="99" t="n">
        <x:v>767.0749345869002</x:v>
      </x:c>
      <x:c r="G133" s="100" t="str">
        <x:f>XLOOKUP(D133,'Reference Tables'!$A$4:$A$23,'Reference Tables'!$B$4:$B$23,"Other")</x:f>
        <x:v>Other</x:v>
      </x:c>
      <x:c r="H133" s="100" t="str">
        <x:f>VLOOKUP(G133,'Reference Tables'!$I$4:$J$9,2,FALSE)</x:f>
        <x:v>Moderate</x:v>
      </x:c>
      <x:c r="I133" s="101" t="n">
        <x:f>F133*'Inputs &amp; Guide'!$B$4*XLOOKUP(D133,'Reference Tables'!$A$4:$A$23,'Reference Tables'!$C$4:$C$23,0.75)</x:f>
        <x:v>92.04899215042803</x:v>
      </x:c>
      <x:c r="J133" s="102" t="n">
        <x:f>XLOOKUP(C133,'Reference Tables'!$E$4:$E$12,'Reference Tables'!$F$4:$F$12,0.05)</x:f>
        <x:v>0.14</x:v>
      </x:c>
      <x:c r="K133" s="103" t="n">
        <x:f>MIN(I133,F133*J133)</x:f>
        <x:v>92.04899215042803</x:v>
      </x:c>
      <x:c r="L133" s="103" t="n">
        <x:f>'Inputs &amp; Guide'!$B$5</x:f>
        <x:v>15</x:v>
      </x:c>
      <x:c r="M133" s="103" t="n">
        <x:f>I133*'Inputs &amp; Guide'!$B$6</x:f>
        <x:v>50.626945682735425</x:v>
      </x:c>
      <x:c r="N133" s="103" t="n">
        <x:f>MAX(0,MIN(K133-L133,M133))</x:f>
        <x:v>50.626945682735425</x:v>
      </x:c>
      <x:c r="O133" s="103" t="n">
        <x:f>MAX(0,N133-'Inputs &amp; Guide'!$B$7)</x:f>
        <x:v>0</x:v>
      </x:c>
      <x:c r="P133" s="103" t="n">
        <x:f>N133-O133</x:f>
        <x:v>50.626945682735425</x:v>
      </x:c>
      <x:c r="Q133" s="103" t="n">
        <x:f>I133*'Inputs &amp; Guide'!$B$8</x:f>
        <x:v>1.6568818587077045</x:v>
      </x:c>
      <x:c r="R133" s="104" t="n">
        <x:f>IFERROR(P133/Q133,0)</x:f>
        <x:v>30.55555555555556</x:v>
      </x:c>
      <x:c r="S133" s="105" t="n">
        <x:f>ROUND(E133*XLOOKUP(C133,'Reference Tables'!$E$4:$E$12,'Reference Tables'!$G$4:$G$12,1),1)</x:f>
        <x:v>6.9</x:v>
      </x:c>
      <x:c r="T133" s="106" t="str">
        <x:f>IF(R133&gt;='Inputs &amp; Guide'!$B$9,"HIGH",IF(R133&gt;=0.45,"WATCH","NORMAL"))</x:f>
        <x:v>HIGH</x:v>
      </x:c>
    </x:row>
    <x:row r="134">
      <x:c r="A134" s="95" t="n">
        <x:v>1041</x:v>
      </x:c>
      <x:c r="B134" s="96" t="n">
        <x:v>45335.104166666664</x:v>
      </x:c>
      <x:c r="C134" s="97" t="str">
        <x:v>Earthquake</x:v>
      </x:c>
      <x:c r="D134" s="97" t="str">
        <x:v>India</x:v>
      </x:c>
      <x:c r="E134" s="98" t="n">
        <x:v>3.915966891910225</x:v>
      </x:c>
      <x:c r="F134" s="99" t="n">
        <x:v>139.15159207515367</x:v>
      </x:c>
      <x:c r="G134" s="100" t="str">
        <x:f>XLOOKUP(D134,'Reference Tables'!$A$4:$A$23,'Reference Tables'!$B$4:$B$23,"Other")</x:f>
        <x:v>Asia Pacific</x:v>
      </x:c>
      <x:c r="H134" s="100" t="str">
        <x:f>VLOOKUP(G134,'Reference Tables'!$I$4:$J$9,2,FALSE)</x:f>
        <x:v>High</x:v>
      </x:c>
      <x:c r="I134" s="101" t="n">
        <x:f>F134*'Inputs &amp; Guide'!$B$4*XLOOKUP(D134,'Reference Tables'!$A$4:$A$23,'Reference Tables'!$C$4:$C$23,0.75)</x:f>
        <x:v>20.260471806142377</x:v>
      </x:c>
      <x:c r="J134" s="102" t="n">
        <x:f>XLOOKUP(C134,'Reference Tables'!$E$4:$E$12,'Reference Tables'!$F$4:$F$12,0.05)</x:f>
        <x:v>0.14</x:v>
      </x:c>
      <x:c r="K134" s="103" t="n">
        <x:f>MIN(I134,F134*J134)</x:f>
        <x:v>19.481222890521515</x:v>
      </x:c>
      <x:c r="L134" s="103" t="n">
        <x:f>'Inputs &amp; Guide'!$B$5</x:f>
        <x:v>15</x:v>
      </x:c>
      <x:c r="M134" s="103" t="n">
        <x:f>I134*'Inputs &amp; Guide'!$B$6</x:f>
        <x:v>11.143259493378308</x:v>
      </x:c>
      <x:c r="N134" s="103" t="n">
        <x:f>MAX(0,MIN(K134-L134,M134))</x:f>
        <x:v>4.481222890521515</x:v>
      </x:c>
      <x:c r="O134" s="103" t="n">
        <x:f>MAX(0,N134-'Inputs &amp; Guide'!$B$7)</x:f>
        <x:v>0</x:v>
      </x:c>
      <x:c r="P134" s="103" t="n">
        <x:f>N134-O134</x:f>
        <x:v>4.481222890521515</x:v>
      </x:c>
      <x:c r="Q134" s="103" t="n">
        <x:f>I134*'Inputs &amp; Guide'!$B$8</x:f>
        <x:v>0.36468849251056273</x:v>
      </x:c>
      <x:c r="R134" s="104" t="n">
        <x:f>IFERROR(P134/Q134,0)</x:f>
        <x:v>12.287809959870675</x:v>
      </x:c>
      <x:c r="S134" s="105" t="n">
        <x:f>ROUND(E134*XLOOKUP(C134,'Reference Tables'!$E$4:$E$12,'Reference Tables'!$G$4:$G$12,1),1)</x:f>
        <x:v>5.9</x:v>
      </x:c>
      <x:c r="T134" s="106" t="str">
        <x:f>IF(R134&gt;='Inputs &amp; Guide'!$B$9,"HIGH",IF(R134&gt;=0.45,"WATCH","NORMAL"))</x:f>
        <x:v>HIGH</x:v>
      </x:c>
    </x:row>
    <x:row r="135">
      <x:c r="A135" s="95" t="n">
        <x:v>1049</x:v>
      </x:c>
      <x:c r="B135" s="96" t="n">
        <x:v>45335.4375</x:v>
      </x:c>
      <x:c r="C135" s="97" t="str">
        <x:v>Wildfire</x:v>
      </x:c>
      <x:c r="D135" s="97" t="str">
        <x:v>India</x:v>
      </x:c>
      <x:c r="E135" s="98" t="n">
        <x:v>7.333569094823674</x:v>
      </x:c>
      <x:c r="F135" s="99" t="n">
        <x:v>615.8819377448638</x:v>
      </x:c>
      <x:c r="G135" s="100" t="str">
        <x:f>XLOOKUP(D135,'Reference Tables'!$A$4:$A$23,'Reference Tables'!$B$4:$B$23,"Other")</x:f>
        <x:v>Asia Pacific</x:v>
      </x:c>
      <x:c r="H135" s="100" t="str">
        <x:f>VLOOKUP(G135,'Reference Tables'!$I$4:$J$9,2,FALSE)</x:f>
        <x:v>High</x:v>
      </x:c>
      <x:c r="I135" s="101" t="n">
        <x:f>F135*'Inputs &amp; Guide'!$B$4*XLOOKUP(D135,'Reference Tables'!$A$4:$A$23,'Reference Tables'!$C$4:$C$23,0.75)</x:f>
        <x:v>89.67241013565217</x:v>
      </x:c>
      <x:c r="J135" s="102" t="n">
        <x:f>XLOOKUP(C135,'Reference Tables'!$E$4:$E$12,'Reference Tables'!$F$4:$F$12,0.05)</x:f>
        <x:v>0.1</x:v>
      </x:c>
      <x:c r="K135" s="103" t="n">
        <x:f>MIN(I135,F135*J135)</x:f>
        <x:v>61.58819377448638</x:v>
      </x:c>
      <x:c r="L135" s="103" t="n">
        <x:f>'Inputs &amp; Guide'!$B$5</x:f>
        <x:v>15</x:v>
      </x:c>
      <x:c r="M135" s="103" t="n">
        <x:f>I135*'Inputs &amp; Guide'!$B$6</x:f>
        <x:v>49.3198255746087</x:v>
      </x:c>
      <x:c r="N135" s="103" t="n">
        <x:f>MAX(0,MIN(K135-L135,M135))</x:f>
        <x:v>46.58819377448638</x:v>
      </x:c>
      <x:c r="O135" s="103" t="n">
        <x:f>MAX(0,N135-'Inputs &amp; Guide'!$B$7)</x:f>
        <x:v>0</x:v>
      </x:c>
      <x:c r="P135" s="103" t="n">
        <x:f>N135-O135</x:f>
        <x:v>46.58819377448638</x:v>
      </x:c>
      <x:c r="Q135" s="103" t="n">
        <x:f>I135*'Inputs &amp; Guide'!$B$8</x:f>
        <x:v>1.614103382441739</x:v>
      </x:c>
      <x:c r="R135" s="104" t="n">
        <x:f>IFERROR(P135/Q135,0)</x:f>
        <x:v>28.863203114047113</x:v>
      </x:c>
      <x:c r="S135" s="105" t="n">
        <x:f>ROUND(E135*XLOOKUP(C135,'Reference Tables'!$E$4:$E$12,'Reference Tables'!$G$4:$G$12,1),1)</x:f>
        <x:v>8.4</x:v>
      </x:c>
      <x:c r="T135" s="106" t="str">
        <x:f>IF(R135&gt;='Inputs &amp; Guide'!$B$9,"HIGH",IF(R135&gt;=0.45,"WATCH","NORMAL"))</x:f>
        <x:v>HIGH</x:v>
      </x:c>
    </x:row>
    <x:row r="136">
      <x:c r="A136" s="95" t="n">
        <x:v>1057</x:v>
      </x:c>
      <x:c r="B136" s="96" t="n">
        <x:v>45336</x:v>
      </x:c>
      <x:c r="C136" s="97" t="str">
        <x:v>Tornado</x:v>
      </x:c>
      <x:c r="D136" s="97" t="str">
        <x:v>USA</x:v>
      </x:c>
      <x:c r="E136" s="98" t="n">
        <x:v>5.330365348813794</x:v>
      </x:c>
      <x:c r="F136" s="99" t="n">
        <x:v>82.902977682841</x:v>
      </x:c>
      <x:c r="G136" s="100" t="str">
        <x:f>XLOOKUP(D136,'Reference Tables'!$A$4:$A$23,'Reference Tables'!$B$4:$B$23,"Other")</x:f>
        <x:v>Other</x:v>
      </x:c>
      <x:c r="H136" s="100" t="str">
        <x:f>VLOOKUP(G136,'Reference Tables'!$I$4:$J$9,2,FALSE)</x:f>
        <x:v>Moderate</x:v>
      </x:c>
      <x:c r="I136" s="101" t="n">
        <x:f>F136*'Inputs &amp; Guide'!$B$4*XLOOKUP(D136,'Reference Tables'!$A$4:$A$23,'Reference Tables'!$C$4:$C$23,0.75)</x:f>
        <x:v>9.94835732194092</x:v>
      </x:c>
      <x:c r="J136" s="102" t="n">
        <x:f>XLOOKUP(C136,'Reference Tables'!$E$4:$E$12,'Reference Tables'!$F$4:$F$12,0.05)</x:f>
        <x:v>0.09</x:v>
      </x:c>
      <x:c r="K136" s="103" t="n">
        <x:f>MIN(I136,F136*J136)</x:f>
        <x:v>7.461267991455689</x:v>
      </x:c>
      <x:c r="L136" s="103" t="n">
        <x:f>'Inputs &amp; Guide'!$B$5</x:f>
        <x:v>15</x:v>
      </x:c>
      <x:c r="M136" s="103" t="n">
        <x:f>I136*'Inputs &amp; Guide'!$B$6</x:f>
        <x:v>5.471596527067506</x:v>
      </x:c>
      <x:c r="N136" s="103" t="n">
        <x:f>MAX(0,MIN(K136-L136,M136))</x:f>
        <x:v>0</x:v>
      </x:c>
      <x:c r="O136" s="103" t="n">
        <x:f>MAX(0,N136-'Inputs &amp; Guide'!$B$7)</x:f>
        <x:v>0</x:v>
      </x:c>
      <x:c r="P136" s="103" t="n">
        <x:f>N136-O136</x:f>
        <x:v>0</x:v>
      </x:c>
      <x:c r="Q136" s="103" t="n">
        <x:f>I136*'Inputs &amp; Guide'!$B$8</x:f>
        <x:v>0.17907043179493654</x:v>
      </x:c>
      <x:c r="R136" s="104" t="n">
        <x:f>IFERROR(P136/Q136,0)</x:f>
        <x:v>0</x:v>
      </x:c>
      <x:c r="S136" s="105" t="n">
        <x:f>ROUND(E136*XLOOKUP(C136,'Reference Tables'!$E$4:$E$12,'Reference Tables'!$G$4:$G$12,1),1)</x:f>
        <x:v>5.6</x:v>
      </x:c>
      <x:c r="T136" s="106" t="str">
        <x:f>IF(R136&gt;='Inputs &amp; Guide'!$B$9,"HIGH",IF(R136&gt;=0.45,"WATCH","NORMAL"))</x:f>
        <x:v>NORMAL</x:v>
      </x:c>
    </x:row>
    <x:row r="137">
      <x:c r="A137" s="95" t="n">
        <x:v>1065</x:v>
      </x:c>
      <x:c r="B137" s="96" t="n">
        <x:v>45336.104166666664</x:v>
      </x:c>
      <x:c r="C137" s="97" t="str">
        <x:v>Wildfire</x:v>
      </x:c>
      <x:c r="D137" s="97" t="str">
        <x:v>Japan</x:v>
      </x:c>
      <x:c r="E137" s="98" t="n">
        <x:v>4.566206437169004</x:v>
      </x:c>
      <x:c r="F137" s="99" t="n">
        <x:v>55.42189075377354</x:v>
      </x:c>
      <x:c r="G137" s="100" t="str">
        <x:f>XLOOKUP(D137,'Reference Tables'!$A$4:$A$23,'Reference Tables'!$B$4:$B$23,"Other")</x:f>
        <x:v>Asia Pacific</x:v>
      </x:c>
      <x:c r="H137" s="100" t="str">
        <x:f>VLOOKUP(G137,'Reference Tables'!$I$4:$J$9,2,FALSE)</x:f>
        <x:v>High</x:v>
      </x:c>
      <x:c r="I137" s="101" t="n">
        <x:f>F137*'Inputs &amp; Guide'!$B$4*XLOOKUP(D137,'Reference Tables'!$A$4:$A$23,'Reference Tables'!$C$4:$C$23,0.75)</x:f>
        <x:v>10.463652974312444</x:v>
      </x:c>
      <x:c r="J137" s="102" t="n">
        <x:f>XLOOKUP(C137,'Reference Tables'!$E$4:$E$12,'Reference Tables'!$F$4:$F$12,0.05)</x:f>
        <x:v>0.1</x:v>
      </x:c>
      <x:c r="K137" s="103" t="n">
        <x:f>MIN(I137,F137*J137)</x:f>
        <x:v>5.542189075377355</x:v>
      </x:c>
      <x:c r="L137" s="103" t="n">
        <x:f>'Inputs &amp; Guide'!$B$5</x:f>
        <x:v>15</x:v>
      </x:c>
      <x:c r="M137" s="103" t="n">
        <x:f>I137*'Inputs &amp; Guide'!$B$6</x:f>
        <x:v>5.755009135871845</x:v>
      </x:c>
      <x:c r="N137" s="103" t="n">
        <x:f>MAX(0,MIN(K137-L137,M137))</x:f>
        <x:v>0</x:v>
      </x:c>
      <x:c r="O137" s="103" t="n">
        <x:f>MAX(0,N137-'Inputs &amp; Guide'!$B$7)</x:f>
        <x:v>0</x:v>
      </x:c>
      <x:c r="P137" s="103" t="n">
        <x:f>N137-O137</x:f>
        <x:v>0</x:v>
      </x:c>
      <x:c r="Q137" s="103" t="n">
        <x:f>I137*'Inputs &amp; Guide'!$B$8</x:f>
        <x:v>0.18834575353762398</x:v>
      </x:c>
      <x:c r="R137" s="104" t="n">
        <x:f>IFERROR(P137/Q137,0)</x:f>
        <x:v>0</x:v>
      </x:c>
      <x:c r="S137" s="105" t="n">
        <x:f>ROUND(E137*XLOOKUP(C137,'Reference Tables'!$E$4:$E$12,'Reference Tables'!$G$4:$G$12,1),1)</x:f>
        <x:v>5.3</x:v>
      </x:c>
      <x:c r="T137" s="106" t="str">
        <x:f>IF(R137&gt;='Inputs &amp; Guide'!$B$9,"HIGH",IF(R137&gt;=0.45,"WATCH","NORMAL"))</x:f>
        <x:v>NORMAL</x:v>
      </x:c>
    </x:row>
    <x:row r="138">
      <x:c r="A138" s="95" t="n">
        <x:v>1073</x:v>
      </x:c>
      <x:c r="B138" s="96" t="n">
        <x:v>45336.4375</x:v>
      </x:c>
      <x:c r="C138" s="97" t="str">
        <x:v>Flood</x:v>
      </x:c>
      <x:c r="D138" s="97" t="str">
        <x:v>Indonesia</x:v>
      </x:c>
      <x:c r="E138" s="98" t="n">
        <x:v>7.188254891850563</x:v>
      </x:c>
      <x:c r="F138" s="99" t="n">
        <x:v>326.5738472426884</x:v>
      </x:c>
      <x:c r="G138" s="100" t="str">
        <x:f>XLOOKUP(D138,'Reference Tables'!$A$4:$A$23,'Reference Tables'!$B$4:$B$23,"Other")</x:f>
        <x:v>Asia Pacific</x:v>
      </x:c>
      <x:c r="H138" s="100" t="str">
        <x:f>VLOOKUP(G138,'Reference Tables'!$I$4:$J$9,2,FALSE)</x:f>
        <x:v>High</x:v>
      </x:c>
      <x:c r="I138" s="101" t="n">
        <x:f>F138*'Inputs &amp; Guide'!$B$4*XLOOKUP(D138,'Reference Tables'!$A$4:$A$23,'Reference Tables'!$C$4:$C$23,0.75)</x:f>
        <x:v>53.81937002559504</x:v>
      </x:c>
      <x:c r="J138" s="102" t="n">
        <x:f>XLOOKUP(C138,'Reference Tables'!$E$4:$E$12,'Reference Tables'!$F$4:$F$12,0.05)</x:f>
        <x:v>0.12</x:v>
      </x:c>
      <x:c r="K138" s="103" t="n">
        <x:f>MIN(I138,F138*J138)</x:f>
        <x:v>39.1888616691226</x:v>
      </x:c>
      <x:c r="L138" s="103" t="n">
        <x:f>'Inputs &amp; Guide'!$B$5</x:f>
        <x:v>15</x:v>
      </x:c>
      <x:c r="M138" s="103" t="n">
        <x:f>I138*'Inputs &amp; Guide'!$B$6</x:f>
        <x:v>29.600653514077276</x:v>
      </x:c>
      <x:c r="N138" s="103" t="n">
        <x:f>MAX(0,MIN(K138-L138,M138))</x:f>
        <x:v>24.188861669122602</x:v>
      </x:c>
      <x:c r="O138" s="103" t="n">
        <x:f>MAX(0,N138-'Inputs &amp; Guide'!$B$7)</x:f>
        <x:v>0</x:v>
      </x:c>
      <x:c r="P138" s="103" t="n">
        <x:f>N138-O138</x:f>
        <x:v>24.188861669122602</x:v>
      </x:c>
      <x:c r="Q138" s="103" t="n">
        <x:f>I138*'Inputs &amp; Guide'!$B$8</x:f>
        <x:v>0.9687486604607107</x:v>
      </x:c>
      <x:c r="R138" s="104" t="n">
        <x:f>IFERROR(P138/Q138,0)</x:f>
        <x:v>24.969182055559212</x:v>
      </x:c>
      <x:c r="S138" s="105" t="n">
        <x:f>ROUND(E138*XLOOKUP(C138,'Reference Tables'!$E$4:$E$12,'Reference Tables'!$G$4:$G$12,1),1)</x:f>
        <x:v>9</x:v>
      </x:c>
      <x:c r="T138" s="106" t="str">
        <x:f>IF(R138&gt;='Inputs &amp; Guide'!$B$9,"HIGH",IF(R138&gt;=0.45,"WATCH","NORMAL"))</x:f>
        <x:v>HIGH</x:v>
      </x:c>
    </x:row>
    <x:row r="139">
      <x:c r="A139" s="95" t="n">
        <x:v>1081</x:v>
      </x:c>
      <x:c r="B139" s="96" t="n">
        <x:v>45337</x:v>
      </x:c>
      <x:c r="C139" s="97" t="str">
        <x:v>Hurricane</x:v>
      </x:c>
      <x:c r="D139" s="97" t="str">
        <x:v>Brazil</x:v>
      </x:c>
      <x:c r="E139" s="98" t="n">
        <x:v>3.553247163492588</x:v>
      </x:c>
      <x:c r="F139" s="99" t="n">
        <x:v>696.1332737390507</x:v>
      </x:c>
      <x:c r="G139" s="100" t="str">
        <x:f>XLOOKUP(D139,'Reference Tables'!$A$4:$A$23,'Reference Tables'!$B$4:$B$23,"Other")</x:f>
        <x:v>Latin America</x:v>
      </x:c>
      <x:c r="H139" s="100" t="str">
        <x:f>VLOOKUP(G139,'Reference Tables'!$I$4:$J$9,2,FALSE)</x:f>
        <x:v>Moderate</x:v>
      </x:c>
      <x:c r="I139" s="101" t="n">
        <x:f>F139*'Inputs &amp; Guide'!$B$4*XLOOKUP(D139,'Reference Tables'!$A$4:$A$23,'Reference Tables'!$C$4:$C$23,0.75)</x:f>
        <x:v>91.33268551456344</x:v>
      </x:c>
      <x:c r="J139" s="102" t="n">
        <x:f>XLOOKUP(C139,'Reference Tables'!$E$4:$E$12,'Reference Tables'!$F$4:$F$12,0.05)</x:f>
        <x:v>0.18</x:v>
      </x:c>
      <x:c r="K139" s="103" t="n">
        <x:f>MIN(I139,F139*J139)</x:f>
        <x:v>91.33268551456344</x:v>
      </x:c>
      <x:c r="L139" s="103" t="n">
        <x:f>'Inputs &amp; Guide'!$B$5</x:f>
        <x:v>15</x:v>
      </x:c>
      <x:c r="M139" s="103" t="n">
        <x:f>I139*'Inputs &amp; Guide'!$B$6</x:f>
        <x:v>50.232977033009895</x:v>
      </x:c>
      <x:c r="N139" s="103" t="n">
        <x:f>MAX(0,MIN(K139-L139,M139))</x:f>
        <x:v>50.232977033009895</x:v>
      </x:c>
      <x:c r="O139" s="103" t="n">
        <x:f>MAX(0,N139-'Inputs &amp; Guide'!$B$7)</x:f>
        <x:v>0</x:v>
      </x:c>
      <x:c r="P139" s="103" t="n">
        <x:f>N139-O139</x:f>
        <x:v>50.232977033009895</x:v>
      </x:c>
      <x:c r="Q139" s="103" t="n">
        <x:f>I139*'Inputs &amp; Guide'!$B$8</x:f>
        <x:v>1.6439883392621417</x:v>
      </x:c>
      <x:c r="R139" s="104" t="n">
        <x:f>IFERROR(P139/Q139,0)</x:f>
        <x:v>30.55555555555556</x:v>
      </x:c>
      <x:c r="S139" s="105" t="n">
        <x:f>ROUND(E139*XLOOKUP(C139,'Reference Tables'!$E$4:$E$12,'Reference Tables'!$G$4:$G$12,1),1)</x:f>
        <x:v>5</x:v>
      </x:c>
      <x:c r="T139" s="106" t="str">
        <x:f>IF(R139&gt;='Inputs &amp; Guide'!$B$9,"HIGH",IF(R139&gt;=0.45,"WATCH","NORMAL"))</x:f>
        <x:v>HIGH</x:v>
      </x:c>
    </x:row>
    <x:row r="140">
      <x:c r="A140" s="95" t="n">
        <x:v>1089</x:v>
      </x:c>
      <x:c r="B140" s="96" t="n">
        <x:v>45337.104166666664</x:v>
      </x:c>
      <x:c r="C140" s="97" t="str">
        <x:v>Tornado</x:v>
      </x:c>
      <x:c r="D140" s="97" t="str">
        <x:v>India</x:v>
      </x:c>
      <x:c r="E140" s="98" t="n">
        <x:v>8.483194536612455</x:v>
      </x:c>
      <x:c r="F140" s="99" t="n">
        <x:v>536.3083732206021</x:v>
      </x:c>
      <x:c r="G140" s="100" t="str">
        <x:f>XLOOKUP(D140,'Reference Tables'!$A$4:$A$23,'Reference Tables'!$B$4:$B$23,"Other")</x:f>
        <x:v>Asia Pacific</x:v>
      </x:c>
      <x:c r="H140" s="100" t="str">
        <x:f>VLOOKUP(G140,'Reference Tables'!$I$4:$J$9,2,FALSE)</x:f>
        <x:v>High</x:v>
      </x:c>
      <x:c r="I140" s="101" t="n">
        <x:f>F140*'Inputs &amp; Guide'!$B$4*XLOOKUP(D140,'Reference Tables'!$A$4:$A$23,'Reference Tables'!$C$4:$C$23,0.75)</x:f>
        <x:v>78.08649914091967</x:v>
      </x:c>
      <x:c r="J140" s="102" t="n">
        <x:f>XLOOKUP(C140,'Reference Tables'!$E$4:$E$12,'Reference Tables'!$F$4:$F$12,0.05)</x:f>
        <x:v>0.09</x:v>
      </x:c>
      <x:c r="K140" s="103" t="n">
        <x:f>MIN(I140,F140*J140)</x:f>
        <x:v>48.26775358985419</x:v>
      </x:c>
      <x:c r="L140" s="103" t="n">
        <x:f>'Inputs &amp; Guide'!$B$5</x:f>
        <x:v>15</x:v>
      </x:c>
      <x:c r="M140" s="103" t="n">
        <x:f>I140*'Inputs &amp; Guide'!$B$6</x:f>
        <x:v>42.94757452750582</x:v>
      </x:c>
      <x:c r="N140" s="103" t="n">
        <x:f>MAX(0,MIN(K140-L140,M140))</x:f>
        <x:v>33.26775358985419</x:v>
      </x:c>
      <x:c r="O140" s="103" t="n">
        <x:f>MAX(0,N140-'Inputs &amp; Guide'!$B$7)</x:f>
        <x:v>0</x:v>
      </x:c>
      <x:c r="P140" s="103" t="n">
        <x:f>N140-O140</x:f>
        <x:v>33.26775358985419</x:v>
      </x:c>
      <x:c r="Q140" s="103" t="n">
        <x:f>I140*'Inputs &amp; Guide'!$B$8</x:f>
        <x:v>1.4055569845365539</x:v>
      </x:c>
      <x:c r="R140" s="104" t="n">
        <x:f>IFERROR(P140/Q140,0)</x:f>
        <x:v>23.668733431553733</x:v>
      </x:c>
      <x:c r="S140" s="105" t="n">
        <x:f>ROUND(E140*XLOOKUP(C140,'Reference Tables'!$E$4:$E$12,'Reference Tables'!$G$4:$G$12,1),1)</x:f>
        <x:v>8.9</x:v>
      </x:c>
      <x:c r="T140" s="106" t="str">
        <x:f>IF(R140&gt;='Inputs &amp; Guide'!$B$9,"HIGH",IF(R140&gt;=0.45,"WATCH","NORMAL"))</x:f>
        <x:v>HIGH</x:v>
      </x:c>
    </x:row>
    <x:row r="141">
      <x:c r="A141" s="95" t="n">
        <x:v>1097</x:v>
      </x:c>
      <x:c r="B141" s="96" t="n">
        <x:v>45337.4375</x:v>
      </x:c>
      <x:c r="C141" s="97" t="str">
        <x:v>Earthquake</x:v>
      </x:c>
      <x:c r="D141" s="97" t="str">
        <x:v>Brazil</x:v>
      </x:c>
      <x:c r="E141" s="98" t="n">
        <x:v>9.306754641653377</x:v>
      </x:c>
      <x:c r="F141" s="99" t="n">
        <x:v>286.7702178756288</x:v>
      </x:c>
      <x:c r="G141" s="100" t="str">
        <x:f>XLOOKUP(D141,'Reference Tables'!$A$4:$A$23,'Reference Tables'!$B$4:$B$23,"Other")</x:f>
        <x:v>Latin America</x:v>
      </x:c>
      <x:c r="H141" s="100" t="str">
        <x:f>VLOOKUP(G141,'Reference Tables'!$I$4:$J$9,2,FALSE)</x:f>
        <x:v>Moderate</x:v>
      </x:c>
      <x:c r="I141" s="101" t="n">
        <x:f>F141*'Inputs &amp; Guide'!$B$4*XLOOKUP(D141,'Reference Tables'!$A$4:$A$23,'Reference Tables'!$C$4:$C$23,0.75)</x:f>
        <x:v>37.6242525852825</x:v>
      </x:c>
      <x:c r="J141" s="102" t="n">
        <x:f>XLOOKUP(C141,'Reference Tables'!$E$4:$E$12,'Reference Tables'!$F$4:$F$12,0.05)</x:f>
        <x:v>0.14</x:v>
      </x:c>
      <x:c r="K141" s="103" t="n">
        <x:f>MIN(I141,F141*J141)</x:f>
        <x:v>37.6242525852825</x:v>
      </x:c>
      <x:c r="L141" s="103" t="n">
        <x:f>'Inputs &amp; Guide'!$B$5</x:f>
        <x:v>15</x:v>
      </x:c>
      <x:c r="M141" s="103" t="n">
        <x:f>I141*'Inputs &amp; Guide'!$B$6</x:f>
        <x:v>20.693338921905376</x:v>
      </x:c>
      <x:c r="N141" s="103" t="n">
        <x:f>MAX(0,MIN(K141-L141,M141))</x:f>
        <x:v>20.693338921905376</x:v>
      </x:c>
      <x:c r="O141" s="103" t="n">
        <x:f>MAX(0,N141-'Inputs &amp; Guide'!$B$7)</x:f>
        <x:v>0</x:v>
      </x:c>
      <x:c r="P141" s="103" t="n">
        <x:f>N141-O141</x:f>
        <x:v>20.693338921905376</x:v>
      </x:c>
      <x:c r="Q141" s="103" t="n">
        <x:f>I141*'Inputs &amp; Guide'!$B$8</x:f>
        <x:v>0.6772365465350849</x:v>
      </x:c>
      <x:c r="R141" s="104" t="n">
        <x:f>IFERROR(P141/Q141,0)</x:f>
        <x:v>30.55555555555556</x:v>
      </x:c>
      <x:c r="S141" s="105" t="n">
        <x:f>ROUND(E141*XLOOKUP(C141,'Reference Tables'!$E$4:$E$12,'Reference Tables'!$G$4:$G$12,1),1)</x:f>
        <x:v>14</x:v>
      </x:c>
      <x:c r="T141" s="106" t="str">
        <x:f>IF(R141&gt;='Inputs &amp; Guide'!$B$9,"HIGH",IF(R141&gt;=0.45,"WATCH","NORMAL"))</x:f>
        <x:v>HIGH</x:v>
      </x:c>
    </x:row>
    <x:row r="142">
      <x:c r="A142" s="95" t="n">
        <x:v>1105</x:v>
      </x:c>
      <x:c r="B142" s="96" t="n">
        <x:v>45338</x:v>
      </x:c>
      <x:c r="C142" s="97" t="str">
        <x:v>Wildfire</x:v>
      </x:c>
      <x:c r="D142" s="97" t="str">
        <x:v>India</x:v>
      </x:c>
      <x:c r="E142" s="98" t="n">
        <x:v>8.510292743475876</x:v>
      </x:c>
      <x:c r="F142" s="99" t="n">
        <x:v>84.33434494124235</x:v>
      </x:c>
      <x:c r="G142" s="100" t="str">
        <x:f>XLOOKUP(D142,'Reference Tables'!$A$4:$A$23,'Reference Tables'!$B$4:$B$23,"Other")</x:f>
        <x:v>Asia Pacific</x:v>
      </x:c>
      <x:c r="H142" s="100" t="str">
        <x:f>VLOOKUP(G142,'Reference Tables'!$I$4:$J$9,2,FALSE)</x:f>
        <x:v>High</x:v>
      </x:c>
      <x:c r="I142" s="101" t="n">
        <x:f>F142*'Inputs &amp; Guide'!$B$4*XLOOKUP(D142,'Reference Tables'!$A$4:$A$23,'Reference Tables'!$C$4:$C$23,0.75)</x:f>
        <x:v>12.279080623444887</x:v>
      </x:c>
      <x:c r="J142" s="102" t="n">
        <x:f>XLOOKUP(C142,'Reference Tables'!$E$4:$E$12,'Reference Tables'!$F$4:$F$12,0.05)</x:f>
        <x:v>0.1</x:v>
      </x:c>
      <x:c r="K142" s="103" t="n">
        <x:f>MIN(I142,F142*J142)</x:f>
        <x:v>8.433434494124235</x:v>
      </x:c>
      <x:c r="L142" s="103" t="n">
        <x:f>'Inputs &amp; Guide'!$B$5</x:f>
        <x:v>15</x:v>
      </x:c>
      <x:c r="M142" s="103" t="n">
        <x:f>I142*'Inputs &amp; Guide'!$B$6</x:f>
        <x:v>6.7534943428946885</x:v>
      </x:c>
      <x:c r="N142" s="103" t="n">
        <x:f>MAX(0,MIN(K142-L142,M142))</x:f>
        <x:v>0</x:v>
      </x:c>
      <x:c r="O142" s="103" t="n">
        <x:f>MAX(0,N142-'Inputs &amp; Guide'!$B$7)</x:f>
        <x:v>0</x:v>
      </x:c>
      <x:c r="P142" s="103" t="n">
        <x:f>N142-O142</x:f>
        <x:v>0</x:v>
      </x:c>
      <x:c r="Q142" s="103" t="n">
        <x:f>I142*'Inputs &amp; Guide'!$B$8</x:f>
        <x:v>0.22102345122200795</x:v>
      </x:c>
      <x:c r="R142" s="104" t="n">
        <x:f>IFERROR(P142/Q142,0)</x:f>
        <x:v>0</x:v>
      </x:c>
      <x:c r="S142" s="105" t="n">
        <x:f>ROUND(E142*XLOOKUP(C142,'Reference Tables'!$E$4:$E$12,'Reference Tables'!$G$4:$G$12,1),1)</x:f>
        <x:v>9.8</x:v>
      </x:c>
      <x:c r="T142" s="106" t="str">
        <x:f>IF(R142&gt;='Inputs &amp; Guide'!$B$9,"HIGH",IF(R142&gt;=0.45,"WATCH","NORMAL"))</x:f>
        <x:v>NORMAL</x:v>
      </x:c>
    </x:row>
    <x:row r="143">
      <x:c r="A143" s="95" t="n">
        <x:v>1113</x:v>
      </x:c>
      <x:c r="B143" s="96" t="n">
        <x:v>45338.104166666664</x:v>
      </x:c>
      <x:c r="C143" s="97" t="str">
        <x:v>Flood</x:v>
      </x:c>
      <x:c r="D143" s="97" t="str">
        <x:v>USA</x:v>
      </x:c>
      <x:c r="E143" s="98" t="n">
        <x:v>6.328730386890605</x:v>
      </x:c>
      <x:c r="F143" s="99" t="n">
        <x:v>268.1045665964555</x:v>
      </x:c>
      <x:c r="G143" s="100" t="str">
        <x:f>XLOOKUP(D143,'Reference Tables'!$A$4:$A$23,'Reference Tables'!$B$4:$B$23,"Other")</x:f>
        <x:v>Other</x:v>
      </x:c>
      <x:c r="H143" s="100" t="str">
        <x:f>VLOOKUP(G143,'Reference Tables'!$I$4:$J$9,2,FALSE)</x:f>
        <x:v>Moderate</x:v>
      </x:c>
      <x:c r="I143" s="101" t="n">
        <x:f>F143*'Inputs &amp; Guide'!$B$4*XLOOKUP(D143,'Reference Tables'!$A$4:$A$23,'Reference Tables'!$C$4:$C$23,0.75)</x:f>
        <x:v>32.17254799157466</x:v>
      </x:c>
      <x:c r="J143" s="102" t="n">
        <x:f>XLOOKUP(C143,'Reference Tables'!$E$4:$E$12,'Reference Tables'!$F$4:$F$12,0.05)</x:f>
        <x:v>0.12</x:v>
      </x:c>
      <x:c r="K143" s="103" t="n">
        <x:f>MIN(I143,F143*J143)</x:f>
        <x:v>32.17254799157466</x:v>
      </x:c>
      <x:c r="L143" s="103" t="n">
        <x:f>'Inputs &amp; Guide'!$B$5</x:f>
        <x:v>15</x:v>
      </x:c>
      <x:c r="M143" s="103" t="n">
        <x:f>I143*'Inputs &amp; Guide'!$B$6</x:f>
        <x:v>17.694901395366063</x:v>
      </x:c>
      <x:c r="N143" s="103" t="n">
        <x:f>MAX(0,MIN(K143-L143,M143))</x:f>
        <x:v>17.17254799157466</x:v>
      </x:c>
      <x:c r="O143" s="103" t="n">
        <x:f>MAX(0,N143-'Inputs &amp; Guide'!$B$7)</x:f>
        <x:v>0</x:v>
      </x:c>
      <x:c r="P143" s="103" t="n">
        <x:f>N143-O143</x:f>
        <x:v>17.17254799157466</x:v>
      </x:c>
      <x:c r="Q143" s="103" t="n">
        <x:f>I143*'Inputs &amp; Guide'!$B$8</x:f>
        <x:v>0.5791058638483438</x:v>
      </x:c>
      <x:c r="R143" s="104" t="n">
        <x:f>IFERROR(P143/Q143,0)</x:f>
        <x:v>29.653555703023937</x:v>
      </x:c>
      <x:c r="S143" s="105" t="n">
        <x:f>ROUND(E143*XLOOKUP(C143,'Reference Tables'!$E$4:$E$12,'Reference Tables'!$G$4:$G$12,1),1)</x:f>
        <x:v>7.9</x:v>
      </x:c>
      <x:c r="T143" s="106" t="str">
        <x:f>IF(R143&gt;='Inputs &amp; Guide'!$B$9,"HIGH",IF(R143&gt;=0.45,"WATCH","NORMAL"))</x:f>
        <x:v>HIGH</x:v>
      </x:c>
    </x:row>
    <x:row r="144">
      <x:c r="A144" s="95" t="n">
        <x:v>1121</x:v>
      </x:c>
      <x:c r="B144" s="96" t="n">
        <x:v>45338.4375</x:v>
      </x:c>
      <x:c r="C144" s="97" t="str">
        <x:v>Earthquake</x:v>
      </x:c>
      <x:c r="D144" s="97" t="str">
        <x:v>China</x:v>
      </x:c>
      <x:c r="E144" s="98" t="n">
        <x:v>9.06384641281509</x:v>
      </x:c>
      <x:c r="F144" s="99" t="n">
        <x:v>643.8576060356912</x:v>
      </x:c>
      <x:c r="G144" s="100" t="str">
        <x:f>XLOOKUP(D144,'Reference Tables'!$A$4:$A$23,'Reference Tables'!$B$4:$B$23,"Other")</x:f>
        <x:v>Asia Pacific</x:v>
      </x:c>
      <x:c r="H144" s="100" t="str">
        <x:f>VLOOKUP(G144,'Reference Tables'!$I$4:$J$9,2,FALSE)</x:f>
        <x:v>High</x:v>
      </x:c>
      <x:c r="I144" s="101" t="n">
        <x:f>F144*'Inputs &amp; Guide'!$B$4*XLOOKUP(D144,'Reference Tables'!$A$4:$A$23,'Reference Tables'!$C$4:$C$23,0.75)</x:f>
        <x:v>111.25859432296745</x:v>
      </x:c>
      <x:c r="J144" s="102" t="n">
        <x:f>XLOOKUP(C144,'Reference Tables'!$E$4:$E$12,'Reference Tables'!$F$4:$F$12,0.05)</x:f>
        <x:v>0.14</x:v>
      </x:c>
      <x:c r="K144" s="103" t="n">
        <x:f>MIN(I144,F144*J144)</x:f>
        <x:v>90.14006484499679</x:v>
      </x:c>
      <x:c r="L144" s="103" t="n">
        <x:f>'Inputs &amp; Guide'!$B$5</x:f>
        <x:v>15</x:v>
      </x:c>
      <x:c r="M144" s="103" t="n">
        <x:f>I144*'Inputs &amp; Guide'!$B$6</x:f>
        <x:v>61.1922268776321</x:v>
      </x:c>
      <x:c r="N144" s="103" t="n">
        <x:f>MAX(0,MIN(K144-L144,M144))</x:f>
        <x:v>61.1922268776321</x:v>
      </x:c>
      <x:c r="O144" s="103" t="n">
        <x:f>MAX(0,N144-'Inputs &amp; Guide'!$B$7)</x:f>
        <x:v>1.192226877632102</x:v>
      </x:c>
      <x:c r="P144" s="103" t="n">
        <x:f>N144-O144</x:f>
        <x:v>60</x:v>
      </x:c>
      <x:c r="Q144" s="103" t="n">
        <x:f>I144*'Inputs &amp; Guide'!$B$8</x:f>
        <x:v>2.002654697813414</x:v>
      </x:c>
      <x:c r="R144" s="104" t="n">
        <x:f>IFERROR(P144/Q144,0)</x:f>
        <x:v>29.9602323183875</x:v>
      </x:c>
      <x:c r="S144" s="105" t="n">
        <x:f>ROUND(E144*XLOOKUP(C144,'Reference Tables'!$E$4:$E$12,'Reference Tables'!$G$4:$G$12,1),1)</x:f>
        <x:v>13.6</x:v>
      </x:c>
      <x:c r="T144" s="106" t="str">
        <x:f>IF(R144&gt;='Inputs &amp; Guide'!$B$9,"HIGH",IF(R144&gt;=0.45,"WATCH","NORMAL"))</x:f>
        <x:v>HIGH</x:v>
      </x:c>
    </x:row>
    <x:row r="145">
      <x:c r="A145" s="95" t="n">
        <x:v>1129</x:v>
      </x:c>
      <x:c r="B145" s="96" t="n">
        <x:v>45339</x:v>
      </x:c>
      <x:c r="C145" s="97" t="str">
        <x:v>Hurricane</x:v>
      </x:c>
      <x:c r="D145" s="97" t="str">
        <x:v>China</x:v>
      </x:c>
      <x:c r="E145" s="98" t="n">
        <x:v>2.534289600320662</x:v>
      </x:c>
      <x:c r="F145" s="99" t="n">
        <x:v>287.8125143450147</x:v>
      </x:c>
      <x:c r="G145" s="100" t="str">
        <x:f>XLOOKUP(D145,'Reference Tables'!$A$4:$A$23,'Reference Tables'!$B$4:$B$23,"Other")</x:f>
        <x:v>Asia Pacific</x:v>
      </x:c>
      <x:c r="H145" s="100" t="str">
        <x:f>VLOOKUP(G145,'Reference Tables'!$I$4:$J$9,2,FALSE)</x:f>
        <x:v>High</x:v>
      </x:c>
      <x:c r="I145" s="101" t="n">
        <x:f>F145*'Inputs &amp; Guide'!$B$4*XLOOKUP(D145,'Reference Tables'!$A$4:$A$23,'Reference Tables'!$C$4:$C$23,0.75)</x:f>
        <x:v>49.73400247881854</x:v>
      </x:c>
      <x:c r="J145" s="102" t="n">
        <x:f>XLOOKUP(C145,'Reference Tables'!$E$4:$E$12,'Reference Tables'!$F$4:$F$12,0.05)</x:f>
        <x:v>0.18</x:v>
      </x:c>
      <x:c r="K145" s="103" t="n">
        <x:f>MIN(I145,F145*J145)</x:f>
        <x:v>49.73400247881854</x:v>
      </x:c>
      <x:c r="L145" s="103" t="n">
        <x:f>'Inputs &amp; Guide'!$B$5</x:f>
        <x:v>15</x:v>
      </x:c>
      <x:c r="M145" s="103" t="n">
        <x:f>I145*'Inputs &amp; Guide'!$B$6</x:f>
        <x:v>27.353701363350197</x:v>
      </x:c>
      <x:c r="N145" s="103" t="n">
        <x:f>MAX(0,MIN(K145-L145,M145))</x:f>
        <x:v>27.353701363350197</x:v>
      </x:c>
      <x:c r="O145" s="103" t="n">
        <x:f>MAX(0,N145-'Inputs &amp; Guide'!$B$7)</x:f>
        <x:v>0</x:v>
      </x:c>
      <x:c r="P145" s="103" t="n">
        <x:f>N145-O145</x:f>
        <x:v>27.353701363350197</x:v>
      </x:c>
      <x:c r="Q145" s="103" t="n">
        <x:f>I145*'Inputs &amp; Guide'!$B$8</x:f>
        <x:v>0.8952120446187336</x:v>
      </x:c>
      <x:c r="R145" s="104" t="n">
        <x:f>IFERROR(P145/Q145,0)</x:f>
        <x:v>30.55555555555556</x:v>
      </x:c>
      <x:c r="S145" s="105" t="n">
        <x:f>ROUND(E145*XLOOKUP(C145,'Reference Tables'!$E$4:$E$12,'Reference Tables'!$G$4:$G$12,1),1)</x:f>
        <x:v>3.5</x:v>
      </x:c>
      <x:c r="T145" s="106" t="str">
        <x:f>IF(R145&gt;='Inputs &amp; Guide'!$B$9,"HIGH",IF(R145&gt;=0.45,"WATCH","NORMAL"))</x:f>
        <x:v>HIGH</x:v>
      </x:c>
    </x:row>
    <x:row r="146">
      <x:c r="A146" s="95" t="n">
        <x:v>1137</x:v>
      </x:c>
      <x:c r="B146" s="96" t="n">
        <x:v>45339.104166666664</x:v>
      </x:c>
      <x:c r="C146" s="97" t="str">
        <x:v>Earthquake</x:v>
      </x:c>
      <x:c r="D146" s="97" t="str">
        <x:v>USA</x:v>
      </x:c>
      <x:c r="E146" s="98" t="n">
        <x:v>3.1187984906216313</x:v>
      </x:c>
      <x:c r="F146" s="99" t="n">
        <x:v>846.5828287616434</x:v>
      </x:c>
      <x:c r="G146" s="100" t="str">
        <x:f>XLOOKUP(D146,'Reference Tables'!$A$4:$A$23,'Reference Tables'!$B$4:$B$23,"Other")</x:f>
        <x:v>Other</x:v>
      </x:c>
      <x:c r="H146" s="100" t="str">
        <x:f>VLOOKUP(G146,'Reference Tables'!$I$4:$J$9,2,FALSE)</x:f>
        <x:v>Moderate</x:v>
      </x:c>
      <x:c r="I146" s="101" t="n">
        <x:f>F146*'Inputs &amp; Guide'!$B$4*XLOOKUP(D146,'Reference Tables'!$A$4:$A$23,'Reference Tables'!$C$4:$C$23,0.75)</x:f>
        <x:v>101.58993945139721</x:v>
      </x:c>
      <x:c r="J146" s="102" t="n">
        <x:f>XLOOKUP(C146,'Reference Tables'!$E$4:$E$12,'Reference Tables'!$F$4:$F$12,0.05)</x:f>
        <x:v>0.14</x:v>
      </x:c>
      <x:c r="K146" s="103" t="n">
        <x:f>MIN(I146,F146*J146)</x:f>
        <x:v>101.58993945139721</x:v>
      </x:c>
      <x:c r="L146" s="103" t="n">
        <x:f>'Inputs &amp; Guide'!$B$5</x:f>
        <x:v>15</x:v>
      </x:c>
      <x:c r="M146" s="103" t="n">
        <x:f>I146*'Inputs &amp; Guide'!$B$6</x:f>
        <x:v>55.87446669826847</x:v>
      </x:c>
      <x:c r="N146" s="103" t="n">
        <x:f>MAX(0,MIN(K146-L146,M146))</x:f>
        <x:v>55.87446669826847</x:v>
      </x:c>
      <x:c r="O146" s="103" t="n">
        <x:f>MAX(0,N146-'Inputs &amp; Guide'!$B$7)</x:f>
        <x:v>0</x:v>
      </x:c>
      <x:c r="P146" s="103" t="n">
        <x:f>N146-O146</x:f>
        <x:v>55.87446669826847</x:v>
      </x:c>
      <x:c r="Q146" s="103" t="n">
        <x:f>I146*'Inputs &amp; Guide'!$B$8</x:f>
        <x:v>1.8286189101251498</x:v>
      </x:c>
      <x:c r="R146" s="104" t="n">
        <x:f>IFERROR(P146/Q146,0)</x:f>
        <x:v>30.555555555555557</x:v>
      </x:c>
      <x:c r="S146" s="105" t="n">
        <x:f>ROUND(E146*XLOOKUP(C146,'Reference Tables'!$E$4:$E$12,'Reference Tables'!$G$4:$G$12,1),1)</x:f>
        <x:v>4.7</x:v>
      </x:c>
      <x:c r="T146" s="106" t="str">
        <x:f>IF(R146&gt;='Inputs &amp; Guide'!$B$9,"HIGH",IF(R146&gt;=0.45,"WATCH","NORMAL"))</x:f>
        <x:v>HIGH</x:v>
      </x:c>
    </x:row>
    <x:row r="147">
      <x:c r="A147" s="95" t="n">
        <x:v>1145</x:v>
      </x:c>
      <x:c r="B147" s="96" t="n">
        <x:v>45339.4375</x:v>
      </x:c>
      <x:c r="C147" s="97" t="str">
        <x:v>Wildfire</x:v>
      </x:c>
      <x:c r="D147" s="97" t="str">
        <x:v>Indonesia</x:v>
      </x:c>
      <x:c r="E147" s="98" t="n">
        <x:v>8.245553813792988</x:v>
      </x:c>
      <x:c r="F147" s="99" t="n">
        <x:v>947.0221281481862</x:v>
      </x:c>
      <x:c r="G147" s="100" t="str">
        <x:f>XLOOKUP(D147,'Reference Tables'!$A$4:$A$23,'Reference Tables'!$B$4:$B$23,"Other")</x:f>
        <x:v>Asia Pacific</x:v>
      </x:c>
      <x:c r="H147" s="100" t="str">
        <x:f>VLOOKUP(G147,'Reference Tables'!$I$4:$J$9,2,FALSE)</x:f>
        <x:v>High</x:v>
      </x:c>
      <x:c r="I147" s="101" t="n">
        <x:f>F147*'Inputs &amp; Guide'!$B$4*XLOOKUP(D147,'Reference Tables'!$A$4:$A$23,'Reference Tables'!$C$4:$C$23,0.75)</x:f>
        <x:v>156.0692467188211</x:v>
      </x:c>
      <x:c r="J147" s="102" t="n">
        <x:f>XLOOKUP(C147,'Reference Tables'!$E$4:$E$12,'Reference Tables'!$F$4:$F$12,0.05)</x:f>
        <x:v>0.1</x:v>
      </x:c>
      <x:c r="K147" s="103" t="n">
        <x:f>MIN(I147,F147*J147)</x:f>
        <x:v>94.70221281481862</x:v>
      </x:c>
      <x:c r="L147" s="103" t="n">
        <x:f>'Inputs &amp; Guide'!$B$5</x:f>
        <x:v>15</x:v>
      </x:c>
      <x:c r="M147" s="103" t="n">
        <x:f>I147*'Inputs &amp; Guide'!$B$6</x:f>
        <x:v>85.83808569535161</x:v>
      </x:c>
      <x:c r="N147" s="103" t="n">
        <x:f>MAX(0,MIN(K147-L147,M147))</x:f>
        <x:v>79.70221281481862</x:v>
      </x:c>
      <x:c r="O147" s="103" t="n">
        <x:f>MAX(0,N147-'Inputs &amp; Guide'!$B$7)</x:f>
        <x:v>19.702212814818623</x:v>
      </x:c>
      <x:c r="P147" s="103" t="n">
        <x:f>N147-O147</x:f>
        <x:v>60</x:v>
      </x:c>
      <x:c r="Q147" s="103" t="n">
        <x:f>I147*'Inputs &amp; Guide'!$B$8</x:f>
        <x:v>2.8092464409387796</x:v>
      </x:c>
      <x:c r="R147" s="104" t="n">
        <x:f>IFERROR(P147/Q147,0)</x:f>
        <x:v>21.35804076339757</x:v>
      </x:c>
      <x:c r="S147" s="105" t="n">
        <x:f>ROUND(E147*XLOOKUP(C147,'Reference Tables'!$E$4:$E$12,'Reference Tables'!$G$4:$G$12,1),1)</x:f>
        <x:v>9.5</x:v>
      </x:c>
      <x:c r="T147" s="106" t="str">
        <x:f>IF(R147&gt;='Inputs &amp; Guide'!$B$9,"HIGH",IF(R147&gt;=0.45,"WATCH","NORMAL"))</x:f>
        <x:v>HIGH</x:v>
      </x:c>
    </x:row>
    <x:row r="148">
      <x:c r="A148" s="95" t="n">
        <x:v>1153</x:v>
      </x:c>
      <x:c r="B148" s="96" t="n">
        <x:v>45340</x:v>
      </x:c>
      <x:c r="C148" s="97" t="str">
        <x:v>Earthquake</x:v>
      </x:c>
      <x:c r="D148" s="97" t="str">
        <x:v>USA</x:v>
      </x:c>
      <x:c r="E148" s="98" t="n">
        <x:v>6.789808574778956</x:v>
      </x:c>
      <x:c r="F148" s="99" t="n">
        <x:v>136.24034054788729</x:v>
      </x:c>
      <x:c r="G148" s="100" t="str">
        <x:f>XLOOKUP(D148,'Reference Tables'!$A$4:$A$23,'Reference Tables'!$B$4:$B$23,"Other")</x:f>
        <x:v>Other</x:v>
      </x:c>
      <x:c r="H148" s="100" t="str">
        <x:f>VLOOKUP(G148,'Reference Tables'!$I$4:$J$9,2,FALSE)</x:f>
        <x:v>Moderate</x:v>
      </x:c>
      <x:c r="I148" s="101" t="n">
        <x:f>F148*'Inputs &amp; Guide'!$B$4*XLOOKUP(D148,'Reference Tables'!$A$4:$A$23,'Reference Tables'!$C$4:$C$23,0.75)</x:f>
        <x:v>16.348840865746475</x:v>
      </x:c>
      <x:c r="J148" s="102" t="n">
        <x:f>XLOOKUP(C148,'Reference Tables'!$E$4:$E$12,'Reference Tables'!$F$4:$F$12,0.05)</x:f>
        <x:v>0.14</x:v>
      </x:c>
      <x:c r="K148" s="103" t="n">
        <x:f>MIN(I148,F148*J148)</x:f>
        <x:v>16.348840865746475</x:v>
      </x:c>
      <x:c r="L148" s="103" t="n">
        <x:f>'Inputs &amp; Guide'!$B$5</x:f>
        <x:v>15</x:v>
      </x:c>
      <x:c r="M148" s="103" t="n">
        <x:f>I148*'Inputs &amp; Guide'!$B$6</x:f>
        <x:v>8.991862476160561</x:v>
      </x:c>
      <x:c r="N148" s="103" t="n">
        <x:f>MAX(0,MIN(K148-L148,M148))</x:f>
        <x:v>1.3488408657464745</x:v>
      </x:c>
      <x:c r="O148" s="103" t="n">
        <x:f>MAX(0,N148-'Inputs &amp; Guide'!$B$7)</x:f>
        <x:v>0</x:v>
      </x:c>
      <x:c r="P148" s="103" t="n">
        <x:f>N148-O148</x:f>
        <x:v>1.3488408657464745</x:v>
      </x:c>
      <x:c r="Q148" s="103" t="n">
        <x:f>I148*'Inputs &amp; Guide'!$B$8</x:f>
        <x:v>0.29427913558343655</x:v>
      </x:c>
      <x:c r="R148" s="104" t="n">
        <x:f>IFERROR(P148/Q148,0)</x:f>
        <x:v>4.583542299294405</x:v>
      </x:c>
      <x:c r="S148" s="105" t="n">
        <x:f>ROUND(E148*XLOOKUP(C148,'Reference Tables'!$E$4:$E$12,'Reference Tables'!$G$4:$G$12,1),1)</x:f>
        <x:v>10.2</x:v>
      </x:c>
      <x:c r="T148" s="106" t="str">
        <x:f>IF(R148&gt;='Inputs &amp; Guide'!$B$9,"HIGH",IF(R148&gt;=0.45,"WATCH","NORMAL"))</x:f>
        <x:v>HIGH</x:v>
      </x:c>
    </x:row>
    <x:row r="149">
      <x:c r="A149" s="95" t="n">
        <x:v>1161</x:v>
      </x:c>
      <x:c r="B149" s="96" t="n">
        <x:v>45340.104166666664</x:v>
      </x:c>
      <x:c r="C149" s="97" t="str">
        <x:v>Earthquake</x:v>
      </x:c>
      <x:c r="D149" s="97" t="str">
        <x:v>Indonesia</x:v>
      </x:c>
      <x:c r="E149" s="98" t="n">
        <x:v>3.8329899464045383</x:v>
      </x:c>
      <x:c r="F149" s="99" t="n">
        <x:v>357.2338901598272</x:v>
      </x:c>
      <x:c r="G149" s="100" t="str">
        <x:f>XLOOKUP(D149,'Reference Tables'!$A$4:$A$23,'Reference Tables'!$B$4:$B$23,"Other")</x:f>
        <x:v>Asia Pacific</x:v>
      </x:c>
      <x:c r="H149" s="100" t="str">
        <x:f>VLOOKUP(G149,'Reference Tables'!$I$4:$J$9,2,FALSE)</x:f>
        <x:v>High</x:v>
      </x:c>
      <x:c r="I149" s="101" t="n">
        <x:f>F149*'Inputs &amp; Guide'!$B$4*XLOOKUP(D149,'Reference Tables'!$A$4:$A$23,'Reference Tables'!$C$4:$C$23,0.75)</x:f>
        <x:v>58.87214509833952</x:v>
      </x:c>
      <x:c r="J149" s="102" t="n">
        <x:f>XLOOKUP(C149,'Reference Tables'!$E$4:$E$12,'Reference Tables'!$F$4:$F$12,0.05)</x:f>
        <x:v>0.14</x:v>
      </x:c>
      <x:c r="K149" s="103" t="n">
        <x:f>MIN(I149,F149*J149)</x:f>
        <x:v>50.01274462237581</x:v>
      </x:c>
      <x:c r="L149" s="103" t="n">
        <x:f>'Inputs &amp; Guide'!$B$5</x:f>
        <x:v>15</x:v>
      </x:c>
      <x:c r="M149" s="103" t="n">
        <x:f>I149*'Inputs &amp; Guide'!$B$6</x:f>
        <x:v>32.37967980408674</x:v>
      </x:c>
      <x:c r="N149" s="103" t="n">
        <x:f>MAX(0,MIN(K149-L149,M149))</x:f>
        <x:v>32.37967980408674</x:v>
      </x:c>
      <x:c r="O149" s="103" t="n">
        <x:f>MAX(0,N149-'Inputs &amp; Guide'!$B$7)</x:f>
        <x:v>0</x:v>
      </x:c>
      <x:c r="P149" s="103" t="n">
        <x:f>N149-O149</x:f>
        <x:v>32.37967980408674</x:v>
      </x:c>
      <x:c r="Q149" s="103" t="n">
        <x:f>I149*'Inputs &amp; Guide'!$B$8</x:f>
        <x:v>1.0596986117701113</x:v>
      </x:c>
      <x:c r="R149" s="104" t="n">
        <x:f>IFERROR(P149/Q149,0)</x:f>
        <x:v>30.555555555555564</x:v>
      </x:c>
      <x:c r="S149" s="105" t="n">
        <x:f>ROUND(E149*XLOOKUP(C149,'Reference Tables'!$E$4:$E$12,'Reference Tables'!$G$4:$G$12,1),1)</x:f>
        <x:v>5.7</x:v>
      </x:c>
      <x:c r="T149" s="106" t="str">
        <x:f>IF(R149&gt;='Inputs &amp; Guide'!$B$9,"HIGH",IF(R149&gt;=0.45,"WATCH","NORMAL"))</x:f>
        <x:v>HIGH</x:v>
      </x:c>
    </x:row>
    <x:row r="150">
      <x:c r="A150" s="95" t="n">
        <x:v>1169</x:v>
      </x:c>
      <x:c r="B150" s="96" t="n">
        <x:v>45340.4375</x:v>
      </x:c>
      <x:c r="C150" s="97" t="str">
        <x:v>Tornado</x:v>
      </x:c>
      <x:c r="D150" s="97" t="str">
        <x:v>Indonesia</x:v>
      </x:c>
      <x:c r="E150" s="98" t="n">
        <x:v>2.837091866507823</x:v>
      </x:c>
      <x:c r="F150" s="99" t="n">
        <x:v>953.0519428266334</x:v>
      </x:c>
      <x:c r="G150" s="100" t="str">
        <x:f>XLOOKUP(D150,'Reference Tables'!$A$4:$A$23,'Reference Tables'!$B$4:$B$23,"Other")</x:f>
        <x:v>Asia Pacific</x:v>
      </x:c>
      <x:c r="H150" s="100" t="str">
        <x:f>VLOOKUP(G150,'Reference Tables'!$I$4:$J$9,2,FALSE)</x:f>
        <x:v>High</x:v>
      </x:c>
      <x:c r="I150" s="101" t="n">
        <x:f>F150*'Inputs &amp; Guide'!$B$4*XLOOKUP(D150,'Reference Tables'!$A$4:$A$23,'Reference Tables'!$C$4:$C$23,0.75)</x:f>
        <x:v>157.06296017782918</x:v>
      </x:c>
      <x:c r="J150" s="102" t="n">
        <x:f>XLOOKUP(C150,'Reference Tables'!$E$4:$E$12,'Reference Tables'!$F$4:$F$12,0.05)</x:f>
        <x:v>0.09</x:v>
      </x:c>
      <x:c r="K150" s="103" t="n">
        <x:f>MIN(I150,F150*J150)</x:f>
        <x:v>85.774674854397</x:v>
      </x:c>
      <x:c r="L150" s="103" t="n">
        <x:f>'Inputs &amp; Guide'!$B$5</x:f>
        <x:v>15</x:v>
      </x:c>
      <x:c r="M150" s="103" t="n">
        <x:f>I150*'Inputs &amp; Guide'!$B$6</x:f>
        <x:v>86.38462809780606</x:v>
      </x:c>
      <x:c r="N150" s="103" t="n">
        <x:f>MAX(0,MIN(K150-L150,M150))</x:f>
        <x:v>70.774674854397</x:v>
      </x:c>
      <x:c r="O150" s="103" t="n">
        <x:f>MAX(0,N150-'Inputs &amp; Guide'!$B$7)</x:f>
        <x:v>10.774674854397006</x:v>
      </x:c>
      <x:c r="P150" s="103" t="n">
        <x:f>N150-O150</x:f>
        <x:v>60</x:v>
      </x:c>
      <x:c r="Q150" s="103" t="n">
        <x:f>I150*'Inputs &amp; Guide'!$B$8</x:f>
        <x:v>2.8271332832009253</x:v>
      </x:c>
      <x:c r="R150" s="104" t="n">
        <x:f>IFERROR(P150/Q150,0)</x:f>
        <x:v>21.222911688149008</x:v>
      </x:c>
      <x:c r="S150" s="105" t="n">
        <x:f>ROUND(E150*XLOOKUP(C150,'Reference Tables'!$E$4:$E$12,'Reference Tables'!$G$4:$G$12,1),1)</x:f>
        <x:v>3</x:v>
      </x:c>
      <x:c r="T150" s="106" t="str">
        <x:f>IF(R150&gt;='Inputs &amp; Guide'!$B$9,"HIGH",IF(R150&gt;=0.45,"WATCH","NORMAL"))</x:f>
        <x:v>HIGH</x:v>
      </x:c>
    </x:row>
    <x:row r="151">
      <x:c r="A151" s="95" t="n">
        <x:v>1177</x:v>
      </x:c>
      <x:c r="B151" s="96" t="n">
        <x:v>45341</x:v>
      </x:c>
      <x:c r="C151" s="97" t="str">
        <x:v>Flood</x:v>
      </x:c>
      <x:c r="D151" s="97" t="str">
        <x:v>Brazil</x:v>
      </x:c>
      <x:c r="E151" s="98" t="n">
        <x:v>6.081976786840749</x:v>
      </x:c>
      <x:c r="F151" s="99" t="n">
        <x:v>78.08963900024523</x:v>
      </x:c>
      <x:c r="G151" s="100" t="str">
        <x:f>XLOOKUP(D151,'Reference Tables'!$A$4:$A$23,'Reference Tables'!$B$4:$B$23,"Other")</x:f>
        <x:v>Latin America</x:v>
      </x:c>
      <x:c r="H151" s="100" t="str">
        <x:f>VLOOKUP(G151,'Reference Tables'!$I$4:$J$9,2,FALSE)</x:f>
        <x:v>Moderate</x:v>
      </x:c>
      <x:c r="I151" s="101" t="n">
        <x:f>F151*'Inputs &amp; Guide'!$B$4*XLOOKUP(D151,'Reference Tables'!$A$4:$A$23,'Reference Tables'!$C$4:$C$23,0.75)</x:f>
        <x:v>10.245360636832173</x:v>
      </x:c>
      <x:c r="J151" s="102" t="n">
        <x:f>XLOOKUP(C151,'Reference Tables'!$E$4:$E$12,'Reference Tables'!$F$4:$F$12,0.05)</x:f>
        <x:v>0.12</x:v>
      </x:c>
      <x:c r="K151" s="103" t="n">
        <x:f>MIN(I151,F151*J151)</x:f>
        <x:v>9.370756680029427</x:v>
      </x:c>
      <x:c r="L151" s="103" t="n">
        <x:f>'Inputs &amp; Guide'!$B$5</x:f>
        <x:v>15</x:v>
      </x:c>
      <x:c r="M151" s="103" t="n">
        <x:f>I151*'Inputs &amp; Guide'!$B$6</x:f>
        <x:v>5.634948350257695</x:v>
      </x:c>
      <x:c r="N151" s="103" t="n">
        <x:f>MAX(0,MIN(K151-L151,M151))</x:f>
        <x:v>0</x:v>
      </x:c>
      <x:c r="O151" s="103" t="n">
        <x:f>MAX(0,N151-'Inputs &amp; Guide'!$B$7)</x:f>
        <x:v>0</x:v>
      </x:c>
      <x:c r="P151" s="103" t="n">
        <x:f>N151-O151</x:f>
        <x:v>0</x:v>
      </x:c>
      <x:c r="Q151" s="103" t="n">
        <x:f>I151*'Inputs &amp; Guide'!$B$8</x:f>
        <x:v>0.1844164914629791</x:v>
      </x:c>
      <x:c r="R151" s="104" t="n">
        <x:f>IFERROR(P151/Q151,0)</x:f>
        <x:v>0</x:v>
      </x:c>
      <x:c r="S151" s="105" t="n">
        <x:f>ROUND(E151*XLOOKUP(C151,'Reference Tables'!$E$4:$E$12,'Reference Tables'!$G$4:$G$12,1),1)</x:f>
        <x:v>7.6</x:v>
      </x:c>
      <x:c r="T151" s="106" t="str">
        <x:f>IF(R151&gt;='Inputs &amp; Guide'!$B$9,"HIGH",IF(R151&gt;=0.45,"WATCH","NORMAL"))</x:f>
        <x:v>NORMAL</x:v>
      </x:c>
    </x:row>
    <x:row r="152">
      <x:c r="A152" s="95" t="n">
        <x:v>1185</x:v>
      </x:c>
      <x:c r="B152" s="96" t="n">
        <x:v>45341.104166666664</x:v>
      </x:c>
      <x:c r="C152" s="97" t="str">
        <x:v>Wildfire</x:v>
      </x:c>
      <x:c r="D152" s="97" t="str">
        <x:v>Brazil</x:v>
      </x:c>
      <x:c r="E152" s="98" t="n">
        <x:v>6.740527542842425</x:v>
      </x:c>
      <x:c r="F152" s="99" t="n">
        <x:v>609.0609276762913</x:v>
      </x:c>
      <x:c r="G152" s="100" t="str">
        <x:f>XLOOKUP(D152,'Reference Tables'!$A$4:$A$23,'Reference Tables'!$B$4:$B$23,"Other")</x:f>
        <x:v>Latin America</x:v>
      </x:c>
      <x:c r="H152" s="100" t="str">
        <x:f>VLOOKUP(G152,'Reference Tables'!$I$4:$J$9,2,FALSE)</x:f>
        <x:v>Moderate</x:v>
      </x:c>
      <x:c r="I152" s="101" t="n">
        <x:f>F152*'Inputs &amp; Guide'!$B$4*XLOOKUP(D152,'Reference Tables'!$A$4:$A$23,'Reference Tables'!$C$4:$C$23,0.75)</x:f>
        <x:v>79.9087937111294</x:v>
      </x:c>
      <x:c r="J152" s="102" t="n">
        <x:f>XLOOKUP(C152,'Reference Tables'!$E$4:$E$12,'Reference Tables'!$F$4:$F$12,0.05)</x:f>
        <x:v>0.1</x:v>
      </x:c>
      <x:c r="K152" s="103" t="n">
        <x:f>MIN(I152,F152*J152)</x:f>
        <x:v>60.90609276762913</x:v>
      </x:c>
      <x:c r="L152" s="103" t="n">
        <x:f>'Inputs &amp; Guide'!$B$5</x:f>
        <x:v>15</x:v>
      </x:c>
      <x:c r="M152" s="103" t="n">
        <x:f>I152*'Inputs &amp; Guide'!$B$6</x:f>
        <x:v>43.94983654112118</x:v>
      </x:c>
      <x:c r="N152" s="103" t="n">
        <x:f>MAX(0,MIN(K152-L152,M152))</x:f>
        <x:v>43.94983654112118</x:v>
      </x:c>
      <x:c r="O152" s="103" t="n">
        <x:f>MAX(0,N152-'Inputs &amp; Guide'!$B$7)</x:f>
        <x:v>0</x:v>
      </x:c>
      <x:c r="P152" s="103" t="n">
        <x:f>N152-O152</x:f>
        <x:v>43.94983654112118</x:v>
      </x:c>
      <x:c r="Q152" s="103" t="n">
        <x:f>I152*'Inputs &amp; Guide'!$B$8</x:f>
        <x:v>1.4383582868003293</x:v>
      </x:c>
      <x:c r="R152" s="104" t="n">
        <x:f>IFERROR(P152/Q152,0)</x:f>
        <x:v>30.55555555555556</x:v>
      </x:c>
      <x:c r="S152" s="105" t="n">
        <x:f>ROUND(E152*XLOOKUP(C152,'Reference Tables'!$E$4:$E$12,'Reference Tables'!$G$4:$G$12,1),1)</x:f>
        <x:v>7.8</x:v>
      </x:c>
      <x:c r="T152" s="106" t="str">
        <x:f>IF(R152&gt;='Inputs &amp; Guide'!$B$9,"HIGH",IF(R152&gt;=0.45,"WATCH","NORMAL"))</x:f>
        <x:v>HIGH</x:v>
      </x:c>
    </x:row>
    <x:row r="153">
      <x:c r="A153" s="95" t="n">
        <x:v>1193</x:v>
      </x:c>
      <x:c r="B153" s="96" t="n">
        <x:v>45341.4375</x:v>
      </x:c>
      <x:c r="C153" s="97" t="str">
        <x:v>Earthquake</x:v>
      </x:c>
      <x:c r="D153" s="97" t="str">
        <x:v>Indonesia</x:v>
      </x:c>
      <x:c r="E153" s="98" t="n">
        <x:v>3.153846783162505</x:v>
      </x:c>
      <x:c r="F153" s="99" t="n">
        <x:v>272.56841204297416</x:v>
      </x:c>
      <x:c r="G153" s="100" t="str">
        <x:f>XLOOKUP(D153,'Reference Tables'!$A$4:$A$23,'Reference Tables'!$B$4:$B$23,"Other")</x:f>
        <x:v>Asia Pacific</x:v>
      </x:c>
      <x:c r="H153" s="100" t="str">
        <x:f>VLOOKUP(G153,'Reference Tables'!$I$4:$J$9,2,FALSE)</x:f>
        <x:v>High</x:v>
      </x:c>
      <x:c r="I153" s="101" t="n">
        <x:f>F153*'Inputs &amp; Guide'!$B$4*XLOOKUP(D153,'Reference Tables'!$A$4:$A$23,'Reference Tables'!$C$4:$C$23,0.75)</x:f>
        <x:v>44.91927430468214</x:v>
      </x:c>
      <x:c r="J153" s="102" t="n">
        <x:f>XLOOKUP(C153,'Reference Tables'!$E$4:$E$12,'Reference Tables'!$F$4:$F$12,0.05)</x:f>
        <x:v>0.14</x:v>
      </x:c>
      <x:c r="K153" s="103" t="n">
        <x:f>MIN(I153,F153*J153)</x:f>
        <x:v>38.159577686016384</x:v>
      </x:c>
      <x:c r="L153" s="103" t="n">
        <x:f>'Inputs &amp; Guide'!$B$5</x:f>
        <x:v>15</x:v>
      </x:c>
      <x:c r="M153" s="103" t="n">
        <x:f>I153*'Inputs &amp; Guide'!$B$6</x:f>
        <x:v>24.70560086757518</x:v>
      </x:c>
      <x:c r="N153" s="103" t="n">
        <x:f>MAX(0,MIN(K153-L153,M153))</x:f>
        <x:v>23.159577686016384</x:v>
      </x:c>
      <x:c r="O153" s="103" t="n">
        <x:f>MAX(0,N153-'Inputs &amp; Guide'!$B$7)</x:f>
        <x:v>0</x:v>
      </x:c>
      <x:c r="P153" s="103" t="n">
        <x:f>N153-O153</x:f>
        <x:v>23.159577686016384</x:v>
      </x:c>
      <x:c r="Q153" s="103" t="n">
        <x:f>I153*'Inputs &amp; Guide'!$B$8</x:f>
        <x:v>0.8085469374842784</x:v>
      </x:c>
      <x:c r="R153" s="104" t="n">
        <x:f>IFERROR(P153/Q153,0)</x:f>
        <x:v>28.64345483525711</x:v>
      </x:c>
      <x:c r="S153" s="105" t="n">
        <x:f>ROUND(E153*XLOOKUP(C153,'Reference Tables'!$E$4:$E$12,'Reference Tables'!$G$4:$G$12,1),1)</x:f>
        <x:v>4.7</x:v>
      </x:c>
      <x:c r="T153" s="106" t="str">
        <x:f>IF(R153&gt;='Inputs &amp; Guide'!$B$9,"HIGH",IF(R153&gt;=0.45,"WATCH","NORMAL"))</x:f>
        <x:v>HIGH</x:v>
      </x:c>
    </x:row>
    <x:row r="154">
      <x:c r="A154" s="95" t="n">
        <x:v>1201</x:v>
      </x:c>
      <x:c r="B154" s="96" t="n">
        <x:v>45342</x:v>
      </x:c>
      <x:c r="C154" s="97" t="str">
        <x:v>Flood</x:v>
      </x:c>
      <x:c r="D154" s="97" t="str">
        <x:v>Brazil</x:v>
      </x:c>
      <x:c r="E154" s="98" t="n">
        <x:v>1.5352309720614046</x:v>
      </x:c>
      <x:c r="F154" s="99" t="n">
        <x:v>359.58298159671637</x:v>
      </x:c>
      <x:c r="G154" s="100" t="str">
        <x:f>XLOOKUP(D154,'Reference Tables'!$A$4:$A$23,'Reference Tables'!$B$4:$B$23,"Other")</x:f>
        <x:v>Latin America</x:v>
      </x:c>
      <x:c r="H154" s="100" t="str">
        <x:f>VLOOKUP(G154,'Reference Tables'!$I$4:$J$9,2,FALSE)</x:f>
        <x:v>Moderate</x:v>
      </x:c>
      <x:c r="I154" s="101" t="n">
        <x:f>F154*'Inputs &amp; Guide'!$B$4*XLOOKUP(D154,'Reference Tables'!$A$4:$A$23,'Reference Tables'!$C$4:$C$23,0.75)</x:f>
        <x:v>47.177287185489185</x:v>
      </x:c>
      <x:c r="J154" s="102" t="n">
        <x:f>XLOOKUP(C154,'Reference Tables'!$E$4:$E$12,'Reference Tables'!$F$4:$F$12,0.05)</x:f>
        <x:v>0.12</x:v>
      </x:c>
      <x:c r="K154" s="103" t="n">
        <x:f>MIN(I154,F154*J154)</x:f>
        <x:v>43.149957791605964</x:v>
      </x:c>
      <x:c r="L154" s="103" t="n">
        <x:f>'Inputs &amp; Guide'!$B$5</x:f>
        <x:v>15</x:v>
      </x:c>
      <x:c r="M154" s="103" t="n">
        <x:f>I154*'Inputs &amp; Guide'!$B$6</x:f>
        <x:v>25.947507952019052</x:v>
      </x:c>
      <x:c r="N154" s="103" t="n">
        <x:f>MAX(0,MIN(K154-L154,M154))</x:f>
        <x:v>25.947507952019052</x:v>
      </x:c>
      <x:c r="O154" s="103" t="n">
        <x:f>MAX(0,N154-'Inputs &amp; Guide'!$B$7)</x:f>
        <x:v>0</x:v>
      </x:c>
      <x:c r="P154" s="103" t="n">
        <x:f>N154-O154</x:f>
        <x:v>25.947507952019052</x:v>
      </x:c>
      <x:c r="Q154" s="103" t="n">
        <x:f>I154*'Inputs &amp; Guide'!$B$8</x:f>
        <x:v>0.8491911693388052</x:v>
      </x:c>
      <x:c r="R154" s="104" t="n">
        <x:f>IFERROR(P154/Q154,0)</x:f>
        <x:v>30.55555555555556</x:v>
      </x:c>
      <x:c r="S154" s="105" t="n">
        <x:f>ROUND(E154*XLOOKUP(C154,'Reference Tables'!$E$4:$E$12,'Reference Tables'!$G$4:$G$12,1),1)</x:f>
        <x:v>1.9</x:v>
      </x:c>
      <x:c r="T154" s="106" t="str">
        <x:f>IF(R154&gt;='Inputs &amp; Guide'!$B$9,"HIGH",IF(R154&gt;=0.45,"WATCH","NORMAL"))</x:f>
        <x:v>HIGH</x:v>
      </x:c>
    </x:row>
    <x:row r="155">
      <x:c r="A155" s="95" t="n">
        <x:v>1209</x:v>
      </x:c>
      <x:c r="B155" s="96" t="n">
        <x:v>45342.104166666664</x:v>
      </x:c>
      <x:c r="C155" s="97" t="str">
        <x:v>Tornado</x:v>
      </x:c>
      <x:c r="D155" s="97" t="str">
        <x:v>Brazil</x:v>
      </x:c>
      <x:c r="E155" s="98" t="n">
        <x:v>7.0155075607098265</x:v>
      </x:c>
      <x:c r="F155" s="99" t="n">
        <x:v>345.1037940705001</x:v>
      </x:c>
      <x:c r="G155" s="100" t="str">
        <x:f>XLOOKUP(D155,'Reference Tables'!$A$4:$A$23,'Reference Tables'!$B$4:$B$23,"Other")</x:f>
        <x:v>Latin America</x:v>
      </x:c>
      <x:c r="H155" s="100" t="str">
        <x:f>VLOOKUP(G155,'Reference Tables'!$I$4:$J$9,2,FALSE)</x:f>
        <x:v>Moderate</x:v>
      </x:c>
      <x:c r="I155" s="101" t="n">
        <x:f>F155*'Inputs &amp; Guide'!$B$4*XLOOKUP(D155,'Reference Tables'!$A$4:$A$23,'Reference Tables'!$C$4:$C$23,0.75)</x:f>
        <x:v>45.27761778204961</x:v>
      </x:c>
      <x:c r="J155" s="102" t="n">
        <x:f>XLOOKUP(C155,'Reference Tables'!$E$4:$E$12,'Reference Tables'!$F$4:$F$12,0.05)</x:f>
        <x:v>0.09</x:v>
      </x:c>
      <x:c r="K155" s="103" t="n">
        <x:f>MIN(I155,F155*J155)</x:f>
        <x:v>31.059341466345007</x:v>
      </x:c>
      <x:c r="L155" s="103" t="n">
        <x:f>'Inputs &amp; Guide'!$B$5</x:f>
        <x:v>15</x:v>
      </x:c>
      <x:c r="M155" s="103" t="n">
        <x:f>I155*'Inputs &amp; Guide'!$B$6</x:f>
        <x:v>24.902689780127286</x:v>
      </x:c>
      <x:c r="N155" s="103" t="n">
        <x:f>MAX(0,MIN(K155-L155,M155))</x:f>
        <x:v>16.059341466345007</x:v>
      </x:c>
      <x:c r="O155" s="103" t="n">
        <x:f>MAX(0,N155-'Inputs &amp; Guide'!$B$7)</x:f>
        <x:v>0</x:v>
      </x:c>
      <x:c r="P155" s="103" t="n">
        <x:f>N155-O155</x:f>
        <x:v>16.059341466345007</x:v>
      </x:c>
      <x:c r="Q155" s="103" t="n">
        <x:f>I155*'Inputs &amp; Guide'!$B$8</x:f>
        <x:v>0.814997120076893</x:v>
      </x:c>
      <x:c r="R155" s="104" t="n">
        <x:f>IFERROR(P155/Q155,0)</x:f>
        <x:v>19.704783085405072</x:v>
      </x:c>
      <x:c r="S155" s="105" t="n">
        <x:f>ROUND(E155*XLOOKUP(C155,'Reference Tables'!$E$4:$E$12,'Reference Tables'!$G$4:$G$12,1),1)</x:f>
        <x:v>7.4</x:v>
      </x:c>
      <x:c r="T155" s="106" t="str">
        <x:f>IF(R155&gt;='Inputs &amp; Guide'!$B$9,"HIGH",IF(R155&gt;=0.45,"WATCH","NORMAL"))</x:f>
        <x:v>HIGH</x:v>
      </x:c>
    </x:row>
    <x:row r="156">
      <x:c r="A156" s="95" t="n">
        <x:v>1217</x:v>
      </x:c>
      <x:c r="B156" s="96" t="n">
        <x:v>45342.4375</x:v>
      </x:c>
      <x:c r="C156" s="97" t="str">
        <x:v>Flood</x:v>
      </x:c>
      <x:c r="D156" s="97" t="str">
        <x:v>India</x:v>
      </x:c>
      <x:c r="E156" s="98" t="n">
        <x:v>3.147929396097374</x:v>
      </x:c>
      <x:c r="F156" s="99" t="n">
        <x:v>631.543584196216</x:v>
      </x:c>
      <x:c r="G156" s="100" t="str">
        <x:f>XLOOKUP(D156,'Reference Tables'!$A$4:$A$23,'Reference Tables'!$B$4:$B$23,"Other")</x:f>
        <x:v>Asia Pacific</x:v>
      </x:c>
      <x:c r="H156" s="100" t="str">
        <x:f>VLOOKUP(G156,'Reference Tables'!$I$4:$J$9,2,FALSE)</x:f>
        <x:v>High</x:v>
      </x:c>
      <x:c r="I156" s="101" t="n">
        <x:f>F156*'Inputs &amp; Guide'!$B$4*XLOOKUP(D156,'Reference Tables'!$A$4:$A$23,'Reference Tables'!$C$4:$C$23,0.75)</x:f>
        <x:v>91.95274585896905</x:v>
      </x:c>
      <x:c r="J156" s="102" t="n">
        <x:f>XLOOKUP(C156,'Reference Tables'!$E$4:$E$12,'Reference Tables'!$F$4:$F$12,0.05)</x:f>
        <x:v>0.12</x:v>
      </x:c>
      <x:c r="K156" s="103" t="n">
        <x:f>MIN(I156,F156*J156)</x:f>
        <x:v>75.78523010354591</x:v>
      </x:c>
      <x:c r="L156" s="103" t="n">
        <x:f>'Inputs &amp; Guide'!$B$5</x:f>
        <x:v>15</x:v>
      </x:c>
      <x:c r="M156" s="103" t="n">
        <x:f>I156*'Inputs &amp; Guide'!$B$6</x:f>
        <x:v>50.57401022243298</x:v>
      </x:c>
      <x:c r="N156" s="103" t="n">
        <x:f>MAX(0,MIN(K156-L156,M156))</x:f>
        <x:v>50.57401022243298</x:v>
      </x:c>
      <x:c r="O156" s="103" t="n">
        <x:f>MAX(0,N156-'Inputs &amp; Guide'!$B$7)</x:f>
        <x:v>0</x:v>
      </x:c>
      <x:c r="P156" s="103" t="n">
        <x:f>N156-O156</x:f>
        <x:v>50.57401022243298</x:v>
      </x:c>
      <x:c r="Q156" s="103" t="n">
        <x:f>I156*'Inputs &amp; Guide'!$B$8</x:f>
        <x:v>1.6551494254614427</x:v>
      </x:c>
      <x:c r="R156" s="104" t="n">
        <x:f>IFERROR(P156/Q156,0)</x:f>
        <x:v>30.55555555555556</x:v>
      </x:c>
      <x:c r="S156" s="105" t="n">
        <x:f>ROUND(E156*XLOOKUP(C156,'Reference Tables'!$E$4:$E$12,'Reference Tables'!$G$4:$G$12,1),1)</x:f>
        <x:v>3.9</x:v>
      </x:c>
      <x:c r="T156" s="106" t="str">
        <x:f>IF(R156&gt;='Inputs &amp; Guide'!$B$9,"HIGH",IF(R156&gt;=0.45,"WATCH","NORMAL"))</x:f>
        <x:v>HIGH</x:v>
      </x:c>
    </x:row>
    <x:row r="157">
      <x:c r="A157" s="95" t="n">
        <x:v>1225</x:v>
      </x:c>
      <x:c r="B157" s="96" t="n">
        <x:v>45343</x:v>
      </x:c>
      <x:c r="C157" s="97" t="str">
        <x:v>Hurricane</x:v>
      </x:c>
      <x:c r="D157" s="97" t="str">
        <x:v>China</x:v>
      </x:c>
      <x:c r="E157" s="98" t="n">
        <x:v>3.649577462818294</x:v>
      </x:c>
      <x:c r="F157" s="99" t="n">
        <x:v>931.9706050852939</x:v>
      </x:c>
      <x:c r="G157" s="100" t="str">
        <x:f>XLOOKUP(D157,'Reference Tables'!$A$4:$A$23,'Reference Tables'!$B$4:$B$23,"Other")</x:f>
        <x:v>Asia Pacific</x:v>
      </x:c>
      <x:c r="H157" s="100" t="str">
        <x:f>VLOOKUP(G157,'Reference Tables'!$I$4:$J$9,2,FALSE)</x:f>
        <x:v>High</x:v>
      </x:c>
      <x:c r="I157" s="101" t="n">
        <x:f>F157*'Inputs &amp; Guide'!$B$4*XLOOKUP(D157,'Reference Tables'!$A$4:$A$23,'Reference Tables'!$C$4:$C$23,0.75)</x:f>
        <x:v>161.0445205587388</x:v>
      </x:c>
      <x:c r="J157" s="102" t="n">
        <x:f>XLOOKUP(C157,'Reference Tables'!$E$4:$E$12,'Reference Tables'!$F$4:$F$12,0.05)</x:f>
        <x:v>0.18</x:v>
      </x:c>
      <x:c r="K157" s="103" t="n">
        <x:f>MIN(I157,F157*J157)</x:f>
        <x:v>161.0445205587388</x:v>
      </x:c>
      <x:c r="L157" s="103" t="n">
        <x:f>'Inputs &amp; Guide'!$B$5</x:f>
        <x:v>15</x:v>
      </x:c>
      <x:c r="M157" s="103" t="n">
        <x:f>I157*'Inputs &amp; Guide'!$B$6</x:f>
        <x:v>88.57448630730636</x:v>
      </x:c>
      <x:c r="N157" s="103" t="n">
        <x:f>MAX(0,MIN(K157-L157,M157))</x:f>
        <x:v>88.57448630730636</x:v>
      </x:c>
      <x:c r="O157" s="103" t="n">
        <x:f>MAX(0,N157-'Inputs &amp; Guide'!$B$7)</x:f>
        <x:v>28.57448630730636</x:v>
      </x:c>
      <x:c r="P157" s="103" t="n">
        <x:f>N157-O157</x:f>
        <x:v>60</x:v>
      </x:c>
      <x:c r="Q157" s="103" t="n">
        <x:f>I157*'Inputs &amp; Guide'!$B$8</x:f>
        <x:v>2.8988013700572983</x:v>
      </x:c>
      <x:c r="R157" s="104" t="n">
        <x:f>IFERROR(P157/Q157,0)</x:f>
        <x:v>20.69821017050714</x:v>
      </x:c>
      <x:c r="S157" s="105" t="n">
        <x:f>ROUND(E157*XLOOKUP(C157,'Reference Tables'!$E$4:$E$12,'Reference Tables'!$G$4:$G$12,1),1)</x:f>
        <x:v>5.1</x:v>
      </x:c>
      <x:c r="T157" s="106" t="str">
        <x:f>IF(R157&gt;='Inputs &amp; Guide'!$B$9,"HIGH",IF(R157&gt;=0.45,"WATCH","NORMAL"))</x:f>
        <x:v>HIGH</x:v>
      </x:c>
    </x:row>
    <x:row r="158">
      <x:c r="A158" s="95" t="n">
        <x:v>1233</x:v>
      </x:c>
      <x:c r="B158" s="96" t="n">
        <x:v>45343.104166666664</x:v>
      </x:c>
      <x:c r="C158" s="97" t="str">
        <x:v>Flood</x:v>
      </x:c>
      <x:c r="D158" s="97" t="str">
        <x:v>Indonesia</x:v>
      </x:c>
      <x:c r="E158" s="98" t="n">
        <x:v>4.171069363853972</x:v>
      </x:c>
      <x:c r="F158" s="99" t="n">
        <x:v>597.3952521008703</x:v>
      </x:c>
      <x:c r="G158" s="100" t="str">
        <x:f>XLOOKUP(D158,'Reference Tables'!$A$4:$A$23,'Reference Tables'!$B$4:$B$23,"Other")</x:f>
        <x:v>Asia Pacific</x:v>
      </x:c>
      <x:c r="H158" s="100" t="str">
        <x:f>VLOOKUP(G158,'Reference Tables'!$I$4:$J$9,2,FALSE)</x:f>
        <x:v>High</x:v>
      </x:c>
      <x:c r="I158" s="101" t="n">
        <x:f>F158*'Inputs &amp; Guide'!$B$4*XLOOKUP(D158,'Reference Tables'!$A$4:$A$23,'Reference Tables'!$C$4:$C$23,0.75)</x:f>
        <x:v>98.45073754622342</x:v>
      </x:c>
      <x:c r="J158" s="102" t="n">
        <x:f>XLOOKUP(C158,'Reference Tables'!$E$4:$E$12,'Reference Tables'!$F$4:$F$12,0.05)</x:f>
        <x:v>0.12</x:v>
      </x:c>
      <x:c r="K158" s="103" t="n">
        <x:f>MIN(I158,F158*J158)</x:f>
        <x:v>71.68743025210443</x:v>
      </x:c>
      <x:c r="L158" s="103" t="n">
        <x:f>'Inputs &amp; Guide'!$B$5</x:f>
        <x:v>15</x:v>
      </x:c>
      <x:c r="M158" s="103" t="n">
        <x:f>I158*'Inputs &amp; Guide'!$B$6</x:f>
        <x:v>54.147905650422885</x:v>
      </x:c>
      <x:c r="N158" s="103" t="n">
        <x:f>MAX(0,MIN(K158-L158,M158))</x:f>
        <x:v>54.147905650422885</x:v>
      </x:c>
      <x:c r="O158" s="103" t="n">
        <x:f>MAX(0,N158-'Inputs &amp; Guide'!$B$7)</x:f>
        <x:v>0</x:v>
      </x:c>
      <x:c r="P158" s="103" t="n">
        <x:f>N158-O158</x:f>
        <x:v>54.147905650422885</x:v>
      </x:c>
      <x:c r="Q158" s="103" t="n">
        <x:f>I158*'Inputs &amp; Guide'!$B$8</x:f>
        <x:v>1.7721132758320215</x:v>
      </x:c>
      <x:c r="R158" s="104" t="n">
        <x:f>IFERROR(P158/Q158,0)</x:f>
        <x:v>30.55555555555556</x:v>
      </x:c>
      <x:c r="S158" s="105" t="n">
        <x:f>ROUND(E158*XLOOKUP(C158,'Reference Tables'!$E$4:$E$12,'Reference Tables'!$G$4:$G$12,1),1)</x:f>
        <x:v>5.2</x:v>
      </x:c>
      <x:c r="T158" s="106" t="str">
        <x:f>IF(R158&gt;='Inputs &amp; Guide'!$B$9,"HIGH",IF(R158&gt;=0.45,"WATCH","NORMAL"))</x:f>
        <x:v>HIGH</x:v>
      </x:c>
    </x:row>
    <x:row r="159">
      <x:c r="A159" s="95" t="n">
        <x:v>1241</x:v>
      </x:c>
      <x:c r="B159" s="96" t="n">
        <x:v>45343.4375</x:v>
      </x:c>
      <x:c r="C159" s="97" t="str">
        <x:v>Earthquake</x:v>
      </x:c>
      <x:c r="D159" s="97" t="str">
        <x:v>Japan</x:v>
      </x:c>
      <x:c r="E159" s="98" t="n">
        <x:v>8.47437072602666</x:v>
      </x:c>
      <x:c r="F159" s="99" t="n">
        <x:v>309.2832886272205</x:v>
      </x:c>
      <x:c r="G159" s="100" t="str">
        <x:f>XLOOKUP(D159,'Reference Tables'!$A$4:$A$23,'Reference Tables'!$B$4:$B$23,"Other")</x:f>
        <x:v>Asia Pacific</x:v>
      </x:c>
      <x:c r="H159" s="100" t="str">
        <x:f>VLOOKUP(G159,'Reference Tables'!$I$4:$J$9,2,FALSE)</x:f>
        <x:v>High</x:v>
      </x:c>
      <x:c r="I159" s="101" t="n">
        <x:f>F159*'Inputs &amp; Guide'!$B$4*XLOOKUP(D159,'Reference Tables'!$A$4:$A$23,'Reference Tables'!$C$4:$C$23,0.75)</x:f>
        <x:v>58.392684892819226</x:v>
      </x:c>
      <x:c r="J159" s="102" t="n">
        <x:f>XLOOKUP(C159,'Reference Tables'!$E$4:$E$12,'Reference Tables'!$F$4:$F$12,0.05)</x:f>
        <x:v>0.14</x:v>
      </x:c>
      <x:c r="K159" s="103" t="n">
        <x:f>MIN(I159,F159*J159)</x:f>
        <x:v>43.29966040781087</x:v>
      </x:c>
      <x:c r="L159" s="103" t="n">
        <x:f>'Inputs &amp; Guide'!$B$5</x:f>
        <x:v>15</x:v>
      </x:c>
      <x:c r="M159" s="103" t="n">
        <x:f>I159*'Inputs &amp; Guide'!$B$6</x:f>
        <x:v>32.11597669105058</x:v>
      </x:c>
      <x:c r="N159" s="103" t="n">
        <x:f>MAX(0,MIN(K159-L159,M159))</x:f>
        <x:v>28.29966040781087</x:v>
      </x:c>
      <x:c r="O159" s="103" t="n">
        <x:f>MAX(0,N159-'Inputs &amp; Guide'!$B$7)</x:f>
        <x:v>0</x:v>
      </x:c>
      <x:c r="P159" s="103" t="n">
        <x:f>N159-O159</x:f>
        <x:v>28.29966040781087</x:v>
      </x:c>
      <x:c r="Q159" s="103" t="n">
        <x:f>I159*'Inputs &amp; Guide'!$B$8</x:f>
        <x:v>1.051068328070746</x:v>
      </x:c>
      <x:c r="R159" s="104" t="n">
        <x:f>IFERROR(P159/Q159,0)</x:f>
        <x:v>26.924662890142816</x:v>
      </x:c>
      <x:c r="S159" s="105" t="n">
        <x:f>ROUND(E159*XLOOKUP(C159,'Reference Tables'!$E$4:$E$12,'Reference Tables'!$G$4:$G$12,1),1)</x:f>
        <x:v>12.7</x:v>
      </x:c>
      <x:c r="T159" s="106" t="str">
        <x:f>IF(R159&gt;='Inputs &amp; Guide'!$B$9,"HIGH",IF(R159&gt;=0.45,"WATCH","NORMAL"))</x:f>
        <x:v>HIGH</x:v>
      </x:c>
    </x:row>
    <x:row r="160">
      <x:c r="A160" s="95" t="n">
        <x:v>1249</x:v>
      </x:c>
      <x:c r="B160" s="96" t="n">
        <x:v>45344</x:v>
      </x:c>
      <x:c r="C160" s="97" t="str">
        <x:v>Flood</x:v>
      </x:c>
      <x:c r="D160" s="97" t="str">
        <x:v>USA</x:v>
      </x:c>
      <x:c r="E160" s="98" t="n">
        <x:v>8.33655697217089</x:v>
      </x:c>
      <x:c r="F160" s="99" t="n">
        <x:v>212.88974667486247</x:v>
      </x:c>
      <x:c r="G160" s="100" t="str">
        <x:f>XLOOKUP(D160,'Reference Tables'!$A$4:$A$23,'Reference Tables'!$B$4:$B$23,"Other")</x:f>
        <x:v>Other</x:v>
      </x:c>
      <x:c r="H160" s="100" t="str">
        <x:f>VLOOKUP(G160,'Reference Tables'!$I$4:$J$9,2,FALSE)</x:f>
        <x:v>Moderate</x:v>
      </x:c>
      <x:c r="I160" s="101" t="n">
        <x:f>F160*'Inputs &amp; Guide'!$B$4*XLOOKUP(D160,'Reference Tables'!$A$4:$A$23,'Reference Tables'!$C$4:$C$23,0.75)</x:f>
        <x:v>25.5467696009835</x:v>
      </x:c>
      <x:c r="J160" s="102" t="n">
        <x:f>XLOOKUP(C160,'Reference Tables'!$E$4:$E$12,'Reference Tables'!$F$4:$F$12,0.05)</x:f>
        <x:v>0.12</x:v>
      </x:c>
      <x:c r="K160" s="103" t="n">
        <x:f>MIN(I160,F160*J160)</x:f>
        <x:v>25.546769600983495</x:v>
      </x:c>
      <x:c r="L160" s="103" t="n">
        <x:f>'Inputs &amp; Guide'!$B$5</x:f>
        <x:v>15</x:v>
      </x:c>
      <x:c r="M160" s="103" t="n">
        <x:f>I160*'Inputs &amp; Guide'!$B$6</x:f>
        <x:v>14.050723280540925</x:v>
      </x:c>
      <x:c r="N160" s="103" t="n">
        <x:f>MAX(0,MIN(K160-L160,M160))</x:f>
        <x:v>10.546769600983495</x:v>
      </x:c>
      <x:c r="O160" s="103" t="n">
        <x:f>MAX(0,N160-'Inputs &amp; Guide'!$B$7)</x:f>
        <x:v>0</x:v>
      </x:c>
      <x:c r="P160" s="103" t="n">
        <x:f>N160-O160</x:f>
        <x:v>10.546769600983495</x:v>
      </x:c>
      <x:c r="Q160" s="103" t="n">
        <x:f>I160*'Inputs &amp; Guide'!$B$8</x:f>
        <x:v>0.45984185281770296</x:v>
      </x:c>
      <x:c r="R160" s="104" t="n">
        <x:f>IFERROR(P160/Q160,0)</x:f>
        <x:v>22.935645236199488</x:v>
      </x:c>
      <x:c r="S160" s="105" t="n">
        <x:f>ROUND(E160*XLOOKUP(C160,'Reference Tables'!$E$4:$E$12,'Reference Tables'!$G$4:$G$12,1),1)</x:f>
        <x:v>10.4</x:v>
      </x:c>
      <x:c r="T160" s="106" t="str">
        <x:f>IF(R160&gt;='Inputs &amp; Guide'!$B$9,"HIGH",IF(R160&gt;=0.45,"WATCH","NORMAL"))</x:f>
        <x:v>HIGH</x:v>
      </x:c>
    </x:row>
    <x:row r="161">
      <x:c r="A161" s="95" t="n">
        <x:v>1257</x:v>
      </x:c>
      <x:c r="B161" s="96" t="n">
        <x:v>45344.104166666664</x:v>
      </x:c>
      <x:c r="C161" s="97" t="str">
        <x:v>Hurricane</x:v>
      </x:c>
      <x:c r="D161" s="97" t="str">
        <x:v>India</x:v>
      </x:c>
      <x:c r="E161" s="98" t="n">
        <x:v>1.797739490307845</x:v>
      </x:c>
      <x:c r="F161" s="99" t="n">
        <x:v>850.24597515495</x:v>
      </x:c>
      <x:c r="G161" s="100" t="str">
        <x:f>XLOOKUP(D161,'Reference Tables'!$A$4:$A$23,'Reference Tables'!$B$4:$B$23,"Other")</x:f>
        <x:v>Asia Pacific</x:v>
      </x:c>
      <x:c r="H161" s="100" t="str">
        <x:f>VLOOKUP(G161,'Reference Tables'!$I$4:$J$9,2,FALSE)</x:f>
        <x:v>High</x:v>
      </x:c>
      <x:c r="I161" s="101" t="n">
        <x:f>F161*'Inputs &amp; Guide'!$B$4*XLOOKUP(D161,'Reference Tables'!$A$4:$A$23,'Reference Tables'!$C$4:$C$23,0.75)</x:f>
        <x:v>123.79581398256073</x:v>
      </x:c>
      <x:c r="J161" s="102" t="n">
        <x:f>XLOOKUP(C161,'Reference Tables'!$E$4:$E$12,'Reference Tables'!$F$4:$F$12,0.05)</x:f>
        <x:v>0.18</x:v>
      </x:c>
      <x:c r="K161" s="103" t="n">
        <x:f>MIN(I161,F161*J161)</x:f>
        <x:v>123.79581398256073</x:v>
      </x:c>
      <x:c r="L161" s="103" t="n">
        <x:f>'Inputs &amp; Guide'!$B$5</x:f>
        <x:v>15</x:v>
      </x:c>
      <x:c r="M161" s="103" t="n">
        <x:f>I161*'Inputs &amp; Guide'!$B$6</x:f>
        <x:v>68.0876976904084</x:v>
      </x:c>
      <x:c r="N161" s="103" t="n">
        <x:f>MAX(0,MIN(K161-L161,M161))</x:f>
        <x:v>68.0876976904084</x:v>
      </x:c>
      <x:c r="O161" s="103" t="n">
        <x:f>MAX(0,N161-'Inputs &amp; Guide'!$B$7)</x:f>
        <x:v>8.087697690408405</x:v>
      </x:c>
      <x:c r="P161" s="103" t="n">
        <x:f>N161-O161</x:f>
        <x:v>60</x:v>
      </x:c>
      <x:c r="Q161" s="103" t="n">
        <x:f>I161*'Inputs &amp; Guide'!$B$8</x:f>
        <x:v>2.228324651686093</x:v>
      </x:c>
      <x:c r="R161" s="104" t="n">
        <x:f>IFERROR(P161/Q161,0)</x:f>
        <x:v>26.926058532180292</x:v>
      </x:c>
      <x:c r="S161" s="105" t="n">
        <x:f>ROUND(E161*XLOOKUP(C161,'Reference Tables'!$E$4:$E$12,'Reference Tables'!$G$4:$G$12,1),1)</x:f>
        <x:v>2.5</x:v>
      </x:c>
      <x:c r="T161" s="106" t="str">
        <x:f>IF(R161&gt;='Inputs &amp; Guide'!$B$9,"HIGH",IF(R161&gt;=0.45,"WATCH","NORMAL"))</x:f>
        <x:v>HIGH</x:v>
      </x:c>
    </x:row>
    <x:row r="162">
      <x:c r="A162" s="95" t="n">
        <x:v>1265</x:v>
      </x:c>
      <x:c r="B162" s="96" t="n">
        <x:v>45344.4375</x:v>
      </x:c>
      <x:c r="C162" s="97" t="str">
        <x:v>Flood</x:v>
      </x:c>
      <x:c r="D162" s="97" t="str">
        <x:v>Brazil</x:v>
      </x:c>
      <x:c r="E162" s="98" t="n">
        <x:v>3.248232859123863</x:v>
      </x:c>
      <x:c r="F162" s="99" t="n">
        <x:v>97.48675206141083</x:v>
      </x:c>
      <x:c r="G162" s="100" t="str">
        <x:f>XLOOKUP(D162,'Reference Tables'!$A$4:$A$23,'Reference Tables'!$B$4:$B$23,"Other")</x:f>
        <x:v>Latin America</x:v>
      </x:c>
      <x:c r="H162" s="100" t="str">
        <x:f>VLOOKUP(G162,'Reference Tables'!$I$4:$J$9,2,FALSE)</x:f>
        <x:v>Moderate</x:v>
      </x:c>
      <x:c r="I162" s="101" t="n">
        <x:f>F162*'Inputs &amp; Guide'!$B$4*XLOOKUP(D162,'Reference Tables'!$A$4:$A$23,'Reference Tables'!$C$4:$C$23,0.75)</x:f>
        <x:v>12.7902618704571</x:v>
      </x:c>
      <x:c r="J162" s="102" t="n">
        <x:f>XLOOKUP(C162,'Reference Tables'!$E$4:$E$12,'Reference Tables'!$F$4:$F$12,0.05)</x:f>
        <x:v>0.12</x:v>
      </x:c>
      <x:c r="K162" s="103" t="n">
        <x:f>MIN(I162,F162*J162)</x:f>
        <x:v>11.6984102473693</x:v>
      </x:c>
      <x:c r="L162" s="103" t="n">
        <x:f>'Inputs &amp; Guide'!$B$5</x:f>
        <x:v>15</x:v>
      </x:c>
      <x:c r="M162" s="103" t="n">
        <x:f>I162*'Inputs &amp; Guide'!$B$6</x:f>
        <x:v>7.034644028751405</x:v>
      </x:c>
      <x:c r="N162" s="103" t="n">
        <x:f>MAX(0,MIN(K162-L162,M162))</x:f>
        <x:v>0</x:v>
      </x:c>
      <x:c r="O162" s="103" t="n">
        <x:f>MAX(0,N162-'Inputs &amp; Guide'!$B$7)</x:f>
        <x:v>0</x:v>
      </x:c>
      <x:c r="P162" s="103" t="n">
        <x:f>N162-O162</x:f>
        <x:v>0</x:v>
      </x:c>
      <x:c r="Q162" s="103" t="n">
        <x:f>I162*'Inputs &amp; Guide'!$B$8</x:f>
        <x:v>0.23022471366822778</x:v>
      </x:c>
      <x:c r="R162" s="104" t="n">
        <x:f>IFERROR(P162/Q162,0)</x:f>
        <x:v>0</x:v>
      </x:c>
      <x:c r="S162" s="105" t="n">
        <x:f>ROUND(E162*XLOOKUP(C162,'Reference Tables'!$E$4:$E$12,'Reference Tables'!$G$4:$G$12,1),1)</x:f>
        <x:v>4.1</x:v>
      </x:c>
      <x:c r="T162" s="106" t="str">
        <x:f>IF(R162&gt;='Inputs &amp; Guide'!$B$9,"HIGH",IF(R162&gt;=0.45,"WATCH","NORMAL"))</x:f>
        <x:v>NORMAL</x:v>
      </x:c>
    </x:row>
    <x:row r="163">
      <x:c r="A163" s="95" t="n">
        <x:v>1273</x:v>
      </x:c>
      <x:c r="B163" s="96" t="n">
        <x:v>45345</x:v>
      </x:c>
      <x:c r="C163" s="97" t="str">
        <x:v>Tornado</x:v>
      </x:c>
      <x:c r="D163" s="97" t="str">
        <x:v>China</x:v>
      </x:c>
      <x:c r="E163" s="98" t="n">
        <x:v>2.8349545202795117</x:v>
      </x:c>
      <x:c r="F163" s="99" t="n">
        <x:v>936.8332442349445</x:v>
      </x:c>
      <x:c r="G163" s="100" t="str">
        <x:f>XLOOKUP(D163,'Reference Tables'!$A$4:$A$23,'Reference Tables'!$B$4:$B$23,"Other")</x:f>
        <x:v>Asia Pacific</x:v>
      </x:c>
      <x:c r="H163" s="100" t="str">
        <x:f>VLOOKUP(G163,'Reference Tables'!$I$4:$J$9,2,FALSE)</x:f>
        <x:v>High</x:v>
      </x:c>
      <x:c r="I163" s="101" t="n">
        <x:f>F163*'Inputs &amp; Guide'!$B$4*XLOOKUP(D163,'Reference Tables'!$A$4:$A$23,'Reference Tables'!$C$4:$C$23,0.75)</x:f>
        <x:v>161.8847846037984</x:v>
      </x:c>
      <x:c r="J163" s="102" t="n">
        <x:f>XLOOKUP(C163,'Reference Tables'!$E$4:$E$12,'Reference Tables'!$F$4:$F$12,0.05)</x:f>
        <x:v>0.09</x:v>
      </x:c>
      <x:c r="K163" s="103" t="n">
        <x:f>MIN(I163,F163*J163)</x:f>
        <x:v>84.314991981145</x:v>
      </x:c>
      <x:c r="L163" s="103" t="n">
        <x:f>'Inputs &amp; Guide'!$B$5</x:f>
        <x:v>15</x:v>
      </x:c>
      <x:c r="M163" s="103" t="n">
        <x:f>I163*'Inputs &amp; Guide'!$B$6</x:f>
        <x:v>89.03663153208913</x:v>
      </x:c>
      <x:c r="N163" s="103" t="n">
        <x:f>MAX(0,MIN(K163-L163,M163))</x:f>
        <x:v>69.314991981145</x:v>
      </x:c>
      <x:c r="O163" s="103" t="n">
        <x:f>MAX(0,N163-'Inputs &amp; Guide'!$B$7)</x:f>
        <x:v>9.314991981144999</x:v>
      </x:c>
      <x:c r="P163" s="103" t="n">
        <x:f>N163-O163</x:f>
        <x:v>60</x:v>
      </x:c>
      <x:c r="Q163" s="103" t="n">
        <x:f>I163*'Inputs &amp; Guide'!$B$8</x:f>
        <x:v>2.913926122868371</x:v>
      </x:c>
      <x:c r="R163" s="104" t="n">
        <x:f>IFERROR(P163/Q163,0)</x:f>
        <x:v>20.590775973736086</x:v>
      </x:c>
      <x:c r="S163" s="105" t="n">
        <x:f>ROUND(E163*XLOOKUP(C163,'Reference Tables'!$E$4:$E$12,'Reference Tables'!$G$4:$G$12,1),1)</x:f>
        <x:v>3</x:v>
      </x:c>
      <x:c r="T163" s="106" t="str">
        <x:f>IF(R163&gt;='Inputs &amp; Guide'!$B$9,"HIGH",IF(R163&gt;=0.45,"WATCH","NORMAL"))</x:f>
        <x:v>HIGH</x:v>
      </x:c>
    </x:row>
    <x:row r="164">
      <x:c r="A164" s="95" t="n">
        <x:v>1281</x:v>
      </x:c>
      <x:c r="B164" s="96" t="n">
        <x:v>45345.104166666664</x:v>
      </x:c>
      <x:c r="C164" s="97" t="str">
        <x:v>Tornado</x:v>
      </x:c>
      <x:c r="D164" s="97" t="str">
        <x:v>USA</x:v>
      </x:c>
      <x:c r="E164" s="98" t="n">
        <x:v>7.1753300029158575</x:v>
      </x:c>
      <x:c r="F164" s="99" t="n">
        <x:v>960.2515345377064</x:v>
      </x:c>
      <x:c r="G164" s="100" t="str">
        <x:f>XLOOKUP(D164,'Reference Tables'!$A$4:$A$23,'Reference Tables'!$B$4:$B$23,"Other")</x:f>
        <x:v>Other</x:v>
      </x:c>
      <x:c r="H164" s="100" t="str">
        <x:f>VLOOKUP(G164,'Reference Tables'!$I$4:$J$9,2,FALSE)</x:f>
        <x:v>Moderate</x:v>
      </x:c>
      <x:c r="I164" s="101" t="n">
        <x:f>F164*'Inputs &amp; Guide'!$B$4*XLOOKUP(D164,'Reference Tables'!$A$4:$A$23,'Reference Tables'!$C$4:$C$23,0.75)</x:f>
        <x:v>115.23018414452477</x:v>
      </x:c>
      <x:c r="J164" s="102" t="n">
        <x:f>XLOOKUP(C164,'Reference Tables'!$E$4:$E$12,'Reference Tables'!$F$4:$F$12,0.05)</x:f>
        <x:v>0.09</x:v>
      </x:c>
      <x:c r="K164" s="103" t="n">
        <x:f>MIN(I164,F164*J164)</x:f>
        <x:v>86.42263810839357</x:v>
      </x:c>
      <x:c r="L164" s="103" t="n">
        <x:f>'Inputs &amp; Guide'!$B$5</x:f>
        <x:v>15</x:v>
      </x:c>
      <x:c r="M164" s="103" t="n">
        <x:f>I164*'Inputs &amp; Guide'!$B$6</x:f>
        <x:v>63.37660127948863</x:v>
      </x:c>
      <x:c r="N164" s="103" t="n">
        <x:f>MAX(0,MIN(K164-L164,M164))</x:f>
        <x:v>63.37660127948863</x:v>
      </x:c>
      <x:c r="O164" s="103" t="n">
        <x:f>MAX(0,N164-'Inputs &amp; Guide'!$B$7)</x:f>
        <x:v>3.376601279488632</x:v>
      </x:c>
      <x:c r="P164" s="103" t="n">
        <x:f>N164-O164</x:f>
        <x:v>60</x:v>
      </x:c>
      <x:c r="Q164" s="103" t="n">
        <x:f>I164*'Inputs &amp; Guide'!$B$8</x:f>
        <x:v>2.0741433146014456</x:v>
      </x:c>
      <x:c r="R164" s="104" t="n">
        <x:f>IFERROR(P164/Q164,0)</x:f>
        <x:v>28.927605714424427</x:v>
      </x:c>
      <x:c r="S164" s="105" t="n">
        <x:f>ROUND(E164*XLOOKUP(C164,'Reference Tables'!$E$4:$E$12,'Reference Tables'!$G$4:$G$12,1),1)</x:f>
        <x:v>7.5</x:v>
      </x:c>
      <x:c r="T164" s="106" t="str">
        <x:f>IF(R164&gt;='Inputs &amp; Guide'!$B$9,"HIGH",IF(R164&gt;=0.45,"WATCH","NORMAL"))</x:f>
        <x:v>HIGH</x:v>
      </x:c>
    </x:row>
    <x:row r="165">
      <x:c r="A165" s="95" t="n">
        <x:v>1289</x:v>
      </x:c>
      <x:c r="B165" s="96" t="n">
        <x:v>45345.4375</x:v>
      </x:c>
      <x:c r="C165" s="97" t="str">
        <x:v>Wildfire</x:v>
      </x:c>
      <x:c r="D165" s="97" t="str">
        <x:v>USA</x:v>
      </x:c>
      <x:c r="E165" s="98" t="n">
        <x:v>4.741755032339306</x:v>
      </x:c>
      <x:c r="F165" s="99" t="n">
        <x:v>975.910255443323</x:v>
      </x:c>
      <x:c r="G165" s="100" t="str">
        <x:f>XLOOKUP(D165,'Reference Tables'!$A$4:$A$23,'Reference Tables'!$B$4:$B$23,"Other")</x:f>
        <x:v>Other</x:v>
      </x:c>
      <x:c r="H165" s="100" t="str">
        <x:f>VLOOKUP(G165,'Reference Tables'!$I$4:$J$9,2,FALSE)</x:f>
        <x:v>Moderate</x:v>
      </x:c>
      <x:c r="I165" s="101" t="n">
        <x:f>F165*'Inputs &amp; Guide'!$B$4*XLOOKUP(D165,'Reference Tables'!$A$4:$A$23,'Reference Tables'!$C$4:$C$23,0.75)</x:f>
        <x:v>117.10923065319876</x:v>
      </x:c>
      <x:c r="J165" s="102" t="n">
        <x:f>XLOOKUP(C165,'Reference Tables'!$E$4:$E$12,'Reference Tables'!$F$4:$F$12,0.05)</x:f>
        <x:v>0.1</x:v>
      </x:c>
      <x:c r="K165" s="103" t="n">
        <x:f>MIN(I165,F165*J165)</x:f>
        <x:v>97.5910255443323</x:v>
      </x:c>
      <x:c r="L165" s="103" t="n">
        <x:f>'Inputs &amp; Guide'!$B$5</x:f>
        <x:v>15</x:v>
      </x:c>
      <x:c r="M165" s="103" t="n">
        <x:f>I165*'Inputs &amp; Guide'!$B$6</x:f>
        <x:v>64.41007685925932</x:v>
      </x:c>
      <x:c r="N165" s="103" t="n">
        <x:f>MAX(0,MIN(K165-L165,M165))</x:f>
        <x:v>64.41007685925932</x:v>
      </x:c>
      <x:c r="O165" s="103" t="n">
        <x:f>MAX(0,N165-'Inputs &amp; Guide'!$B$7)</x:f>
        <x:v>4.41007685925932</x:v>
      </x:c>
      <x:c r="P165" s="103" t="n">
        <x:f>N165-O165</x:f>
        <x:v>60</x:v>
      </x:c>
      <x:c r="Q165" s="103" t="n">
        <x:f>I165*'Inputs &amp; Guide'!$B$8</x:f>
        <x:v>2.1079661517575774</x:v>
      </x:c>
      <x:c r="R165" s="104" t="n">
        <x:f>IFERROR(P165/Q165,0)</x:f>
        <x:v>28.463455141332926</x:v>
      </x:c>
      <x:c r="S165" s="105" t="n">
        <x:f>ROUND(E165*XLOOKUP(C165,'Reference Tables'!$E$4:$E$12,'Reference Tables'!$G$4:$G$12,1),1)</x:f>
        <x:v>5.5</x:v>
      </x:c>
      <x:c r="T165" s="106" t="str">
        <x:f>IF(R165&gt;='Inputs &amp; Guide'!$B$9,"HIGH",IF(R165&gt;=0.45,"WATCH","NORMAL"))</x:f>
        <x:v>HIGH</x:v>
      </x:c>
    </x:row>
    <x:row r="166">
      <x:c r="A166" s="95" t="n">
        <x:v>1297</x:v>
      </x:c>
      <x:c r="B166" s="96" t="n">
        <x:v>45346</x:v>
      </x:c>
      <x:c r="C166" s="97" t="str">
        <x:v>Wildfire</x:v>
      </x:c>
      <x:c r="D166" s="97" t="str">
        <x:v>Brazil</x:v>
      </x:c>
      <x:c r="E166" s="98" t="n">
        <x:v>3.209135465974059</x:v>
      </x:c>
      <x:c r="F166" s="99" t="n">
        <x:v>23.309042701267014</x:v>
      </x:c>
      <x:c r="G166" s="100" t="str">
        <x:f>XLOOKUP(D166,'Reference Tables'!$A$4:$A$23,'Reference Tables'!$B$4:$B$23,"Other")</x:f>
        <x:v>Latin America</x:v>
      </x:c>
      <x:c r="H166" s="100" t="str">
        <x:f>VLOOKUP(G166,'Reference Tables'!$I$4:$J$9,2,FALSE)</x:f>
        <x:v>Moderate</x:v>
      </x:c>
      <x:c r="I166" s="101" t="n">
        <x:f>F166*'Inputs &amp; Guide'!$B$4*XLOOKUP(D166,'Reference Tables'!$A$4:$A$23,'Reference Tables'!$C$4:$C$23,0.75)</x:f>
        <x:v>3.058146402406232</x:v>
      </x:c>
      <x:c r="J166" s="102" t="n">
        <x:f>XLOOKUP(C166,'Reference Tables'!$E$4:$E$12,'Reference Tables'!$F$4:$F$12,0.05)</x:f>
        <x:v>0.1</x:v>
      </x:c>
      <x:c r="K166" s="103" t="n">
        <x:f>MIN(I166,F166*J166)</x:f>
        <x:v>2.3309042701267013</x:v>
      </x:c>
      <x:c r="L166" s="103" t="n">
        <x:f>'Inputs &amp; Guide'!$B$5</x:f>
        <x:v>15</x:v>
      </x:c>
      <x:c r="M166" s="103" t="n">
        <x:f>I166*'Inputs &amp; Guide'!$B$6</x:f>
        <x:v>1.6819805213234278</x:v>
      </x:c>
      <x:c r="N166" s="103" t="n">
        <x:f>MAX(0,MIN(K166-L166,M166))</x:f>
        <x:v>0</x:v>
      </x:c>
      <x:c r="O166" s="103" t="n">
        <x:f>MAX(0,N166-'Inputs &amp; Guide'!$B$7)</x:f>
        <x:v>0</x:v>
      </x:c>
      <x:c r="P166" s="103" t="n">
        <x:f>N166-O166</x:f>
        <x:v>0</x:v>
      </x:c>
      <x:c r="Q166" s="103" t="n">
        <x:f>I166*'Inputs &amp; Guide'!$B$8</x:f>
        <x:v>0.05504663524331217</x:v>
      </x:c>
      <x:c r="R166" s="104" t="n">
        <x:f>IFERROR(P166/Q166,0)</x:f>
        <x:v>0</x:v>
      </x:c>
      <x:c r="S166" s="105" t="n">
        <x:f>ROUND(E166*XLOOKUP(C166,'Reference Tables'!$E$4:$E$12,'Reference Tables'!$G$4:$G$12,1),1)</x:f>
        <x:v>3.7</x:v>
      </x:c>
      <x:c r="T166" s="106" t="str">
        <x:f>IF(R166&gt;='Inputs &amp; Guide'!$B$9,"HIGH",IF(R166&gt;=0.45,"WATCH","NORMAL"))</x:f>
        <x:v>NORMAL</x:v>
      </x:c>
    </x:row>
    <x:row r="167">
      <x:c r="A167" s="95" t="n">
        <x:v>1305</x:v>
      </x:c>
      <x:c r="B167" s="96" t="n">
        <x:v>45346.104166666664</x:v>
      </x:c>
      <x:c r="C167" s="97" t="str">
        <x:v>Hurricane</x:v>
      </x:c>
      <x:c r="D167" s="97" t="str">
        <x:v>China</x:v>
      </x:c>
      <x:c r="E167" s="98" t="n">
        <x:v>6.384881206162459</x:v>
      </x:c>
      <x:c r="F167" s="99" t="n">
        <x:v>706.0760875177073</x:v>
      </x:c>
      <x:c r="G167" s="100" t="str">
        <x:f>XLOOKUP(D167,'Reference Tables'!$A$4:$A$23,'Reference Tables'!$B$4:$B$23,"Other")</x:f>
        <x:v>Asia Pacific</x:v>
      </x:c>
      <x:c r="H167" s="100" t="str">
        <x:f>VLOOKUP(G167,'Reference Tables'!$I$4:$J$9,2,FALSE)</x:f>
        <x:v>High</x:v>
      </x:c>
      <x:c r="I167" s="101" t="n">
        <x:f>F167*'Inputs &amp; Guide'!$B$4*XLOOKUP(D167,'Reference Tables'!$A$4:$A$23,'Reference Tables'!$C$4:$C$23,0.75)</x:f>
        <x:v>122.00994792305983</x:v>
      </x:c>
      <x:c r="J167" s="102" t="n">
        <x:f>XLOOKUP(C167,'Reference Tables'!$E$4:$E$12,'Reference Tables'!$F$4:$F$12,0.05)</x:f>
        <x:v>0.18</x:v>
      </x:c>
      <x:c r="K167" s="103" t="n">
        <x:f>MIN(I167,F167*J167)</x:f>
        <x:v>122.00994792305983</x:v>
      </x:c>
      <x:c r="L167" s="103" t="n">
        <x:f>'Inputs &amp; Guide'!$B$5</x:f>
        <x:v>15</x:v>
      </x:c>
      <x:c r="M167" s="103" t="n">
        <x:f>I167*'Inputs &amp; Guide'!$B$6</x:f>
        <x:v>67.10547135768292</x:v>
      </x:c>
      <x:c r="N167" s="103" t="n">
        <x:f>MAX(0,MIN(K167-L167,M167))</x:f>
        <x:v>67.10547135768292</x:v>
      </x:c>
      <x:c r="O167" s="103" t="n">
        <x:f>MAX(0,N167-'Inputs &amp; Guide'!$B$7)</x:f>
        <x:v>7.105471357682916</x:v>
      </x:c>
      <x:c r="P167" s="103" t="n">
        <x:f>N167-O167</x:f>
        <x:v>60</x:v>
      </x:c>
      <x:c r="Q167" s="103" t="n">
        <x:f>I167*'Inputs &amp; Guide'!$B$8</x:f>
        <x:v>2.1961790626150766</x:v>
      </x:c>
      <x:c r="R167" s="104" t="n">
        <x:f>IFERROR(P167/Q167,0)</x:f>
        <x:v>27.320176674736004</x:v>
      </x:c>
      <x:c r="S167" s="105" t="n">
        <x:f>ROUND(E167*XLOOKUP(C167,'Reference Tables'!$E$4:$E$12,'Reference Tables'!$G$4:$G$12,1),1)</x:f>
        <x:v>8.9</x:v>
      </x:c>
      <x:c r="T167" s="106" t="str">
        <x:f>IF(R167&gt;='Inputs &amp; Guide'!$B$9,"HIGH",IF(R167&gt;=0.45,"WATCH","NORMAL"))</x:f>
        <x:v>HIGH</x:v>
      </x:c>
    </x:row>
    <x:row r="168">
      <x:c r="A168" s="95" t="n">
        <x:v>1313</x:v>
      </x:c>
      <x:c r="B168" s="96" t="n">
        <x:v>45346.4375</x:v>
      </x:c>
      <x:c r="C168" s="97" t="str">
        <x:v>Hurricane</x:v>
      </x:c>
      <x:c r="D168" s="97" t="str">
        <x:v>Japan</x:v>
      </x:c>
      <x:c r="E168" s="98" t="n">
        <x:v>4.08562552387745</x:v>
      </x:c>
      <x:c r="F168" s="99" t="n">
        <x:v>86.5190212681814</x:v>
      </x:c>
      <x:c r="G168" s="100" t="str">
        <x:f>XLOOKUP(D168,'Reference Tables'!$A$4:$A$23,'Reference Tables'!$B$4:$B$23,"Other")</x:f>
        <x:v>Asia Pacific</x:v>
      </x:c>
      <x:c r="H168" s="100" t="str">
        <x:f>VLOOKUP(G168,'Reference Tables'!$I$4:$J$9,2,FALSE)</x:f>
        <x:v>High</x:v>
      </x:c>
      <x:c r="I168" s="101" t="n">
        <x:f>F168*'Inputs &amp; Guide'!$B$4*XLOOKUP(D168,'Reference Tables'!$A$4:$A$23,'Reference Tables'!$C$4:$C$23,0.75)</x:f>
        <x:v>16.33479121543265</x:v>
      </x:c>
      <x:c r="J168" s="102" t="n">
        <x:f>XLOOKUP(C168,'Reference Tables'!$E$4:$E$12,'Reference Tables'!$F$4:$F$12,0.05)</x:f>
        <x:v>0.18</x:v>
      </x:c>
      <x:c r="K168" s="103" t="n">
        <x:f>MIN(I168,F168*J168)</x:f>
        <x:v>15.573423828272652</x:v>
      </x:c>
      <x:c r="L168" s="103" t="n">
        <x:f>'Inputs &amp; Guide'!$B$5</x:f>
        <x:v>15</x:v>
      </x:c>
      <x:c r="M168" s="103" t="n">
        <x:f>I168*'Inputs &amp; Guide'!$B$6</x:f>
        <x:v>8.984135168487958</x:v>
      </x:c>
      <x:c r="N168" s="103" t="n">
        <x:f>MAX(0,MIN(K168-L168,M168))</x:f>
        <x:v>0.5734238282726523</x:v>
      </x:c>
      <x:c r="O168" s="103" t="n">
        <x:f>MAX(0,N168-'Inputs &amp; Guide'!$B$7)</x:f>
        <x:v>0</x:v>
      </x:c>
      <x:c r="P168" s="103" t="n">
        <x:f>N168-O168</x:f>
        <x:v>0.5734238282726523</x:v>
      </x:c>
      <x:c r="Q168" s="103" t="n">
        <x:f>I168*'Inputs &amp; Guide'!$B$8</x:f>
        <x:v>0.29402624187778764</x:v>
      </x:c>
      <x:c r="R168" s="104" t="n">
        <x:f>IFERROR(P168/Q168,0)</x:f>
        <x:v>1.9502471092733162</x:v>
      </x:c>
      <x:c r="S168" s="105" t="n">
        <x:f>ROUND(E168*XLOOKUP(C168,'Reference Tables'!$E$4:$E$12,'Reference Tables'!$G$4:$G$12,1),1)</x:f>
        <x:v>5.7</x:v>
      </x:c>
      <x:c r="T168" s="106" t="str">
        <x:f>IF(R168&gt;='Inputs &amp; Guide'!$B$9,"HIGH",IF(R168&gt;=0.45,"WATCH","NORMAL"))</x:f>
        <x:v>HIGH</x:v>
      </x:c>
    </x:row>
    <x:row r="169">
      <x:c r="A169" s="95" t="n">
        <x:v>1321</x:v>
      </x:c>
      <x:c r="B169" s="96" t="n">
        <x:v>45347</x:v>
      </x:c>
      <x:c r="C169" s="97" t="str">
        <x:v>Flood</x:v>
      </x:c>
      <x:c r="D169" s="97" t="str">
        <x:v>USA</x:v>
      </x:c>
      <x:c r="E169" s="98" t="n">
        <x:v>9.35041608375057</x:v>
      </x:c>
      <x:c r="F169" s="99" t="n">
        <x:v>766.4344904025658</x:v>
      </x:c>
      <x:c r="G169" s="100" t="str">
        <x:f>XLOOKUP(D169,'Reference Tables'!$A$4:$A$23,'Reference Tables'!$B$4:$B$23,"Other")</x:f>
        <x:v>Other</x:v>
      </x:c>
      <x:c r="H169" s="100" t="str">
        <x:f>VLOOKUP(G169,'Reference Tables'!$I$4:$J$9,2,FALSE)</x:f>
        <x:v>Moderate</x:v>
      </x:c>
      <x:c r="I169" s="101" t="n">
        <x:f>F169*'Inputs &amp; Guide'!$B$4*XLOOKUP(D169,'Reference Tables'!$A$4:$A$23,'Reference Tables'!$C$4:$C$23,0.75)</x:f>
        <x:v>91.97213884830789</x:v>
      </x:c>
      <x:c r="J169" s="102" t="n">
        <x:f>XLOOKUP(C169,'Reference Tables'!$E$4:$E$12,'Reference Tables'!$F$4:$F$12,0.05)</x:f>
        <x:v>0.12</x:v>
      </x:c>
      <x:c r="K169" s="103" t="n">
        <x:f>MIN(I169,F169*J169)</x:f>
        <x:v>91.97213884830789</x:v>
      </x:c>
      <x:c r="L169" s="103" t="n">
        <x:f>'Inputs &amp; Guide'!$B$5</x:f>
        <x:v>15</x:v>
      </x:c>
      <x:c r="M169" s="103" t="n">
        <x:f>I169*'Inputs &amp; Guide'!$B$6</x:f>
        <x:v>50.58467636656935</x:v>
      </x:c>
      <x:c r="N169" s="103" t="n">
        <x:f>MAX(0,MIN(K169-L169,M169))</x:f>
        <x:v>50.58467636656935</x:v>
      </x:c>
      <x:c r="O169" s="103" t="n">
        <x:f>MAX(0,N169-'Inputs &amp; Guide'!$B$7)</x:f>
        <x:v>0</x:v>
      </x:c>
      <x:c r="P169" s="103" t="n">
        <x:f>N169-O169</x:f>
        <x:v>50.58467636656935</x:v>
      </x:c>
      <x:c r="Q169" s="103" t="n">
        <x:f>I169*'Inputs &amp; Guide'!$B$8</x:f>
        <x:v>1.6554984992695418</x:v>
      </x:c>
      <x:c r="R169" s="104" t="n">
        <x:f>IFERROR(P169/Q169,0)</x:f>
        <x:v>30.555555555555564</x:v>
      </x:c>
      <x:c r="S169" s="105" t="n">
        <x:f>ROUND(E169*XLOOKUP(C169,'Reference Tables'!$E$4:$E$12,'Reference Tables'!$G$4:$G$12,1),1)</x:f>
        <x:v>11.7</x:v>
      </x:c>
      <x:c r="T169" s="106" t="str">
        <x:f>IF(R169&gt;='Inputs &amp; Guide'!$B$9,"HIGH",IF(R169&gt;=0.45,"WATCH","NORMAL"))</x:f>
        <x:v>HIGH</x:v>
      </x:c>
    </x:row>
    <x:row r="170">
      <x:c r="A170" s="95" t="n">
        <x:v>1329</x:v>
      </x:c>
      <x:c r="B170" s="96" t="n">
        <x:v>45347.104166666664</x:v>
      </x:c>
      <x:c r="C170" s="97" t="str">
        <x:v>Flood</x:v>
      </x:c>
      <x:c r="D170" s="97" t="str">
        <x:v>India</x:v>
      </x:c>
      <x:c r="E170" s="98" t="n">
        <x:v>1.4582510572598153</x:v>
      </x:c>
      <x:c r="F170" s="99" t="n">
        <x:v>106.24397957937191</x:v>
      </x:c>
      <x:c r="G170" s="100" t="str">
        <x:f>XLOOKUP(D170,'Reference Tables'!$A$4:$A$23,'Reference Tables'!$B$4:$B$23,"Other")</x:f>
        <x:v>Asia Pacific</x:v>
      </x:c>
      <x:c r="H170" s="100" t="str">
        <x:f>VLOOKUP(G170,'Reference Tables'!$I$4:$J$9,2,FALSE)</x:f>
        <x:v>High</x:v>
      </x:c>
      <x:c r="I170" s="101" t="n">
        <x:f>F170*'Inputs &amp; Guide'!$B$4*XLOOKUP(D170,'Reference Tables'!$A$4:$A$23,'Reference Tables'!$C$4:$C$23,0.75)</x:f>
        <x:v>15.46912342675655</x:v>
      </x:c>
      <x:c r="J170" s="102" t="n">
        <x:f>XLOOKUP(C170,'Reference Tables'!$E$4:$E$12,'Reference Tables'!$F$4:$F$12,0.05)</x:f>
        <x:v>0.12</x:v>
      </x:c>
      <x:c r="K170" s="103" t="n">
        <x:f>MIN(I170,F170*J170)</x:f>
        <x:v>12.74927754952463</x:v>
      </x:c>
      <x:c r="L170" s="103" t="n">
        <x:f>'Inputs &amp; Guide'!$B$5</x:f>
        <x:v>15</x:v>
      </x:c>
      <x:c r="M170" s="103" t="n">
        <x:f>I170*'Inputs &amp; Guide'!$B$6</x:f>
        <x:v>8.508017884716104</x:v>
      </x:c>
      <x:c r="N170" s="103" t="n">
        <x:f>MAX(0,MIN(K170-L170,M170))</x:f>
        <x:v>0</x:v>
      </x:c>
      <x:c r="O170" s="103" t="n">
        <x:f>MAX(0,N170-'Inputs &amp; Guide'!$B$7)</x:f>
        <x:v>0</x:v>
      </x:c>
      <x:c r="P170" s="103" t="n">
        <x:f>N170-O170</x:f>
        <x:v>0</x:v>
      </x:c>
      <x:c r="Q170" s="103" t="n">
        <x:f>I170*'Inputs &amp; Guide'!$B$8</x:f>
        <x:v>0.27844422168161787</x:v>
      </x:c>
      <x:c r="R170" s="104" t="n">
        <x:f>IFERROR(P170/Q170,0)</x:f>
        <x:v>0</x:v>
      </x:c>
      <x:c r="S170" s="105" t="n">
        <x:f>ROUND(E170*XLOOKUP(C170,'Reference Tables'!$E$4:$E$12,'Reference Tables'!$G$4:$G$12,1),1)</x:f>
        <x:v>1.8</x:v>
      </x:c>
      <x:c r="T170" s="106" t="str">
        <x:f>IF(R170&gt;='Inputs &amp; Guide'!$B$9,"HIGH",IF(R170&gt;=0.45,"WATCH","NORMAL"))</x:f>
        <x:v>NORMAL</x:v>
      </x:c>
    </x:row>
    <x:row r="171">
      <x:c r="A171" s="95" t="n">
        <x:v>1337</x:v>
      </x:c>
      <x:c r="B171" s="96" t="n">
        <x:v>45347.4375</x:v>
      </x:c>
      <x:c r="C171" s="97" t="str">
        <x:v>Flood</x:v>
      </x:c>
      <x:c r="D171" s="97" t="str">
        <x:v>Brazil</x:v>
      </x:c>
      <x:c r="E171" s="98" t="n">
        <x:v>5.6115125651574695</x:v>
      </x:c>
      <x:c r="F171" s="99" t="n">
        <x:v>108.42135316067498</x:v>
      </x:c>
      <x:c r="G171" s="100" t="str">
        <x:f>XLOOKUP(D171,'Reference Tables'!$A$4:$A$23,'Reference Tables'!$B$4:$B$23,"Other")</x:f>
        <x:v>Latin America</x:v>
      </x:c>
      <x:c r="H171" s="100" t="str">
        <x:f>VLOOKUP(G171,'Reference Tables'!$I$4:$J$9,2,FALSE)</x:f>
        <x:v>Moderate</x:v>
      </x:c>
      <x:c r="I171" s="101" t="n">
        <x:f>F171*'Inputs &amp; Guide'!$B$4*XLOOKUP(D171,'Reference Tables'!$A$4:$A$23,'Reference Tables'!$C$4:$C$23,0.75)</x:f>
        <x:v>14.224881534680557</x:v>
      </x:c>
      <x:c r="J171" s="102" t="n">
        <x:f>XLOOKUP(C171,'Reference Tables'!$E$4:$E$12,'Reference Tables'!$F$4:$F$12,0.05)</x:f>
        <x:v>0.12</x:v>
      </x:c>
      <x:c r="K171" s="103" t="n">
        <x:f>MIN(I171,F171*J171)</x:f>
        <x:v>13.010562379280998</x:v>
      </x:c>
      <x:c r="L171" s="103" t="n">
        <x:f>'Inputs &amp; Guide'!$B$5</x:f>
        <x:v>15</x:v>
      </x:c>
      <x:c r="M171" s="103" t="n">
        <x:f>I171*'Inputs &amp; Guide'!$B$6</x:f>
        <x:v>7.823684844074307</x:v>
      </x:c>
      <x:c r="N171" s="103" t="n">
        <x:f>MAX(0,MIN(K171-L171,M171))</x:f>
        <x:v>0</x:v>
      </x:c>
      <x:c r="O171" s="103" t="n">
        <x:f>MAX(0,N171-'Inputs &amp; Guide'!$B$7)</x:f>
        <x:v>0</x:v>
      </x:c>
      <x:c r="P171" s="103" t="n">
        <x:f>N171-O171</x:f>
        <x:v>0</x:v>
      </x:c>
      <x:c r="Q171" s="103" t="n">
        <x:f>I171*'Inputs &amp; Guide'!$B$8</x:f>
        <x:v>0.25604786762425</x:v>
      </x:c>
      <x:c r="R171" s="104" t="n">
        <x:f>IFERROR(P171/Q171,0)</x:f>
        <x:v>0</x:v>
      </x:c>
      <x:c r="S171" s="105" t="n">
        <x:f>ROUND(E171*XLOOKUP(C171,'Reference Tables'!$E$4:$E$12,'Reference Tables'!$G$4:$G$12,1),1)</x:f>
        <x:v>7</x:v>
      </x:c>
      <x:c r="T171" s="106" t="str">
        <x:f>IF(R171&gt;='Inputs &amp; Guide'!$B$9,"HIGH",IF(R171&gt;=0.45,"WATCH","NORMAL"))</x:f>
        <x:v>NORMAL</x:v>
      </x:c>
    </x:row>
    <x:row r="172">
      <x:c r="A172" s="95" t="n">
        <x:v>1345</x:v>
      </x:c>
      <x:c r="B172" s="96" t="n">
        <x:v>45348</x:v>
      </x:c>
      <x:c r="C172" s="97" t="str">
        <x:v>Wildfire</x:v>
      </x:c>
      <x:c r="D172" s="97" t="str">
        <x:v>Indonesia</x:v>
      </x:c>
      <x:c r="E172" s="98" t="n">
        <x:v>8.660056019839498</x:v>
      </x:c>
      <x:c r="F172" s="99" t="n">
        <x:v>169.20614554078767</x:v>
      </x:c>
      <x:c r="G172" s="100" t="str">
        <x:f>XLOOKUP(D172,'Reference Tables'!$A$4:$A$23,'Reference Tables'!$B$4:$B$23,"Other")</x:f>
        <x:v>Asia Pacific</x:v>
      </x:c>
      <x:c r="H172" s="100" t="str">
        <x:f>VLOOKUP(G172,'Reference Tables'!$I$4:$J$9,2,FALSE)</x:f>
        <x:v>High</x:v>
      </x:c>
      <x:c r="I172" s="101" t="n">
        <x:f>F172*'Inputs &amp; Guide'!$B$4*XLOOKUP(D172,'Reference Tables'!$A$4:$A$23,'Reference Tables'!$C$4:$C$23,0.75)</x:f>
        <x:v>27.88517278512181</x:v>
      </x:c>
      <x:c r="J172" s="102" t="n">
        <x:f>XLOOKUP(C172,'Reference Tables'!$E$4:$E$12,'Reference Tables'!$F$4:$F$12,0.05)</x:f>
        <x:v>0.1</x:v>
      </x:c>
      <x:c r="K172" s="103" t="n">
        <x:f>MIN(I172,F172*J172)</x:f>
        <x:v>16.920614554078767</x:v>
      </x:c>
      <x:c r="L172" s="103" t="n">
        <x:f>'Inputs &amp; Guide'!$B$5</x:f>
        <x:v>15</x:v>
      </x:c>
      <x:c r="M172" s="103" t="n">
        <x:f>I172*'Inputs &amp; Guide'!$B$6</x:f>
        <x:v>15.336845031816997</x:v>
      </x:c>
      <x:c r="N172" s="103" t="n">
        <x:f>MAX(0,MIN(K172-L172,M172))</x:f>
        <x:v>1.9206145540787674</x:v>
      </x:c>
      <x:c r="O172" s="103" t="n">
        <x:f>MAX(0,N172-'Inputs &amp; Guide'!$B$7)</x:f>
        <x:v>0</x:v>
      </x:c>
      <x:c r="P172" s="103" t="n">
        <x:f>N172-O172</x:f>
        <x:v>1.9206145540787674</x:v>
      </x:c>
      <x:c r="Q172" s="103" t="n">
        <x:f>I172*'Inputs &amp; Guide'!$B$8</x:f>
        <x:v>0.5019331101321926</x:v>
      </x:c>
      <x:c r="R172" s="104" t="n">
        <x:f>IFERROR(P172/Q172,0)</x:f>
        <x:v>3.8264352665894887</x:v>
      </x:c>
      <x:c r="S172" s="105" t="n">
        <x:f>ROUND(E172*XLOOKUP(C172,'Reference Tables'!$E$4:$E$12,'Reference Tables'!$G$4:$G$12,1),1)</x:f>
        <x:v>10</x:v>
      </x:c>
      <x:c r="T172" s="106" t="str">
        <x:f>IF(R172&gt;='Inputs &amp; Guide'!$B$9,"HIGH",IF(R172&gt;=0.45,"WATCH","NORMAL"))</x:f>
        <x:v>HIGH</x:v>
      </x:c>
    </x:row>
    <x:row r="173">
      <x:c r="A173" s="95" t="n">
        <x:v>1353</x:v>
      </x:c>
      <x:c r="B173" s="96" t="n">
        <x:v>45348.104166666664</x:v>
      </x:c>
      <x:c r="C173" s="97" t="str">
        <x:v>Flood</x:v>
      </x:c>
      <x:c r="D173" s="97" t="str">
        <x:v>Brazil</x:v>
      </x:c>
      <x:c r="E173" s="98" t="n">
        <x:v>3.2551584264263305</x:v>
      </x:c>
      <x:c r="F173" s="99" t="n">
        <x:v>424.10977354160514</x:v>
      </x:c>
      <x:c r="G173" s="100" t="str">
        <x:f>XLOOKUP(D173,'Reference Tables'!$A$4:$A$23,'Reference Tables'!$B$4:$B$23,"Other")</x:f>
        <x:v>Latin America</x:v>
      </x:c>
      <x:c r="H173" s="100" t="str">
        <x:f>VLOOKUP(G173,'Reference Tables'!$I$4:$J$9,2,FALSE)</x:f>
        <x:v>Moderate</x:v>
      </x:c>
      <x:c r="I173" s="101" t="n">
        <x:f>F173*'Inputs &amp; Guide'!$B$4*XLOOKUP(D173,'Reference Tables'!$A$4:$A$23,'Reference Tables'!$C$4:$C$23,0.75)</x:f>
        <x:v>55.64320228865859</x:v>
      </x:c>
      <x:c r="J173" s="102" t="n">
        <x:f>XLOOKUP(C173,'Reference Tables'!$E$4:$E$12,'Reference Tables'!$F$4:$F$12,0.05)</x:f>
        <x:v>0.12</x:v>
      </x:c>
      <x:c r="K173" s="103" t="n">
        <x:f>MIN(I173,F173*J173)</x:f>
        <x:v>50.89317282499261</x:v>
      </x:c>
      <x:c r="L173" s="103" t="n">
        <x:f>'Inputs &amp; Guide'!$B$5</x:f>
        <x:v>15</x:v>
      </x:c>
      <x:c r="M173" s="103" t="n">
        <x:f>I173*'Inputs &amp; Guide'!$B$6</x:f>
        <x:v>30.60376125876223</x:v>
      </x:c>
      <x:c r="N173" s="103" t="n">
        <x:f>MAX(0,MIN(K173-L173,M173))</x:f>
        <x:v>30.60376125876223</x:v>
      </x:c>
      <x:c r="O173" s="103" t="n">
        <x:f>MAX(0,N173-'Inputs &amp; Guide'!$B$7)</x:f>
        <x:v>0</x:v>
      </x:c>
      <x:c r="P173" s="103" t="n">
        <x:f>N173-O173</x:f>
        <x:v>30.60376125876223</x:v>
      </x:c>
      <x:c r="Q173" s="103" t="n">
        <x:f>I173*'Inputs &amp; Guide'!$B$8</x:f>
        <x:v>1.0015776411958546</x:v>
      </x:c>
      <x:c r="R173" s="104" t="n">
        <x:f>IFERROR(P173/Q173,0)</x:f>
        <x:v>30.55555555555556</x:v>
      </x:c>
      <x:c r="S173" s="105" t="n">
        <x:f>ROUND(E173*XLOOKUP(C173,'Reference Tables'!$E$4:$E$12,'Reference Tables'!$G$4:$G$12,1),1)</x:f>
        <x:v>4.1</x:v>
      </x:c>
      <x:c r="T173" s="106" t="str">
        <x:f>IF(R173&gt;='Inputs &amp; Guide'!$B$9,"HIGH",IF(R173&gt;=0.45,"WATCH","NORMAL"))</x:f>
        <x:v>HIGH</x:v>
      </x:c>
    </x:row>
    <x:row r="174">
      <x:c r="A174" s="95" t="n">
        <x:v>1361</x:v>
      </x:c>
      <x:c r="B174" s="96" t="n">
        <x:v>45348.4375</x:v>
      </x:c>
      <x:c r="C174" s="97" t="str">
        <x:v>Tornado</x:v>
      </x:c>
      <x:c r="D174" s="97" t="str">
        <x:v>China</x:v>
      </x:c>
      <x:c r="E174" s="98" t="n">
        <x:v>5.180213525258246</x:v>
      </x:c>
      <x:c r="F174" s="99" t="n">
        <x:v>245.4401550764541</x:v>
      </x:c>
      <x:c r="G174" s="100" t="str">
        <x:f>XLOOKUP(D174,'Reference Tables'!$A$4:$A$23,'Reference Tables'!$B$4:$B$23,"Other")</x:f>
        <x:v>Asia Pacific</x:v>
      </x:c>
      <x:c r="H174" s="100" t="str">
        <x:f>VLOOKUP(G174,'Reference Tables'!$I$4:$J$9,2,FALSE)</x:f>
        <x:v>High</x:v>
      </x:c>
      <x:c r="I174" s="101" t="n">
        <x:f>F174*'Inputs &amp; Guide'!$B$4*XLOOKUP(D174,'Reference Tables'!$A$4:$A$23,'Reference Tables'!$C$4:$C$23,0.75)</x:f>
        <x:v>42.41205879721127</x:v>
      </x:c>
      <x:c r="J174" s="102" t="n">
        <x:f>XLOOKUP(C174,'Reference Tables'!$E$4:$E$12,'Reference Tables'!$F$4:$F$12,0.05)</x:f>
        <x:v>0.09</x:v>
      </x:c>
      <x:c r="K174" s="103" t="n">
        <x:f>MIN(I174,F174*J174)</x:f>
        <x:v>22.089613956880868</x:v>
      </x:c>
      <x:c r="L174" s="103" t="n">
        <x:f>'Inputs &amp; Guide'!$B$5</x:f>
        <x:v>15</x:v>
      </x:c>
      <x:c r="M174" s="103" t="n">
        <x:f>I174*'Inputs &amp; Guide'!$B$6</x:f>
        <x:v>23.3266323384662</x:v>
      </x:c>
      <x:c r="N174" s="103" t="n">
        <x:f>MAX(0,MIN(K174-L174,M174))</x:f>
        <x:v>7.089613956880868</x:v>
      </x:c>
      <x:c r="O174" s="103" t="n">
        <x:f>MAX(0,N174-'Inputs &amp; Guide'!$B$7)</x:f>
        <x:v>0</x:v>
      </x:c>
      <x:c r="P174" s="103" t="n">
        <x:f>N174-O174</x:f>
        <x:v>7.089613956880868</x:v>
      </x:c>
      <x:c r="Q174" s="103" t="n">
        <x:f>I174*'Inputs &amp; Guide'!$B$8</x:f>
        <x:v>0.7634170583498029</x:v>
      </x:c>
      <x:c r="R174" s="104" t="n">
        <x:f>IFERROR(P174/Q174,0)</x:f>
        <x:v>9.286685278169877</x:v>
      </x:c>
      <x:c r="S174" s="105" t="n">
        <x:f>ROUND(E174*XLOOKUP(C174,'Reference Tables'!$E$4:$E$12,'Reference Tables'!$G$4:$G$12,1),1)</x:f>
        <x:v>5.4</x:v>
      </x:c>
      <x:c r="T174" s="106" t="str">
        <x:f>IF(R174&gt;='Inputs &amp; Guide'!$B$9,"HIGH",IF(R174&gt;=0.45,"WATCH","NORMAL"))</x:f>
        <x:v>HIGH</x:v>
      </x:c>
    </x:row>
    <x:row r="175">
      <x:c r="A175" s="95" t="n">
        <x:v>1369</x:v>
      </x:c>
      <x:c r="B175" s="96" t="n">
        <x:v>45349</x:v>
      </x:c>
      <x:c r="C175" s="97" t="str">
        <x:v>Hurricane</x:v>
      </x:c>
      <x:c r="D175" s="97" t="str">
        <x:v>Brazil</x:v>
      </x:c>
      <x:c r="E175" s="98" t="n">
        <x:v>9.445268824369434</x:v>
      </x:c>
      <x:c r="F175" s="99" t="n">
        <x:v>418.1038139993844</x:v>
      </x:c>
      <x:c r="G175" s="100" t="str">
        <x:f>XLOOKUP(D175,'Reference Tables'!$A$4:$A$23,'Reference Tables'!$B$4:$B$23,"Other")</x:f>
        <x:v>Latin America</x:v>
      </x:c>
      <x:c r="H175" s="100" t="str">
        <x:f>VLOOKUP(G175,'Reference Tables'!$I$4:$J$9,2,FALSE)</x:f>
        <x:v>Moderate</x:v>
      </x:c>
      <x:c r="I175" s="101" t="n">
        <x:f>F175*'Inputs &amp; Guide'!$B$4*XLOOKUP(D175,'Reference Tables'!$A$4:$A$23,'Reference Tables'!$C$4:$C$23,0.75)</x:f>
        <x:v>54.85522039671923</x:v>
      </x:c>
      <x:c r="J175" s="102" t="n">
        <x:f>XLOOKUP(C175,'Reference Tables'!$E$4:$E$12,'Reference Tables'!$F$4:$F$12,0.05)</x:f>
        <x:v>0.18</x:v>
      </x:c>
      <x:c r="K175" s="103" t="n">
        <x:f>MIN(I175,F175*J175)</x:f>
        <x:v>54.85522039671923</x:v>
      </x:c>
      <x:c r="L175" s="103" t="n">
        <x:f>'Inputs &amp; Guide'!$B$5</x:f>
        <x:v>15</x:v>
      </x:c>
      <x:c r="M175" s="103" t="n">
        <x:f>I175*'Inputs &amp; Guide'!$B$6</x:f>
        <x:v>30.17037121819558</x:v>
      </x:c>
      <x:c r="N175" s="103" t="n">
        <x:f>MAX(0,MIN(K175-L175,M175))</x:f>
        <x:v>30.17037121819558</x:v>
      </x:c>
      <x:c r="O175" s="103" t="n">
        <x:f>MAX(0,N175-'Inputs &amp; Guide'!$B$7)</x:f>
        <x:v>0</x:v>
      </x:c>
      <x:c r="P175" s="103" t="n">
        <x:f>N175-O175</x:f>
        <x:v>30.17037121819558</x:v>
      </x:c>
      <x:c r="Q175" s="103" t="n">
        <x:f>I175*'Inputs &amp; Guide'!$B$8</x:f>
        <x:v>0.9873939671409461</x:v>
      </x:c>
      <x:c r="R175" s="104" t="n">
        <x:f>IFERROR(P175/Q175,0)</x:f>
        <x:v>30.55555555555556</x:v>
      </x:c>
      <x:c r="S175" s="105" t="n">
        <x:f>ROUND(E175*XLOOKUP(C175,'Reference Tables'!$E$4:$E$12,'Reference Tables'!$G$4:$G$12,1),1)</x:f>
        <x:v>13.2</x:v>
      </x:c>
      <x:c r="T175" s="106" t="str">
        <x:f>IF(R175&gt;='Inputs &amp; Guide'!$B$9,"HIGH",IF(R175&gt;=0.45,"WATCH","NORMAL"))</x:f>
        <x:v>HIGH</x:v>
      </x:c>
    </x:row>
    <x:row r="176">
      <x:c r="A176" s="95" t="n">
        <x:v>1377</x:v>
      </x:c>
      <x:c r="B176" s="96" t="n">
        <x:v>45349.104166666664</x:v>
      </x:c>
      <x:c r="C176" s="97" t="str">
        <x:v>Earthquake</x:v>
      </x:c>
      <x:c r="D176" s="97" t="str">
        <x:v>China</x:v>
      </x:c>
      <x:c r="E176" s="98" t="n">
        <x:v>4.008265245683662</x:v>
      </x:c>
      <x:c r="F176" s="99" t="n">
        <x:v>9.092737885753609</x:v>
      </x:c>
      <x:c r="G176" s="100" t="str">
        <x:f>XLOOKUP(D176,'Reference Tables'!$A$4:$A$23,'Reference Tables'!$B$4:$B$23,"Other")</x:f>
        <x:v>Asia Pacific</x:v>
      </x:c>
      <x:c r="H176" s="100" t="str">
        <x:f>VLOOKUP(G176,'Reference Tables'!$I$4:$J$9,2,FALSE)</x:f>
        <x:v>High</x:v>
      </x:c>
      <x:c r="I176" s="101" t="n">
        <x:f>F176*'Inputs &amp; Guide'!$B$4*XLOOKUP(D176,'Reference Tables'!$A$4:$A$23,'Reference Tables'!$C$4:$C$23,0.75)</x:f>
        <x:v>1.5712251066582237</x:v>
      </x:c>
      <x:c r="J176" s="102" t="n">
        <x:f>XLOOKUP(C176,'Reference Tables'!$E$4:$E$12,'Reference Tables'!$F$4:$F$12,0.05)</x:f>
        <x:v>0.14</x:v>
      </x:c>
      <x:c r="K176" s="103" t="n">
        <x:f>MIN(I176,F176*J176)</x:f>
        <x:v>1.2729833040055054</x:v>
      </x:c>
      <x:c r="L176" s="103" t="n">
        <x:f>'Inputs &amp; Guide'!$B$5</x:f>
        <x:v>15</x:v>
      </x:c>
      <x:c r="M176" s="103" t="n">
        <x:f>I176*'Inputs &amp; Guide'!$B$6</x:f>
        <x:v>0.8641738086620231</x:v>
      </x:c>
      <x:c r="N176" s="103" t="n">
        <x:f>MAX(0,MIN(K176-L176,M176))</x:f>
        <x:v>0</x:v>
      </x:c>
      <x:c r="O176" s="103" t="n">
        <x:f>MAX(0,N176-'Inputs &amp; Guide'!$B$7)</x:f>
        <x:v>0</x:v>
      </x:c>
      <x:c r="P176" s="103" t="n">
        <x:f>N176-O176</x:f>
        <x:v>0</x:v>
      </x:c>
      <x:c r="Q176" s="103" t="n">
        <x:f>I176*'Inputs &amp; Guide'!$B$8</x:f>
        <x:v>0.028282051919848023</x:v>
      </x:c>
      <x:c r="R176" s="104" t="n">
        <x:f>IFERROR(P176/Q176,0)</x:f>
        <x:v>0</x:v>
      </x:c>
      <x:c r="S176" s="105" t="n">
        <x:f>ROUND(E176*XLOOKUP(C176,'Reference Tables'!$E$4:$E$12,'Reference Tables'!$G$4:$G$12,1),1)</x:f>
        <x:v>6</x:v>
      </x:c>
      <x:c r="T176" s="106" t="str">
        <x:f>IF(R176&gt;='Inputs &amp; Guide'!$B$9,"HIGH",IF(R176&gt;=0.45,"WATCH","NORMAL"))</x:f>
        <x:v>NORMAL</x:v>
      </x:c>
    </x:row>
    <x:row r="177">
      <x:c r="A177" s="95" t="n">
        <x:v>1385</x:v>
      </x:c>
      <x:c r="B177" s="96" t="n">
        <x:v>45349.4375</x:v>
      </x:c>
      <x:c r="C177" s="97" t="str">
        <x:v>Flood</x:v>
      </x:c>
      <x:c r="D177" s="97" t="str">
        <x:v>India</x:v>
      </x:c>
      <x:c r="E177" s="98" t="n">
        <x:v>5.730262540236659</x:v>
      </x:c>
      <x:c r="F177" s="99" t="n">
        <x:v>42.59392919788464</x:v>
      </x:c>
      <x:c r="G177" s="100" t="str">
        <x:f>XLOOKUP(D177,'Reference Tables'!$A$4:$A$23,'Reference Tables'!$B$4:$B$23,"Other")</x:f>
        <x:v>Asia Pacific</x:v>
      </x:c>
      <x:c r="H177" s="100" t="str">
        <x:f>VLOOKUP(G177,'Reference Tables'!$I$4:$J$9,2,FALSE)</x:f>
        <x:v>High</x:v>
      </x:c>
      <x:c r="I177" s="101" t="n">
        <x:f>F177*'Inputs &amp; Guide'!$B$4*XLOOKUP(D177,'Reference Tables'!$A$4:$A$23,'Reference Tables'!$C$4:$C$23,0.75)</x:f>
        <x:v>6.201676091212004</x:v>
      </x:c>
      <x:c r="J177" s="102" t="n">
        <x:f>XLOOKUP(C177,'Reference Tables'!$E$4:$E$12,'Reference Tables'!$F$4:$F$12,0.05)</x:f>
        <x:v>0.12</x:v>
      </x:c>
      <x:c r="K177" s="103" t="n">
        <x:f>MIN(I177,F177*J177)</x:f>
        <x:v>5.111271503746157</x:v>
      </x:c>
      <x:c r="L177" s="103" t="n">
        <x:f>'Inputs &amp; Guide'!$B$5</x:f>
        <x:v>15</x:v>
      </x:c>
      <x:c r="M177" s="103" t="n">
        <x:f>I177*'Inputs &amp; Guide'!$B$6</x:f>
        <x:v>3.4109218501666025</x:v>
      </x:c>
      <x:c r="N177" s="103" t="n">
        <x:f>MAX(0,MIN(K177-L177,M177))</x:f>
        <x:v>0</x:v>
      </x:c>
      <x:c r="O177" s="103" t="n">
        <x:f>MAX(0,N177-'Inputs &amp; Guide'!$B$7)</x:f>
        <x:v>0</x:v>
      </x:c>
      <x:c r="P177" s="103" t="n">
        <x:f>N177-O177</x:f>
        <x:v>0</x:v>
      </x:c>
      <x:c r="Q177" s="103" t="n">
        <x:f>I177*'Inputs &amp; Guide'!$B$8</x:f>
        <x:v>0.11163016964181606</x:v>
      </x:c>
      <x:c r="R177" s="104" t="n">
        <x:f>IFERROR(P177/Q177,0)</x:f>
        <x:v>0</x:v>
      </x:c>
      <x:c r="S177" s="105" t="n">
        <x:f>ROUND(E177*XLOOKUP(C177,'Reference Tables'!$E$4:$E$12,'Reference Tables'!$G$4:$G$12,1),1)</x:f>
        <x:v>7.2</x:v>
      </x:c>
      <x:c r="T177" s="106" t="str">
        <x:f>IF(R177&gt;='Inputs &amp; Guide'!$B$9,"HIGH",IF(R177&gt;=0.45,"WATCH","NORMAL"))</x:f>
        <x:v>NORMAL</x:v>
      </x:c>
    </x:row>
    <x:row r="178">
      <x:c r="A178" s="95" t="n">
        <x:v>1393</x:v>
      </x:c>
      <x:c r="B178" s="96" t="n">
        <x:v>45350</x:v>
      </x:c>
      <x:c r="C178" s="97" t="str">
        <x:v>Wildfire</x:v>
      </x:c>
      <x:c r="D178" s="97" t="str">
        <x:v>Brazil</x:v>
      </x:c>
      <x:c r="E178" s="98" t="n">
        <x:v>2.031062669057724</x:v>
      </x:c>
      <x:c r="F178" s="99" t="n">
        <x:v>146.24158364228575</x:v>
      </x:c>
      <x:c r="G178" s="100" t="str">
        <x:f>XLOOKUP(D178,'Reference Tables'!$A$4:$A$23,'Reference Tables'!$B$4:$B$23,"Other")</x:f>
        <x:v>Latin America</x:v>
      </x:c>
      <x:c r="H178" s="100" t="str">
        <x:f>VLOOKUP(G178,'Reference Tables'!$I$4:$J$9,2,FALSE)</x:f>
        <x:v>Moderate</x:v>
      </x:c>
      <x:c r="I178" s="101" t="n">
        <x:f>F178*'Inputs &amp; Guide'!$B$4*XLOOKUP(D178,'Reference Tables'!$A$4:$A$23,'Reference Tables'!$C$4:$C$23,0.75)</x:f>
        <x:v>19.18689577386789</x:v>
      </x:c>
      <x:c r="J178" s="102" t="n">
        <x:f>XLOOKUP(C178,'Reference Tables'!$E$4:$E$12,'Reference Tables'!$F$4:$F$12,0.05)</x:f>
        <x:v>0.1</x:v>
      </x:c>
      <x:c r="K178" s="103" t="n">
        <x:f>MIN(I178,F178*J178)</x:f>
        <x:v>14.624158364228576</x:v>
      </x:c>
      <x:c r="L178" s="103" t="n">
        <x:f>'Inputs &amp; Guide'!$B$5</x:f>
        <x:v>15</x:v>
      </x:c>
      <x:c r="M178" s="103" t="n">
        <x:f>I178*'Inputs &amp; Guide'!$B$6</x:f>
        <x:v>10.55279267562734</x:v>
      </x:c>
      <x:c r="N178" s="103" t="n">
        <x:f>MAX(0,MIN(K178-L178,M178))</x:f>
        <x:v>0</x:v>
      </x:c>
      <x:c r="O178" s="103" t="n">
        <x:f>MAX(0,N178-'Inputs &amp; Guide'!$B$7)</x:f>
        <x:v>0</x:v>
      </x:c>
      <x:c r="P178" s="103" t="n">
        <x:f>N178-O178</x:f>
        <x:v>0</x:v>
      </x:c>
      <x:c r="Q178" s="103" t="n">
        <x:f>I178*'Inputs &amp; Guide'!$B$8</x:f>
        <x:v>0.34536412392962196</x:v>
      </x:c>
      <x:c r="R178" s="104" t="n">
        <x:f>IFERROR(P178/Q178,0)</x:f>
        <x:v>0</x:v>
      </x:c>
      <x:c r="S178" s="105" t="n">
        <x:f>ROUND(E178*XLOOKUP(C178,'Reference Tables'!$E$4:$E$12,'Reference Tables'!$G$4:$G$12,1),1)</x:f>
        <x:v>2.3</x:v>
      </x:c>
      <x:c r="T178" s="106" t="str">
        <x:f>IF(R178&gt;='Inputs &amp; Guide'!$B$9,"HIGH",IF(R178&gt;=0.45,"WATCH","NORMAL"))</x:f>
        <x:v>NORMAL</x:v>
      </x:c>
    </x:row>
    <x:row r="179">
      <x:c r="A179" s="95" t="n">
        <x:v>1401</x:v>
      </x:c>
      <x:c r="B179" s="96" t="n">
        <x:v>45350.104166666664</x:v>
      </x:c>
      <x:c r="C179" s="97" t="str">
        <x:v>Earthquake</x:v>
      </x:c>
      <x:c r="D179" s="97" t="str">
        <x:v>India</x:v>
      </x:c>
      <x:c r="E179" s="98" t="n">
        <x:v>3.0155959210374434</x:v>
      </x:c>
      <x:c r="F179" s="99" t="n">
        <x:v>95.51664992155547</x:v>
      </x:c>
      <x:c r="G179" s="100" t="str">
        <x:f>XLOOKUP(D179,'Reference Tables'!$A$4:$A$23,'Reference Tables'!$B$4:$B$23,"Other")</x:f>
        <x:v>Asia Pacific</x:v>
      </x:c>
      <x:c r="H179" s="100" t="str">
        <x:f>VLOOKUP(G179,'Reference Tables'!$I$4:$J$9,2,FALSE)</x:f>
        <x:v>High</x:v>
      </x:c>
      <x:c r="I179" s="101" t="n">
        <x:f>F179*'Inputs &amp; Guide'!$B$4*XLOOKUP(D179,'Reference Tables'!$A$4:$A$23,'Reference Tables'!$C$4:$C$23,0.75)</x:f>
        <x:v>13.907224228578478</x:v>
      </x:c>
      <x:c r="J179" s="102" t="n">
        <x:f>XLOOKUP(C179,'Reference Tables'!$E$4:$E$12,'Reference Tables'!$F$4:$F$12,0.05)</x:f>
        <x:v>0.14</x:v>
      </x:c>
      <x:c r="K179" s="103" t="n">
        <x:f>MIN(I179,F179*J179)</x:f>
        <x:v>13.372330989017767</x:v>
      </x:c>
      <x:c r="L179" s="103" t="n">
        <x:f>'Inputs &amp; Guide'!$B$5</x:f>
        <x:v>15</x:v>
      </x:c>
      <x:c r="M179" s="103" t="n">
        <x:f>I179*'Inputs &amp; Guide'!$B$6</x:f>
        <x:v>7.648973325718163</x:v>
      </x:c>
      <x:c r="N179" s="103" t="n">
        <x:f>MAX(0,MIN(K179-L179,M179))</x:f>
        <x:v>0</x:v>
      </x:c>
      <x:c r="O179" s="103" t="n">
        <x:f>MAX(0,N179-'Inputs &amp; Guide'!$B$7)</x:f>
        <x:v>0</x:v>
      </x:c>
      <x:c r="P179" s="103" t="n">
        <x:f>N179-O179</x:f>
        <x:v>0</x:v>
      </x:c>
      <x:c r="Q179" s="103" t="n">
        <x:f>I179*'Inputs &amp; Guide'!$B$8</x:f>
        <x:v>0.25033003611441257</x:v>
      </x:c>
      <x:c r="R179" s="104" t="n">
        <x:f>IFERROR(P179/Q179,0)</x:f>
        <x:v>0</x:v>
      </x:c>
      <x:c r="S179" s="105" t="n">
        <x:f>ROUND(E179*XLOOKUP(C179,'Reference Tables'!$E$4:$E$12,'Reference Tables'!$G$4:$G$12,1),1)</x:f>
        <x:v>4.5</x:v>
      </x:c>
      <x:c r="T179" s="106" t="str">
        <x:f>IF(R179&gt;='Inputs &amp; Guide'!$B$9,"HIGH",IF(R179&gt;=0.45,"WATCH","NORMAL"))</x:f>
        <x:v>NORMAL</x:v>
      </x:c>
    </x:row>
    <x:row r="180">
      <x:c r="A180" s="95" t="n">
        <x:v>1409</x:v>
      </x:c>
      <x:c r="B180" s="96" t="n">
        <x:v>45350.4375</x:v>
      </x:c>
      <x:c r="C180" s="97" t="str">
        <x:v>Tornado</x:v>
      </x:c>
      <x:c r="D180" s="97" t="str">
        <x:v>India</x:v>
      </x:c>
      <x:c r="E180" s="98" t="n">
        <x:v>2.295891776522782</x:v>
      </x:c>
      <x:c r="F180" s="99" t="n">
        <x:v>470.57204200201295</x:v>
      </x:c>
      <x:c r="G180" s="100" t="str">
        <x:f>XLOOKUP(D180,'Reference Tables'!$A$4:$A$23,'Reference Tables'!$B$4:$B$23,"Other")</x:f>
        <x:v>Asia Pacific</x:v>
      </x:c>
      <x:c r="H180" s="100" t="str">
        <x:f>VLOOKUP(G180,'Reference Tables'!$I$4:$J$9,2,FALSE)</x:f>
        <x:v>High</x:v>
      </x:c>
      <x:c r="I180" s="101" t="n">
        <x:f>F180*'Inputs &amp; Guide'!$B$4*XLOOKUP(D180,'Reference Tables'!$A$4:$A$23,'Reference Tables'!$C$4:$C$23,0.75)</x:f>
        <x:v>68.51528931549308</x:v>
      </x:c>
      <x:c r="J180" s="102" t="n">
        <x:f>XLOOKUP(C180,'Reference Tables'!$E$4:$E$12,'Reference Tables'!$F$4:$F$12,0.05)</x:f>
        <x:v>0.09</x:v>
      </x:c>
      <x:c r="K180" s="103" t="n">
        <x:f>MIN(I180,F180*J180)</x:f>
        <x:v>42.35148378018116</x:v>
      </x:c>
      <x:c r="L180" s="103" t="n">
        <x:f>'Inputs &amp; Guide'!$B$5</x:f>
        <x:v>15</x:v>
      </x:c>
      <x:c r="M180" s="103" t="n">
        <x:f>I180*'Inputs &amp; Guide'!$B$6</x:f>
        <x:v>37.683409123521194</x:v>
      </x:c>
      <x:c r="N180" s="103" t="n">
        <x:f>MAX(0,MIN(K180-L180,M180))</x:f>
        <x:v>27.351483780181162</x:v>
      </x:c>
      <x:c r="O180" s="103" t="n">
        <x:f>MAX(0,N180-'Inputs &amp; Guide'!$B$7)</x:f>
        <x:v>0</x:v>
      </x:c>
      <x:c r="P180" s="103" t="n">
        <x:f>N180-O180</x:f>
        <x:v>27.351483780181162</x:v>
      </x:c>
      <x:c r="Q180" s="103" t="n">
        <x:f>I180*'Inputs &amp; Guide'!$B$8</x:f>
        <x:v>1.2332752076788753</x:v>
      </x:c>
      <x:c r="R180" s="104" t="n">
        <x:f>IFERROR(P180/Q180,0)</x:f>
        <x:v>22.177923962048087</x:v>
      </x:c>
      <x:c r="S180" s="105" t="n">
        <x:f>ROUND(E180*XLOOKUP(C180,'Reference Tables'!$E$4:$E$12,'Reference Tables'!$G$4:$G$12,1),1)</x:f>
        <x:v>2.4</x:v>
      </x:c>
      <x:c r="T180" s="106" t="str">
        <x:f>IF(R180&gt;='Inputs &amp; Guide'!$B$9,"HIGH",IF(R180&gt;=0.45,"WATCH","NORMAL"))</x:f>
        <x:v>HIGH</x:v>
      </x:c>
    </x:row>
    <x:row r="181">
      <x:c r="A181" s="95" t="n">
        <x:v>1417</x:v>
      </x:c>
      <x:c r="B181" s="96" t="n">
        <x:v>45351</x:v>
      </x:c>
      <x:c r="C181" s="97" t="str">
        <x:v>Hurricane</x:v>
      </x:c>
      <x:c r="D181" s="97" t="str">
        <x:v>Indonesia</x:v>
      </x:c>
      <x:c r="E181" s="98" t="n">
        <x:v>9.99967112960256</x:v>
      </x:c>
      <x:c r="F181" s="99" t="n">
        <x:v>561.9200886744612</x:v>
      </x:c>
      <x:c r="G181" s="100" t="str">
        <x:f>XLOOKUP(D181,'Reference Tables'!$A$4:$A$23,'Reference Tables'!$B$4:$B$23,"Other")</x:f>
        <x:v>Asia Pacific</x:v>
      </x:c>
      <x:c r="H181" s="100" t="str">
        <x:f>VLOOKUP(G181,'Reference Tables'!$I$4:$J$9,2,FALSE)</x:f>
        <x:v>High</x:v>
      </x:c>
      <x:c r="I181" s="101" t="n">
        <x:f>F181*'Inputs &amp; Guide'!$B$4*XLOOKUP(D181,'Reference Tables'!$A$4:$A$23,'Reference Tables'!$C$4:$C$23,0.75)</x:f>
        <x:v>92.60443061355122</x:v>
      </x:c>
      <x:c r="J181" s="102" t="n">
        <x:f>XLOOKUP(C181,'Reference Tables'!$E$4:$E$12,'Reference Tables'!$F$4:$F$12,0.05)</x:f>
        <x:v>0.18</x:v>
      </x:c>
      <x:c r="K181" s="103" t="n">
        <x:f>MIN(I181,F181*J181)</x:f>
        <x:v>92.60443061355122</x:v>
      </x:c>
      <x:c r="L181" s="103" t="n">
        <x:f>'Inputs &amp; Guide'!$B$5</x:f>
        <x:v>15</x:v>
      </x:c>
      <x:c r="M181" s="103" t="n">
        <x:f>I181*'Inputs &amp; Guide'!$B$6</x:f>
        <x:v>50.932436837453174</x:v>
      </x:c>
      <x:c r="N181" s="103" t="n">
        <x:f>MAX(0,MIN(K181-L181,M181))</x:f>
        <x:v>50.932436837453174</x:v>
      </x:c>
      <x:c r="O181" s="103" t="n">
        <x:f>MAX(0,N181-'Inputs &amp; Guide'!$B$7)</x:f>
        <x:v>0</x:v>
      </x:c>
      <x:c r="P181" s="103" t="n">
        <x:f>N181-O181</x:f>
        <x:v>50.932436837453174</x:v>
      </x:c>
      <x:c r="Q181" s="103" t="n">
        <x:f>I181*'Inputs &amp; Guide'!$B$8</x:f>
        <x:v>1.6668797510439217</x:v>
      </x:c>
      <x:c r="R181" s="104" t="n">
        <x:f>IFERROR(P181/Q181,0)</x:f>
        <x:v>30.55555555555556</x:v>
      </x:c>
      <x:c r="S181" s="105" t="n">
        <x:f>ROUND(E181*XLOOKUP(C181,'Reference Tables'!$E$4:$E$12,'Reference Tables'!$G$4:$G$12,1),1)</x:f>
        <x:v>14</x:v>
      </x:c>
      <x:c r="T181" s="106" t="str">
        <x:f>IF(R181&gt;='Inputs &amp; Guide'!$B$9,"HIGH",IF(R181&gt;=0.45,"WATCH","NORMAL"))</x:f>
        <x:v>HIGH</x:v>
      </x:c>
    </x:row>
    <x:row r="182">
      <x:c r="A182" s="95" t="n">
        <x:v>1425</x:v>
      </x:c>
      <x:c r="B182" s="96" t="n">
        <x:v>45351.104166666664</x:v>
      </x:c>
      <x:c r="C182" s="97" t="str">
        <x:v>Wildfire</x:v>
      </x:c>
      <x:c r="D182" s="97" t="str">
        <x:v>Japan</x:v>
      </x:c>
      <x:c r="E182" s="98" t="n">
        <x:v>5.937325675052557</x:v>
      </x:c>
      <x:c r="F182" s="99" t="n">
        <x:v>420.190157646931</x:v>
      </x:c>
      <x:c r="G182" s="100" t="str">
        <x:f>XLOOKUP(D182,'Reference Tables'!$A$4:$A$23,'Reference Tables'!$B$4:$B$23,"Other")</x:f>
        <x:v>Asia Pacific</x:v>
      </x:c>
      <x:c r="H182" s="100" t="str">
        <x:f>VLOOKUP(G182,'Reference Tables'!$I$4:$J$9,2,FALSE)</x:f>
        <x:v>High</x:v>
      </x:c>
      <x:c r="I182" s="101" t="n">
        <x:f>F182*'Inputs &amp; Guide'!$B$4*XLOOKUP(D182,'Reference Tables'!$A$4:$A$23,'Reference Tables'!$C$4:$C$23,0.75)</x:f>
        <x:v>79.33190176374056</x:v>
      </x:c>
      <x:c r="J182" s="102" t="n">
        <x:f>XLOOKUP(C182,'Reference Tables'!$E$4:$E$12,'Reference Tables'!$F$4:$F$12,0.05)</x:f>
        <x:v>0.1</x:v>
      </x:c>
      <x:c r="K182" s="103" t="n">
        <x:f>MIN(I182,F182*J182)</x:f>
        <x:v>42.01901576469311</x:v>
      </x:c>
      <x:c r="L182" s="103" t="n">
        <x:f>'Inputs &amp; Guide'!$B$5</x:f>
        <x:v>15</x:v>
      </x:c>
      <x:c r="M182" s="103" t="n">
        <x:f>I182*'Inputs &amp; Guide'!$B$6</x:f>
        <x:v>43.632545970057315</x:v>
      </x:c>
      <x:c r="N182" s="103" t="n">
        <x:f>MAX(0,MIN(K182-L182,M182))</x:f>
        <x:v>27.01901576469311</x:v>
      </x:c>
      <x:c r="O182" s="103" t="n">
        <x:f>MAX(0,N182-'Inputs &amp; Guide'!$B$7)</x:f>
        <x:v>0</x:v>
      </x:c>
      <x:c r="P182" s="103" t="n">
        <x:f>N182-O182</x:f>
        <x:v>27.01901576469311</x:v>
      </x:c>
      <x:c r="Q182" s="103" t="n">
        <x:f>I182*'Inputs &amp; Guide'!$B$8</x:f>
        <x:v>1.42797423174733</x:v>
      </x:c>
      <x:c r="R182" s="104" t="n">
        <x:f>IFERROR(P182/Q182,0)</x:f>
        <x:v>18.92122082037257</x:v>
      </x:c>
      <x:c r="S182" s="105" t="n">
        <x:f>ROUND(E182*XLOOKUP(C182,'Reference Tables'!$E$4:$E$12,'Reference Tables'!$G$4:$G$12,1),1)</x:f>
        <x:v>6.8</x:v>
      </x:c>
      <x:c r="T182" s="106" t="str">
        <x:f>IF(R182&gt;='Inputs &amp; Guide'!$B$9,"HIGH",IF(R182&gt;=0.45,"WATCH","NORMAL"))</x:f>
        <x:v>HIGH</x:v>
      </x:c>
    </x:row>
    <x:row r="183">
      <x:c r="A183" s="95" t="n">
        <x:v>1433</x:v>
      </x:c>
      <x:c r="B183" s="96" t="n">
        <x:v>45351.4375</x:v>
      </x:c>
      <x:c r="C183" s="97" t="str">
        <x:v>Wildfire</x:v>
      </x:c>
      <x:c r="D183" s="97" t="str">
        <x:v>India</x:v>
      </x:c>
      <x:c r="E183" s="98" t="n">
        <x:v>8.151585854230305</x:v>
      </x:c>
      <x:c r="F183" s="99" t="n">
        <x:v>148.163106171006</x:v>
      </x:c>
      <x:c r="G183" s="100" t="str">
        <x:f>XLOOKUP(D183,'Reference Tables'!$A$4:$A$23,'Reference Tables'!$B$4:$B$23,"Other")</x:f>
        <x:v>Asia Pacific</x:v>
      </x:c>
      <x:c r="H183" s="100" t="str">
        <x:f>VLOOKUP(G183,'Reference Tables'!$I$4:$J$9,2,FALSE)</x:f>
        <x:v>High</x:v>
      </x:c>
      <x:c r="I183" s="101" t="n">
        <x:f>F183*'Inputs &amp; Guide'!$B$4*XLOOKUP(D183,'Reference Tables'!$A$4:$A$23,'Reference Tables'!$C$4:$C$23,0.75)</x:f>
        <x:v>21.572548258498475</x:v>
      </x:c>
      <x:c r="J183" s="102" t="n">
        <x:f>XLOOKUP(C183,'Reference Tables'!$E$4:$E$12,'Reference Tables'!$F$4:$F$12,0.05)</x:f>
        <x:v>0.1</x:v>
      </x:c>
      <x:c r="K183" s="103" t="n">
        <x:f>MIN(I183,F183*J183)</x:f>
        <x:v>14.816310617100601</x:v>
      </x:c>
      <x:c r="L183" s="103" t="n">
        <x:f>'Inputs &amp; Guide'!$B$5</x:f>
        <x:v>15</x:v>
      </x:c>
      <x:c r="M183" s="103" t="n">
        <x:f>I183*'Inputs &amp; Guide'!$B$6</x:f>
        <x:v>11.864901542174163</x:v>
      </x:c>
      <x:c r="N183" s="103" t="n">
        <x:f>MAX(0,MIN(K183-L183,M183))</x:f>
        <x:v>0</x:v>
      </x:c>
      <x:c r="O183" s="103" t="n">
        <x:f>MAX(0,N183-'Inputs &amp; Guide'!$B$7)</x:f>
        <x:v>0</x:v>
      </x:c>
      <x:c r="P183" s="103" t="n">
        <x:f>N183-O183</x:f>
        <x:v>0</x:v>
      </x:c>
      <x:c r="Q183" s="103" t="n">
        <x:f>I183*'Inputs &amp; Guide'!$B$8</x:f>
        <x:v>0.3883058686529725</x:v>
      </x:c>
      <x:c r="R183" s="104" t="n">
        <x:f>IFERROR(P183/Q183,0)</x:f>
        <x:v>0</x:v>
      </x:c>
      <x:c r="S183" s="105" t="n">
        <x:f>ROUND(E183*XLOOKUP(C183,'Reference Tables'!$E$4:$E$12,'Reference Tables'!$G$4:$G$12,1),1)</x:f>
        <x:v>9.4</x:v>
      </x:c>
      <x:c r="T183" s="106" t="str">
        <x:f>IF(R183&gt;='Inputs &amp; Guide'!$B$9,"HIGH",IF(R183&gt;=0.45,"WATCH","NORMAL"))</x:f>
        <x:v>NORMAL</x:v>
      </x:c>
    </x:row>
    <x:row r="184">
      <x:c r="A184" s="95" t="n">
        <x:v>1441</x:v>
      </x:c>
      <x:c r="B184" s="96" t="n">
        <x:v>45352</x:v>
      </x:c>
      <x:c r="C184" s="97" t="str">
        <x:v>Earthquake</x:v>
      </x:c>
      <x:c r="D184" s="97" t="str">
        <x:v>USA</x:v>
      </x:c>
      <x:c r="E184" s="98" t="n">
        <x:v>1.8468636652278865</x:v>
      </x:c>
      <x:c r="F184" s="99" t="n">
        <x:v>674.5840571418274</x:v>
      </x:c>
      <x:c r="G184" s="100" t="str">
        <x:f>XLOOKUP(D184,'Reference Tables'!$A$4:$A$23,'Reference Tables'!$B$4:$B$23,"Other")</x:f>
        <x:v>Other</x:v>
      </x:c>
      <x:c r="H184" s="100" t="str">
        <x:f>VLOOKUP(G184,'Reference Tables'!$I$4:$J$9,2,FALSE)</x:f>
        <x:v>Moderate</x:v>
      </x:c>
      <x:c r="I184" s="101" t="n">
        <x:f>F184*'Inputs &amp; Guide'!$B$4*XLOOKUP(D184,'Reference Tables'!$A$4:$A$23,'Reference Tables'!$C$4:$C$23,0.75)</x:f>
        <x:v>80.9500868570193</x:v>
      </x:c>
      <x:c r="J184" s="102" t="n">
        <x:f>XLOOKUP(C184,'Reference Tables'!$E$4:$E$12,'Reference Tables'!$F$4:$F$12,0.05)</x:f>
        <x:v>0.14</x:v>
      </x:c>
      <x:c r="K184" s="103" t="n">
        <x:f>MIN(I184,F184*J184)</x:f>
        <x:v>80.9500868570193</x:v>
      </x:c>
      <x:c r="L184" s="103" t="n">
        <x:f>'Inputs &amp; Guide'!$B$5</x:f>
        <x:v>15</x:v>
      </x:c>
      <x:c r="M184" s="103" t="n">
        <x:f>I184*'Inputs &amp; Guide'!$B$6</x:f>
        <x:v>44.52254777136062</x:v>
      </x:c>
      <x:c r="N184" s="103" t="n">
        <x:f>MAX(0,MIN(K184-L184,M184))</x:f>
        <x:v>44.52254777136062</x:v>
      </x:c>
      <x:c r="O184" s="103" t="n">
        <x:f>MAX(0,N184-'Inputs &amp; Guide'!$B$7)</x:f>
        <x:v>0</x:v>
      </x:c>
      <x:c r="P184" s="103" t="n">
        <x:f>N184-O184</x:f>
        <x:v>44.52254777136062</x:v>
      </x:c>
      <x:c r="Q184" s="103" t="n">
        <x:f>I184*'Inputs &amp; Guide'!$B$8</x:f>
        <x:v>1.4571015634263473</x:v>
      </x:c>
      <x:c r="R184" s="104" t="n">
        <x:f>IFERROR(P184/Q184,0)</x:f>
        <x:v>30.55555555555556</x:v>
      </x:c>
      <x:c r="S184" s="105" t="n">
        <x:f>ROUND(E184*XLOOKUP(C184,'Reference Tables'!$E$4:$E$12,'Reference Tables'!$G$4:$G$12,1),1)</x:f>
        <x:v>2.8</x:v>
      </x:c>
      <x:c r="T184" s="106" t="str">
        <x:f>IF(R184&gt;='Inputs &amp; Guide'!$B$9,"HIGH",IF(R184&gt;=0.45,"WATCH","NORMAL"))</x:f>
        <x:v>HIGH</x:v>
      </x:c>
    </x:row>
    <x:row r="185">
      <x:c r="A185" s="95" t="n">
        <x:v>1449</x:v>
      </x:c>
      <x:c r="B185" s="96" t="n">
        <x:v>45352.104166666664</x:v>
      </x:c>
      <x:c r="C185" s="97" t="str">
        <x:v>Tornado</x:v>
      </x:c>
      <x:c r="D185" s="97" t="str">
        <x:v>China</x:v>
      </x:c>
      <x:c r="E185" s="98" t="n">
        <x:v>1.2130457636862442</x:v>
      </x:c>
      <x:c r="F185" s="99" t="n">
        <x:v>834.4854632742424</x:v>
      </x:c>
      <x:c r="G185" s="100" t="str">
        <x:f>XLOOKUP(D185,'Reference Tables'!$A$4:$A$23,'Reference Tables'!$B$4:$B$23,"Other")</x:f>
        <x:v>Asia Pacific</x:v>
      </x:c>
      <x:c r="H185" s="100" t="str">
        <x:f>VLOOKUP(G185,'Reference Tables'!$I$4:$J$9,2,FALSE)</x:f>
        <x:v>High</x:v>
      </x:c>
      <x:c r="I185" s="101" t="n">
        <x:f>F185*'Inputs &amp; Guide'!$B$4*XLOOKUP(D185,'Reference Tables'!$A$4:$A$23,'Reference Tables'!$C$4:$C$23,0.75)</x:f>
        <x:v>144.1990880537891</x:v>
      </x:c>
      <x:c r="J185" s="102" t="n">
        <x:f>XLOOKUP(C185,'Reference Tables'!$E$4:$E$12,'Reference Tables'!$F$4:$F$12,0.05)</x:f>
        <x:v>0.09</x:v>
      </x:c>
      <x:c r="K185" s="103" t="n">
        <x:f>MIN(I185,F185*J185)</x:f>
        <x:v>75.10369169468181</x:v>
      </x:c>
      <x:c r="L185" s="103" t="n">
        <x:f>'Inputs &amp; Guide'!$B$5</x:f>
        <x:v>15</x:v>
      </x:c>
      <x:c r="M185" s="103" t="n">
        <x:f>I185*'Inputs &amp; Guide'!$B$6</x:f>
        <x:v>79.30949842958401</x:v>
      </x:c>
      <x:c r="N185" s="103" t="n">
        <x:f>MAX(0,MIN(K185-L185,M185))</x:f>
        <x:v>60.103691694681814</x:v>
      </x:c>
      <x:c r="O185" s="103" t="n">
        <x:f>MAX(0,N185-'Inputs &amp; Guide'!$B$7)</x:f>
        <x:v>0.10369169468181383</x:v>
      </x:c>
      <x:c r="P185" s="103" t="n">
        <x:f>N185-O185</x:f>
        <x:v>60</x:v>
      </x:c>
      <x:c r="Q185" s="103" t="n">
        <x:f>I185*'Inputs &amp; Guide'!$B$8</x:f>
        <x:v>2.5955835849682036</x:v>
      </x:c>
      <x:c r="R185" s="104" t="n">
        <x:f>IFERROR(P185/Q185,0)</x:f>
        <x:v>23.116188724369287</x:v>
      </x:c>
      <x:c r="S185" s="105" t="n">
        <x:f>ROUND(E185*XLOOKUP(C185,'Reference Tables'!$E$4:$E$12,'Reference Tables'!$G$4:$G$12,1),1)</x:f>
        <x:v>1.3</x:v>
      </x:c>
      <x:c r="T185" s="106" t="str">
        <x:f>IF(R185&gt;='Inputs &amp; Guide'!$B$9,"HIGH",IF(R185&gt;=0.45,"WATCH","NORMAL"))</x:f>
        <x:v>HIGH</x:v>
      </x:c>
    </x:row>
    <x:row r="186">
      <x:c r="A186" s="95" t="n">
        <x:v>1457</x:v>
      </x:c>
      <x:c r="B186" s="96" t="n">
        <x:v>45352.4375</x:v>
      </x:c>
      <x:c r="C186" s="97" t="str">
        <x:v>Earthquake</x:v>
      </x:c>
      <x:c r="D186" s="97" t="str">
        <x:v>India</x:v>
      </x:c>
      <x:c r="E186" s="98" t="n">
        <x:v>8.091407234550017</x:v>
      </x:c>
      <x:c r="F186" s="99" t="n">
        <x:v>148.448028013594</x:v>
      </x:c>
      <x:c r="G186" s="100" t="str">
        <x:f>XLOOKUP(D186,'Reference Tables'!$A$4:$A$23,'Reference Tables'!$B$4:$B$23,"Other")</x:f>
        <x:v>Asia Pacific</x:v>
      </x:c>
      <x:c r="H186" s="100" t="str">
        <x:f>VLOOKUP(G186,'Reference Tables'!$I$4:$J$9,2,FALSE)</x:f>
        <x:v>High</x:v>
      </x:c>
      <x:c r="I186" s="101" t="n">
        <x:f>F186*'Inputs &amp; Guide'!$B$4*XLOOKUP(D186,'Reference Tables'!$A$4:$A$23,'Reference Tables'!$C$4:$C$23,0.75)</x:f>
        <x:v>21.61403287877929</x:v>
      </x:c>
      <x:c r="J186" s="102" t="n">
        <x:f>XLOOKUP(C186,'Reference Tables'!$E$4:$E$12,'Reference Tables'!$F$4:$F$12,0.05)</x:f>
        <x:v>0.14</x:v>
      </x:c>
      <x:c r="K186" s="103" t="n">
        <x:f>MIN(I186,F186*J186)</x:f>
        <x:v>20.782723921903163</x:v>
      </x:c>
      <x:c r="L186" s="103" t="n">
        <x:f>'Inputs &amp; Guide'!$B$5</x:f>
        <x:v>15</x:v>
      </x:c>
      <x:c r="M186" s="103" t="n">
        <x:f>I186*'Inputs &amp; Guide'!$B$6</x:f>
        <x:v>11.887718083328611</x:v>
      </x:c>
      <x:c r="N186" s="103" t="n">
        <x:f>MAX(0,MIN(K186-L186,M186))</x:f>
        <x:v>5.7827239219031625</x:v>
      </x:c>
      <x:c r="O186" s="103" t="n">
        <x:f>MAX(0,N186-'Inputs &amp; Guide'!$B$7)</x:f>
        <x:v>0</x:v>
      </x:c>
      <x:c r="P186" s="103" t="n">
        <x:f>N186-O186</x:f>
        <x:v>5.7827239219031625</x:v>
      </x:c>
      <x:c r="Q186" s="103" t="n">
        <x:f>I186*'Inputs &amp; Guide'!$B$8</x:f>
        <x:v>0.3890525918180272</x:v>
      </x:c>
      <x:c r="R186" s="104" t="n">
        <x:f>IFERROR(P186/Q186,0)</x:f>
        <x:v>14.863604673292947</x:v>
      </x:c>
      <x:c r="S186" s="105" t="n">
        <x:f>ROUND(E186*XLOOKUP(C186,'Reference Tables'!$E$4:$E$12,'Reference Tables'!$G$4:$G$12,1),1)</x:f>
        <x:v>12.1</x:v>
      </x:c>
      <x:c r="T186" s="106" t="str">
        <x:f>IF(R186&gt;='Inputs &amp; Guide'!$B$9,"HIGH",IF(R186&gt;=0.45,"WATCH","NORMAL"))</x:f>
        <x:v>HIGH</x:v>
      </x:c>
    </x:row>
    <x:row r="187">
      <x:c r="A187" s="95" t="n">
        <x:v>1465</x:v>
      </x:c>
      <x:c r="B187" s="96" t="n">
        <x:v>45353</x:v>
      </x:c>
      <x:c r="C187" s="97" t="str">
        <x:v>Wildfire</x:v>
      </x:c>
      <x:c r="D187" s="97" t="str">
        <x:v>Indonesia</x:v>
      </x:c>
      <x:c r="E187" s="98" t="n">
        <x:v>4.66419108882737</x:v>
      </x:c>
      <x:c r="F187" s="99" t="n">
        <x:v>400.84491553272034</x:v>
      </x:c>
      <x:c r="G187" s="100" t="str">
        <x:f>XLOOKUP(D187,'Reference Tables'!$A$4:$A$23,'Reference Tables'!$B$4:$B$23,"Other")</x:f>
        <x:v>Asia Pacific</x:v>
      </x:c>
      <x:c r="H187" s="100" t="str">
        <x:f>VLOOKUP(G187,'Reference Tables'!$I$4:$J$9,2,FALSE)</x:f>
        <x:v>High</x:v>
      </x:c>
      <x:c r="I187" s="101" t="n">
        <x:f>F187*'Inputs &amp; Guide'!$B$4*XLOOKUP(D187,'Reference Tables'!$A$4:$A$23,'Reference Tables'!$C$4:$C$23,0.75)</x:f>
        <x:v>66.05924207979231</x:v>
      </x:c>
      <x:c r="J187" s="102" t="n">
        <x:f>XLOOKUP(C187,'Reference Tables'!$E$4:$E$12,'Reference Tables'!$F$4:$F$12,0.05)</x:f>
        <x:v>0.1</x:v>
      </x:c>
      <x:c r="K187" s="103" t="n">
        <x:f>MIN(I187,F187*J187)</x:f>
        <x:v>40.08449155327204</x:v>
      </x:c>
      <x:c r="L187" s="103" t="n">
        <x:f>'Inputs &amp; Guide'!$B$5</x:f>
        <x:v>15</x:v>
      </x:c>
      <x:c r="M187" s="103" t="n">
        <x:f>I187*'Inputs &amp; Guide'!$B$6</x:f>
        <x:v>36.33258314388578</x:v>
      </x:c>
      <x:c r="N187" s="103" t="n">
        <x:f>MAX(0,MIN(K187-L187,M187))</x:f>
        <x:v>25.084491553272038</x:v>
      </x:c>
      <x:c r="O187" s="103" t="n">
        <x:f>MAX(0,N187-'Inputs &amp; Guide'!$B$7)</x:f>
        <x:v>0</x:v>
      </x:c>
      <x:c r="P187" s="103" t="n">
        <x:f>N187-O187</x:f>
        <x:v>25.084491553272038</x:v>
      </x:c>
      <x:c r="Q187" s="103" t="n">
        <x:f>I187*'Inputs &amp; Guide'!$B$8</x:f>
        <x:v>1.1890663574362614</x:v>
      </x:c>
      <x:c r="R187" s="104" t="n">
        <x:f>IFERROR(P187/Q187,0)</x:f>
        <x:v>21.095955996397503</x:v>
      </x:c>
      <x:c r="S187" s="105" t="n">
        <x:f>ROUND(E187*XLOOKUP(C187,'Reference Tables'!$E$4:$E$12,'Reference Tables'!$G$4:$G$12,1),1)</x:f>
        <x:v>5.4</x:v>
      </x:c>
      <x:c r="T187" s="106" t="str">
        <x:f>IF(R187&gt;='Inputs &amp; Guide'!$B$9,"HIGH",IF(R187&gt;=0.45,"WATCH","NORMAL"))</x:f>
        <x:v>HIGH</x:v>
      </x:c>
    </x:row>
    <x:row r="188">
      <x:c r="A188" s="95" t="n">
        <x:v>1473</x:v>
      </x:c>
      <x:c r="B188" s="96" t="n">
        <x:v>45353.104166666664</x:v>
      </x:c>
      <x:c r="C188" s="97" t="str">
        <x:v>Tornado</x:v>
      </x:c>
      <x:c r="D188" s="97" t="str">
        <x:v>Japan</x:v>
      </x:c>
      <x:c r="E188" s="98" t="n">
        <x:v>9.804176471920236</x:v>
      </x:c>
      <x:c r="F188" s="99" t="n">
        <x:v>371.2604817684705</x:v>
      </x:c>
      <x:c r="G188" s="100" t="str">
        <x:f>XLOOKUP(D188,'Reference Tables'!$A$4:$A$23,'Reference Tables'!$B$4:$B$23,"Other")</x:f>
        <x:v>Asia Pacific</x:v>
      </x:c>
      <x:c r="H188" s="100" t="str">
        <x:f>VLOOKUP(G188,'Reference Tables'!$I$4:$J$9,2,FALSE)</x:f>
        <x:v>High</x:v>
      </x:c>
      <x:c r="I188" s="101" t="n">
        <x:f>F188*'Inputs &amp; Guide'!$B$4*XLOOKUP(D188,'Reference Tables'!$A$4:$A$23,'Reference Tables'!$C$4:$C$23,0.75)</x:f>
        <x:v>70.09397895788723</x:v>
      </x:c>
      <x:c r="J188" s="102" t="n">
        <x:f>XLOOKUP(C188,'Reference Tables'!$E$4:$E$12,'Reference Tables'!$F$4:$F$12,0.05)</x:f>
        <x:v>0.09</x:v>
      </x:c>
      <x:c r="K188" s="103" t="n">
        <x:f>MIN(I188,F188*J188)</x:f>
        <x:v>33.41344335916234</x:v>
      </x:c>
      <x:c r="L188" s="103" t="n">
        <x:f>'Inputs &amp; Guide'!$B$5</x:f>
        <x:v>15</x:v>
      </x:c>
      <x:c r="M188" s="103" t="n">
        <x:f>I188*'Inputs &amp; Guide'!$B$6</x:f>
        <x:v>38.55168842683798</x:v>
      </x:c>
      <x:c r="N188" s="103" t="n">
        <x:f>MAX(0,MIN(K188-L188,M188))</x:f>
        <x:v>18.413443359162343</x:v>
      </x:c>
      <x:c r="O188" s="103" t="n">
        <x:f>MAX(0,N188-'Inputs &amp; Guide'!$B$7)</x:f>
        <x:v>0</x:v>
      </x:c>
      <x:c r="P188" s="103" t="n">
        <x:f>N188-O188</x:f>
        <x:v>18.413443359162343</x:v>
      </x:c>
      <x:c r="Q188" s="103" t="n">
        <x:f>I188*'Inputs &amp; Guide'!$B$8</x:f>
        <x:v>1.26169162124197</x:v>
      </x:c>
      <x:c r="R188" s="104" t="n">
        <x:f>IFERROR(P188/Q188,0)</x:f>
        <x:v>14.594250329598545</x:v>
      </x:c>
      <x:c r="S188" s="105" t="n">
        <x:f>ROUND(E188*XLOOKUP(C188,'Reference Tables'!$E$4:$E$12,'Reference Tables'!$G$4:$G$12,1),1)</x:f>
        <x:v>10.3</x:v>
      </x:c>
      <x:c r="T188" s="106" t="str">
        <x:f>IF(R188&gt;='Inputs &amp; Guide'!$B$9,"HIGH",IF(R188&gt;=0.45,"WATCH","NORMAL"))</x:f>
        <x:v>HIGH</x:v>
      </x:c>
    </x:row>
    <x:row r="189">
      <x:c r="A189" s="95" t="n">
        <x:v>1481</x:v>
      </x:c>
      <x:c r="B189" s="96" t="n">
        <x:v>45353.4375</x:v>
      </x:c>
      <x:c r="C189" s="97" t="str">
        <x:v>Tornado</x:v>
      </x:c>
      <x:c r="D189" s="97" t="str">
        <x:v>India</x:v>
      </x:c>
      <x:c r="E189" s="98" t="n">
        <x:v>4.1932912953607815</x:v>
      </x:c>
      <x:c r="F189" s="99" t="n">
        <x:v>369.73086015949804</x:v>
      </x:c>
      <x:c r="G189" s="100" t="str">
        <x:f>XLOOKUP(D189,'Reference Tables'!$A$4:$A$23,'Reference Tables'!$B$4:$B$23,"Other")</x:f>
        <x:v>Asia Pacific</x:v>
      </x:c>
      <x:c r="H189" s="100" t="str">
        <x:f>VLOOKUP(G189,'Reference Tables'!$I$4:$J$9,2,FALSE)</x:f>
        <x:v>High</x:v>
      </x:c>
      <x:c r="I189" s="101" t="n">
        <x:f>F189*'Inputs &amp; Guide'!$B$4*XLOOKUP(D189,'Reference Tables'!$A$4:$A$23,'Reference Tables'!$C$4:$C$23,0.75)</x:f>
        <x:v>53.832813239222915</x:v>
      </x:c>
      <x:c r="J189" s="102" t="n">
        <x:f>XLOOKUP(C189,'Reference Tables'!$E$4:$E$12,'Reference Tables'!$F$4:$F$12,0.05)</x:f>
        <x:v>0.09</x:v>
      </x:c>
      <x:c r="K189" s="103" t="n">
        <x:f>MIN(I189,F189*J189)</x:f>
        <x:v>33.27577741435482</x:v>
      </x:c>
      <x:c r="L189" s="103" t="n">
        <x:f>'Inputs &amp; Guide'!$B$5</x:f>
        <x:v>15</x:v>
      </x:c>
      <x:c r="M189" s="103" t="n">
        <x:f>I189*'Inputs &amp; Guide'!$B$6</x:f>
        <x:v>29.608047281572606</x:v>
      </x:c>
      <x:c r="N189" s="103" t="n">
        <x:f>MAX(0,MIN(K189-L189,M189))</x:f>
        <x:v>18.27577741435482</x:v>
      </x:c>
      <x:c r="O189" s="103" t="n">
        <x:f>MAX(0,N189-'Inputs &amp; Guide'!$B$7)</x:f>
        <x:v>0</x:v>
      </x:c>
      <x:c r="P189" s="103" t="n">
        <x:f>N189-O189</x:f>
        <x:v>18.27577741435482</x:v>
      </x:c>
      <x:c r="Q189" s="103" t="n">
        <x:f>I189*'Inputs &amp; Guide'!$B$8</x:f>
        <x:v>0.9689906383060124</x:v>
      </x:c>
      <x:c r="R189" s="104" t="n">
        <x:f>IFERROR(P189/Q189,0)</x:f>
        <x:v>18.860633624184956</x:v>
      </x:c>
      <x:c r="S189" s="105" t="n">
        <x:f>ROUND(E189*XLOOKUP(C189,'Reference Tables'!$E$4:$E$12,'Reference Tables'!$G$4:$G$12,1),1)</x:f>
        <x:v>4.4</x:v>
      </x:c>
      <x:c r="T189" s="106" t="str">
        <x:f>IF(R189&gt;='Inputs &amp; Guide'!$B$9,"HIGH",IF(R189&gt;=0.45,"WATCH","NORMAL"))</x:f>
        <x:v>HIGH</x:v>
      </x:c>
    </x:row>
    <x:row r="190">
      <x:c r="A190" s="95" t="n">
        <x:v>1489</x:v>
      </x:c>
      <x:c r="B190" s="96" t="n">
        <x:v>45354</x:v>
      </x:c>
      <x:c r="C190" s="97" t="str">
        <x:v>Wildfire</x:v>
      </x:c>
      <x:c r="D190" s="97" t="str">
        <x:v>USA</x:v>
      </x:c>
      <x:c r="E190" s="98" t="n">
        <x:v>4.586898593185397</x:v>
      </x:c>
      <x:c r="F190" s="99" t="n">
        <x:v>876.5611614246387</x:v>
      </x:c>
      <x:c r="G190" s="100" t="str">
        <x:f>XLOOKUP(D190,'Reference Tables'!$A$4:$A$23,'Reference Tables'!$B$4:$B$23,"Other")</x:f>
        <x:v>Other</x:v>
      </x:c>
      <x:c r="H190" s="100" t="str">
        <x:f>VLOOKUP(G190,'Reference Tables'!$I$4:$J$9,2,FALSE)</x:f>
        <x:v>Moderate</x:v>
      </x:c>
      <x:c r="I190" s="101" t="n">
        <x:f>F190*'Inputs &amp; Guide'!$B$4*XLOOKUP(D190,'Reference Tables'!$A$4:$A$23,'Reference Tables'!$C$4:$C$23,0.75)</x:f>
        <x:v>105.18733937095664</x:v>
      </x:c>
      <x:c r="J190" s="102" t="n">
        <x:f>XLOOKUP(C190,'Reference Tables'!$E$4:$E$12,'Reference Tables'!$F$4:$F$12,0.05)</x:f>
        <x:v>0.1</x:v>
      </x:c>
      <x:c r="K190" s="103" t="n">
        <x:f>MIN(I190,F190*J190)</x:f>
        <x:v>87.65611614246387</x:v>
      </x:c>
      <x:c r="L190" s="103" t="n">
        <x:f>'Inputs &amp; Guide'!$B$5</x:f>
        <x:v>15</x:v>
      </x:c>
      <x:c r="M190" s="103" t="n">
        <x:f>I190*'Inputs &amp; Guide'!$B$6</x:f>
        <x:v>57.853036654026155</x:v>
      </x:c>
      <x:c r="N190" s="103" t="n">
        <x:f>MAX(0,MIN(K190-L190,M190))</x:f>
        <x:v>57.853036654026155</x:v>
      </x:c>
      <x:c r="O190" s="103" t="n">
        <x:f>MAX(0,N190-'Inputs &amp; Guide'!$B$7)</x:f>
        <x:v>0</x:v>
      </x:c>
      <x:c r="P190" s="103" t="n">
        <x:f>N190-O190</x:f>
        <x:v>57.853036654026155</x:v>
      </x:c>
      <x:c r="Q190" s="103" t="n">
        <x:f>I190*'Inputs &amp; Guide'!$B$8</x:f>
        <x:v>1.8933721086772193</x:v>
      </x:c>
      <x:c r="R190" s="104" t="n">
        <x:f>IFERROR(P190/Q190,0)</x:f>
        <x:v>30.55555555555556</x:v>
      </x:c>
      <x:c r="S190" s="105" t="n">
        <x:f>ROUND(E190*XLOOKUP(C190,'Reference Tables'!$E$4:$E$12,'Reference Tables'!$G$4:$G$12,1),1)</x:f>
        <x:v>5.3</x:v>
      </x:c>
      <x:c r="T190" s="106" t="str">
        <x:f>IF(R190&gt;='Inputs &amp; Guide'!$B$9,"HIGH",IF(R190&gt;=0.45,"WATCH","NORMAL"))</x:f>
        <x:v>HIGH</x:v>
      </x:c>
    </x:row>
    <x:row r="191">
      <x:c r="A191" s="95" t="n">
        <x:v>1497</x:v>
      </x:c>
      <x:c r="B191" s="96" t="n">
        <x:v>45354.104166666664</x:v>
      </x:c>
      <x:c r="C191" s="97" t="str">
        <x:v>Hurricane</x:v>
      </x:c>
      <x:c r="D191" s="97" t="str">
        <x:v>Japan</x:v>
      </x:c>
      <x:c r="E191" s="98" t="n">
        <x:v>1.4262884114626542</x:v>
      </x:c>
      <x:c r="F191" s="99" t="n">
        <x:v>584.3484982878914</x:v>
      </x:c>
      <x:c r="G191" s="100" t="str">
        <x:f>XLOOKUP(D191,'Reference Tables'!$A$4:$A$23,'Reference Tables'!$B$4:$B$23,"Other")</x:f>
        <x:v>Asia Pacific</x:v>
      </x:c>
      <x:c r="H191" s="100" t="str">
        <x:f>VLOOKUP(G191,'Reference Tables'!$I$4:$J$9,2,FALSE)</x:f>
        <x:v>High</x:v>
      </x:c>
      <x:c r="I191" s="101" t="n">
        <x:f>F191*'Inputs &amp; Guide'!$B$4*XLOOKUP(D191,'Reference Tables'!$A$4:$A$23,'Reference Tables'!$C$4:$C$23,0.75)</x:f>
        <x:v>110.3249964767539</x:v>
      </x:c>
      <x:c r="J191" s="102" t="n">
        <x:f>XLOOKUP(C191,'Reference Tables'!$E$4:$E$12,'Reference Tables'!$F$4:$F$12,0.05)</x:f>
        <x:v>0.18</x:v>
      </x:c>
      <x:c r="K191" s="103" t="n">
        <x:f>MIN(I191,F191*J191)</x:f>
        <x:v>105.18272969182046</x:v>
      </x:c>
      <x:c r="L191" s="103" t="n">
        <x:f>'Inputs &amp; Guide'!$B$5</x:f>
        <x:v>15</x:v>
      </x:c>
      <x:c r="M191" s="103" t="n">
        <x:f>I191*'Inputs &amp; Guide'!$B$6</x:f>
        <x:v>60.678748062214645</x:v>
      </x:c>
      <x:c r="N191" s="103" t="n">
        <x:f>MAX(0,MIN(K191-L191,M191))</x:f>
        <x:v>60.678748062214645</x:v>
      </x:c>
      <x:c r="O191" s="103" t="n">
        <x:f>MAX(0,N191-'Inputs &amp; Guide'!$B$7)</x:f>
        <x:v>0.6787480622146447</x:v>
      </x:c>
      <x:c r="P191" s="103" t="n">
        <x:f>N191-O191</x:f>
        <x:v>60</x:v>
      </x:c>
      <x:c r="Q191" s="103" t="n">
        <x:f>I191*'Inputs &amp; Guide'!$B$8</x:f>
        <x:v>1.98584993658157</x:v>
      </x:c>
      <x:c r="R191" s="104" t="n">
        <x:f>IFERROR(P191/Q191,0)</x:f>
        <x:v>30.21376333364022</x:v>
      </x:c>
      <x:c r="S191" s="105" t="n">
        <x:f>ROUND(E191*XLOOKUP(C191,'Reference Tables'!$E$4:$E$12,'Reference Tables'!$G$4:$G$12,1),1)</x:f>
        <x:v>2</x:v>
      </x:c>
      <x:c r="T191" s="106" t="str">
        <x:f>IF(R191&gt;='Inputs &amp; Guide'!$B$9,"HIGH",IF(R191&gt;=0.45,"WATCH","NORMAL"))</x:f>
        <x:v>HIGH</x:v>
      </x:c>
    </x:row>
    <x:row r="192">
      <x:c r="A192" s="95" t="n">
        <x:v>1505</x:v>
      </x:c>
      <x:c r="B192" s="96" t="n">
        <x:v>45354.4375</x:v>
      </x:c>
      <x:c r="C192" s="97" t="str">
        <x:v>Hurricane</x:v>
      </x:c>
      <x:c r="D192" s="97" t="str">
        <x:v>Japan</x:v>
      </x:c>
      <x:c r="E192" s="98" t="n">
        <x:v>4.223911027407802</x:v>
      </x:c>
      <x:c r="F192" s="99" t="n">
        <x:v>126.49159303697573</x:v>
      </x:c>
      <x:c r="G192" s="100" t="str">
        <x:f>XLOOKUP(D192,'Reference Tables'!$A$4:$A$23,'Reference Tables'!$B$4:$B$23,"Other")</x:f>
        <x:v>Asia Pacific</x:v>
      </x:c>
      <x:c r="H192" s="100" t="str">
        <x:f>VLOOKUP(G192,'Reference Tables'!$I$4:$J$9,2,FALSE)</x:f>
        <x:v>High</x:v>
      </x:c>
      <x:c r="I192" s="101" t="n">
        <x:f>F192*'Inputs &amp; Guide'!$B$4*XLOOKUP(D192,'Reference Tables'!$A$4:$A$23,'Reference Tables'!$C$4:$C$23,0.75)</x:f>
        <x:v>23.881612765381014</x:v>
      </x:c>
      <x:c r="J192" s="102" t="n">
        <x:f>XLOOKUP(C192,'Reference Tables'!$E$4:$E$12,'Reference Tables'!$F$4:$F$12,0.05)</x:f>
        <x:v>0.18</x:v>
      </x:c>
      <x:c r="K192" s="103" t="n">
        <x:f>MIN(I192,F192*J192)</x:f>
        <x:v>22.76848674665563</x:v>
      </x:c>
      <x:c r="L192" s="103" t="n">
        <x:f>'Inputs &amp; Guide'!$B$5</x:f>
        <x:v>15</x:v>
      </x:c>
      <x:c r="M192" s="103" t="n">
        <x:f>I192*'Inputs &amp; Guide'!$B$6</x:f>
        <x:v>13.134887020959559</x:v>
      </x:c>
      <x:c r="N192" s="103" t="n">
        <x:f>MAX(0,MIN(K192-L192,M192))</x:f>
        <x:v>7.768486746655629</x:v>
      </x:c>
      <x:c r="O192" s="103" t="n">
        <x:f>MAX(0,N192-'Inputs &amp; Guide'!$B$7)</x:f>
        <x:v>0</x:v>
      </x:c>
      <x:c r="P192" s="103" t="n">
        <x:f>N192-O192</x:f>
        <x:v>7.768486746655629</x:v>
      </x:c>
      <x:c r="Q192" s="103" t="n">
        <x:f>I192*'Inputs &amp; Guide'!$B$8</x:f>
        <x:v>0.4298690297768582</x:v>
      </x:c>
      <x:c r="R192" s="104" t="n">
        <x:f>IFERROR(P192/Q192,0)</x:f>
        <x:v>18.07175257703071</x:v>
      </x:c>
      <x:c r="S192" s="105" t="n">
        <x:f>ROUND(E192*XLOOKUP(C192,'Reference Tables'!$E$4:$E$12,'Reference Tables'!$G$4:$G$12,1),1)</x:f>
        <x:v>5.9</x:v>
      </x:c>
      <x:c r="T192" s="106" t="str">
        <x:f>IF(R192&gt;='Inputs &amp; Guide'!$B$9,"HIGH",IF(R192&gt;=0.45,"WATCH","NORMAL"))</x:f>
        <x:v>HIGH</x:v>
      </x:c>
    </x:row>
    <x:row r="193">
      <x:c r="A193" s="95" t="n">
        <x:v>1513</x:v>
      </x:c>
      <x:c r="B193" s="96" t="n">
        <x:v>45355</x:v>
      </x:c>
      <x:c r="C193" s="97" t="str">
        <x:v>Flood</x:v>
      </x:c>
      <x:c r="D193" s="97" t="str">
        <x:v>India</x:v>
      </x:c>
      <x:c r="E193" s="98" t="n">
        <x:v>2.5826453961947924</x:v>
      </x:c>
      <x:c r="F193" s="99" t="n">
        <x:v>139.3947740552732</x:v>
      </x:c>
      <x:c r="G193" s="100" t="str">
        <x:f>XLOOKUP(D193,'Reference Tables'!$A$4:$A$23,'Reference Tables'!$B$4:$B$23,"Other")</x:f>
        <x:v>Asia Pacific</x:v>
      </x:c>
      <x:c r="H193" s="100" t="str">
        <x:f>VLOOKUP(G193,'Reference Tables'!$I$4:$J$9,2,FALSE)</x:f>
        <x:v>High</x:v>
      </x:c>
      <x:c r="I193" s="101" t="n">
        <x:f>F193*'Inputs &amp; Guide'!$B$4*XLOOKUP(D193,'Reference Tables'!$A$4:$A$23,'Reference Tables'!$C$4:$C$23,0.75)</x:f>
        <x:v>20.295879102447778</x:v>
      </x:c>
      <x:c r="J193" s="102" t="n">
        <x:f>XLOOKUP(C193,'Reference Tables'!$E$4:$E$12,'Reference Tables'!$F$4:$F$12,0.05)</x:f>
        <x:v>0.12</x:v>
      </x:c>
      <x:c r="K193" s="103" t="n">
        <x:f>MIN(I193,F193*J193)</x:f>
        <x:v>16.727372886632782</x:v>
      </x:c>
      <x:c r="L193" s="103" t="n">
        <x:f>'Inputs &amp; Guide'!$B$5</x:f>
        <x:v>15</x:v>
      </x:c>
      <x:c r="M193" s="103" t="n">
        <x:f>I193*'Inputs &amp; Guide'!$B$6</x:f>
        <x:v>11.162733506346278</x:v>
      </x:c>
      <x:c r="N193" s="103" t="n">
        <x:f>MAX(0,MIN(K193-L193,M193))</x:f>
        <x:v>1.7273728866327822</x:v>
      </x:c>
      <x:c r="O193" s="103" t="n">
        <x:f>MAX(0,N193-'Inputs &amp; Guide'!$B$7)</x:f>
        <x:v>0</x:v>
      </x:c>
      <x:c r="P193" s="103" t="n">
        <x:f>N193-O193</x:f>
        <x:v>1.7273728866327822</x:v>
      </x:c>
      <x:c r="Q193" s="103" t="n">
        <x:f>I193*'Inputs &amp; Guide'!$B$8</x:f>
        <x:v>0.36532582384406</x:v>
      </x:c>
      <x:c r="R193" s="104" t="n">
        <x:f>IFERROR(P193/Q193,0)</x:f>
        <x:v>4.728307647285604</x:v>
      </x:c>
      <x:c r="S193" s="105" t="n">
        <x:f>ROUND(E193*XLOOKUP(C193,'Reference Tables'!$E$4:$E$12,'Reference Tables'!$G$4:$G$12,1),1)</x:f>
        <x:v>3.2</x:v>
      </x:c>
      <x:c r="T193" s="106" t="str">
        <x:f>IF(R193&gt;='Inputs &amp; Guide'!$B$9,"HIGH",IF(R193&gt;=0.45,"WATCH","NORMAL"))</x:f>
        <x:v>HIGH</x:v>
      </x:c>
    </x:row>
    <x:row r="194">
      <x:c r="A194" s="95" t="n">
        <x:v>1521</x:v>
      </x:c>
      <x:c r="B194" s="96" t="n">
        <x:v>45355.104166666664</x:v>
      </x:c>
      <x:c r="C194" s="97" t="str">
        <x:v>Earthquake</x:v>
      </x:c>
      <x:c r="D194" s="97" t="str">
        <x:v>China</x:v>
      </x:c>
      <x:c r="E194" s="98" t="n">
        <x:v>7.3744421966224225</x:v>
      </x:c>
      <x:c r="F194" s="99" t="n">
        <x:v>753.1169786402384</x:v>
      </x:c>
      <x:c r="G194" s="100" t="str">
        <x:f>XLOOKUP(D194,'Reference Tables'!$A$4:$A$23,'Reference Tables'!$B$4:$B$23,"Other")</x:f>
        <x:v>Asia Pacific</x:v>
      </x:c>
      <x:c r="H194" s="100" t="str">
        <x:f>VLOOKUP(G194,'Reference Tables'!$I$4:$J$9,2,FALSE)</x:f>
        <x:v>High</x:v>
      </x:c>
      <x:c r="I194" s="101" t="n">
        <x:f>F194*'Inputs &amp; Guide'!$B$4*XLOOKUP(D194,'Reference Tables'!$A$4:$A$23,'Reference Tables'!$C$4:$C$23,0.75)</x:f>
        <x:v>130.13861390903318</x:v>
      </x:c>
      <x:c r="J194" s="102" t="n">
        <x:f>XLOOKUP(C194,'Reference Tables'!$E$4:$E$12,'Reference Tables'!$F$4:$F$12,0.05)</x:f>
        <x:v>0.14</x:v>
      </x:c>
      <x:c r="K194" s="103" t="n">
        <x:f>MIN(I194,F194*J194)</x:f>
        <x:v>105.43637700963338</x:v>
      </x:c>
      <x:c r="L194" s="103" t="n">
        <x:f>'Inputs &amp; Guide'!$B$5</x:f>
        <x:v>15</x:v>
      </x:c>
      <x:c r="M194" s="103" t="n">
        <x:f>I194*'Inputs &amp; Guide'!$B$6</x:f>
        <x:v>71.57623764996826</x:v>
      </x:c>
      <x:c r="N194" s="103" t="n">
        <x:f>MAX(0,MIN(K194-L194,M194))</x:f>
        <x:v>71.57623764996826</x:v>
      </x:c>
      <x:c r="O194" s="103" t="n">
        <x:f>MAX(0,N194-'Inputs &amp; Guide'!$B$7)</x:f>
        <x:v>11.576237649968263</x:v>
      </x:c>
      <x:c r="P194" s="103" t="n">
        <x:f>N194-O194</x:f>
        <x:v>60</x:v>
      </x:c>
      <x:c r="Q194" s="103" t="n">
        <x:f>I194*'Inputs &amp; Guide'!$B$8</x:f>
        <x:v>2.342495050362597</x:v>
      </x:c>
      <x:c r="R194" s="104" t="n">
        <x:f>IFERROR(P194/Q194,0)</x:f>
        <x:v>25.61371474006425</x:v>
      </x:c>
      <x:c r="S194" s="105" t="n">
        <x:f>ROUND(E194*XLOOKUP(C194,'Reference Tables'!$E$4:$E$12,'Reference Tables'!$G$4:$G$12,1),1)</x:f>
        <x:v>11.1</x:v>
      </x:c>
      <x:c r="T194" s="106" t="str">
        <x:f>IF(R194&gt;='Inputs &amp; Guide'!$B$9,"HIGH",IF(R194&gt;=0.45,"WATCH","NORMAL"))</x:f>
        <x:v>HIGH</x:v>
      </x:c>
    </x:row>
    <x:row r="195">
      <x:c r="A195" s="95" t="n">
        <x:v>1529</x:v>
      </x:c>
      <x:c r="B195" s="96" t="n">
        <x:v>45355.4375</x:v>
      </x:c>
      <x:c r="C195" s="97" t="str">
        <x:v>Hurricane</x:v>
      </x:c>
      <x:c r="D195" s="97" t="str">
        <x:v>Brazil</x:v>
      </x:c>
      <x:c r="E195" s="98" t="n">
        <x:v>9.435453187951039</x:v>
      </x:c>
      <x:c r="F195" s="99" t="n">
        <x:v>123.92527689879275</x:v>
      </x:c>
      <x:c r="G195" s="100" t="str">
        <x:f>XLOOKUP(D195,'Reference Tables'!$A$4:$A$23,'Reference Tables'!$B$4:$B$23,"Other")</x:f>
        <x:v>Latin America</x:v>
      </x:c>
      <x:c r="H195" s="100" t="str">
        <x:f>VLOOKUP(G195,'Reference Tables'!$I$4:$J$9,2,FALSE)</x:f>
        <x:v>Moderate</x:v>
      </x:c>
      <x:c r="I195" s="101" t="n">
        <x:f>F195*'Inputs &amp; Guide'!$B$4*XLOOKUP(D195,'Reference Tables'!$A$4:$A$23,'Reference Tables'!$C$4:$C$23,0.75)</x:f>
        <x:v>16.258996329121608</x:v>
      </x:c>
      <x:c r="J195" s="102" t="n">
        <x:f>XLOOKUP(C195,'Reference Tables'!$E$4:$E$12,'Reference Tables'!$F$4:$F$12,0.05)</x:f>
        <x:v>0.18</x:v>
      </x:c>
      <x:c r="K195" s="103" t="n">
        <x:f>MIN(I195,F195*J195)</x:f>
        <x:v>16.258996329121608</x:v>
      </x:c>
      <x:c r="L195" s="103" t="n">
        <x:f>'Inputs &amp; Guide'!$B$5</x:f>
        <x:v>15</x:v>
      </x:c>
      <x:c r="M195" s="103" t="n">
        <x:f>I195*'Inputs &amp; Guide'!$B$6</x:f>
        <x:v>8.942447981016885</x:v>
      </x:c>
      <x:c r="N195" s="103" t="n">
        <x:f>MAX(0,MIN(K195-L195,M195))</x:f>
        <x:v>1.258996329121608</x:v>
      </x:c>
      <x:c r="O195" s="103" t="n">
        <x:f>MAX(0,N195-'Inputs &amp; Guide'!$B$7)</x:f>
        <x:v>0</x:v>
      </x:c>
      <x:c r="P195" s="103" t="n">
        <x:f>N195-O195</x:f>
        <x:v>1.258996329121608</x:v>
      </x:c>
      <x:c r="Q195" s="103" t="n">
        <x:f>I195*'Inputs &amp; Guide'!$B$8</x:f>
        <x:v>0.29266193392418893</x:v>
      </x:c>
      <x:c r="R195" s="104" t="n">
        <x:f>IFERROR(P195/Q195,0)</x:f>
        <x:v>4.301879346726856</x:v>
      </x:c>
      <x:c r="S195" s="105" t="n">
        <x:f>ROUND(E195*XLOOKUP(C195,'Reference Tables'!$E$4:$E$12,'Reference Tables'!$G$4:$G$12,1),1)</x:f>
        <x:v>13.2</x:v>
      </x:c>
      <x:c r="T195" s="106" t="str">
        <x:f>IF(R195&gt;='Inputs &amp; Guide'!$B$9,"HIGH",IF(R195&gt;=0.45,"WATCH","NORMAL"))</x:f>
        <x:v>HIGH</x:v>
      </x:c>
    </x:row>
    <x:row r="196">
      <x:c r="A196" s="95" t="n">
        <x:v>1537</x:v>
      </x:c>
      <x:c r="B196" s="96" t="n">
        <x:v>45356</x:v>
      </x:c>
      <x:c r="C196" s="97" t="str">
        <x:v>Tornado</x:v>
      </x:c>
      <x:c r="D196" s="97" t="str">
        <x:v>USA</x:v>
      </x:c>
      <x:c r="E196" s="98" t="n">
        <x:v>4.873405144184279</x:v>
      </x:c>
      <x:c r="F196" s="99" t="n">
        <x:v>140.22689903507515</x:v>
      </x:c>
      <x:c r="G196" s="100" t="str">
        <x:f>XLOOKUP(D196,'Reference Tables'!$A$4:$A$23,'Reference Tables'!$B$4:$B$23,"Other")</x:f>
        <x:v>Other</x:v>
      </x:c>
      <x:c r="H196" s="100" t="str">
        <x:f>VLOOKUP(G196,'Reference Tables'!$I$4:$J$9,2,FALSE)</x:f>
        <x:v>Moderate</x:v>
      </x:c>
      <x:c r="I196" s="101" t="n">
        <x:f>F196*'Inputs &amp; Guide'!$B$4*XLOOKUP(D196,'Reference Tables'!$A$4:$A$23,'Reference Tables'!$C$4:$C$23,0.75)</x:f>
        <x:v>16.827227884209016</x:v>
      </x:c>
      <x:c r="J196" s="102" t="n">
        <x:f>XLOOKUP(C196,'Reference Tables'!$E$4:$E$12,'Reference Tables'!$F$4:$F$12,0.05)</x:f>
        <x:v>0.09</x:v>
      </x:c>
      <x:c r="K196" s="103" t="n">
        <x:f>MIN(I196,F196*J196)</x:f>
        <x:v>12.620420913156764</x:v>
      </x:c>
      <x:c r="L196" s="103" t="n">
        <x:f>'Inputs &amp; Guide'!$B$5</x:f>
        <x:v>15</x:v>
      </x:c>
      <x:c r="M196" s="103" t="n">
        <x:f>I196*'Inputs &amp; Guide'!$B$6</x:f>
        <x:v>9.25497533631496</x:v>
      </x:c>
      <x:c r="N196" s="103" t="n">
        <x:f>MAX(0,MIN(K196-L196,M196))</x:f>
        <x:v>0</x:v>
      </x:c>
      <x:c r="O196" s="103" t="n">
        <x:f>MAX(0,N196-'Inputs &amp; Guide'!$B$7)</x:f>
        <x:v>0</x:v>
      </x:c>
      <x:c r="P196" s="103" t="n">
        <x:f>N196-O196</x:f>
        <x:v>0</x:v>
      </x:c>
      <x:c r="Q196" s="103" t="n">
        <x:f>I196*'Inputs &amp; Guide'!$B$8</x:f>
        <x:v>0.30289010191576227</x:v>
      </x:c>
      <x:c r="R196" s="104" t="n">
        <x:f>IFERROR(P196/Q196,0)</x:f>
        <x:v>0</x:v>
      </x:c>
      <x:c r="S196" s="105" t="n">
        <x:f>ROUND(E196*XLOOKUP(C196,'Reference Tables'!$E$4:$E$12,'Reference Tables'!$G$4:$G$12,1),1)</x:f>
        <x:v>5.1</x:v>
      </x:c>
      <x:c r="T196" s="106" t="str">
        <x:f>IF(R196&gt;='Inputs &amp; Guide'!$B$9,"HIGH",IF(R196&gt;=0.45,"WATCH","NORMAL"))</x:f>
        <x:v>NORMAL</x:v>
      </x:c>
    </x:row>
    <x:row r="197">
      <x:c r="A197" s="95" t="n">
        <x:v>1545</x:v>
      </x:c>
      <x:c r="B197" s="96" t="n">
        <x:v>45356.104166666664</x:v>
      </x:c>
      <x:c r="C197" s="97" t="str">
        <x:v>Tornado</x:v>
      </x:c>
      <x:c r="D197" s="97" t="str">
        <x:v>Brazil</x:v>
      </x:c>
      <x:c r="E197" s="98" t="n">
        <x:v>7.917622509152606</x:v>
      </x:c>
      <x:c r="F197" s="99" t="n">
        <x:v>589.8968142443251</x:v>
      </x:c>
      <x:c r="G197" s="100" t="str">
        <x:f>XLOOKUP(D197,'Reference Tables'!$A$4:$A$23,'Reference Tables'!$B$4:$B$23,"Other")</x:f>
        <x:v>Latin America</x:v>
      </x:c>
      <x:c r="H197" s="100" t="str">
        <x:f>VLOOKUP(G197,'Reference Tables'!$I$4:$J$9,2,FALSE)</x:f>
        <x:v>Moderate</x:v>
      </x:c>
      <x:c r="I197" s="101" t="n">
        <x:f>F197*'Inputs &amp; Guide'!$B$4*XLOOKUP(D197,'Reference Tables'!$A$4:$A$23,'Reference Tables'!$C$4:$C$23,0.75)</x:f>
        <x:v>77.39446202885544</x:v>
      </x:c>
      <x:c r="J197" s="102" t="n">
        <x:f>XLOOKUP(C197,'Reference Tables'!$E$4:$E$12,'Reference Tables'!$F$4:$F$12,0.05)</x:f>
        <x:v>0.09</x:v>
      </x:c>
      <x:c r="K197" s="103" t="n">
        <x:f>MIN(I197,F197*J197)</x:f>
        <x:v>53.09071328198926</x:v>
      </x:c>
      <x:c r="L197" s="103" t="n">
        <x:f>'Inputs &amp; Guide'!$B$5</x:f>
        <x:v>15</x:v>
      </x:c>
      <x:c r="M197" s="103" t="n">
        <x:f>I197*'Inputs &amp; Guide'!$B$6</x:f>
        <x:v>42.566954115870494</x:v>
      </x:c>
      <x:c r="N197" s="103" t="n">
        <x:f>MAX(0,MIN(K197-L197,M197))</x:f>
        <x:v>38.09071328198926</x:v>
      </x:c>
      <x:c r="O197" s="103" t="n">
        <x:f>MAX(0,N197-'Inputs &amp; Guide'!$B$7)</x:f>
        <x:v>0</x:v>
      </x:c>
      <x:c r="P197" s="103" t="n">
        <x:f>N197-O197</x:f>
        <x:v>38.09071328198926</x:v>
      </x:c>
      <x:c r="Q197" s="103" t="n">
        <x:f>I197*'Inputs &amp; Guide'!$B$8</x:f>
        <x:v>1.3931003165193978</x:v>
      </x:c>
      <x:c r="R197" s="104" t="n">
        <x:f>IFERROR(P197/Q197,0)</x:f>
        <x:v>27.342405159419744</x:v>
      </x:c>
      <x:c r="S197" s="105" t="n">
        <x:f>ROUND(E197*XLOOKUP(C197,'Reference Tables'!$E$4:$E$12,'Reference Tables'!$G$4:$G$12,1),1)</x:f>
        <x:v>8.3</x:v>
      </x:c>
      <x:c r="T197" s="106" t="str">
        <x:f>IF(R197&gt;='Inputs &amp; Guide'!$B$9,"HIGH",IF(R197&gt;=0.45,"WATCH","NORMAL"))</x:f>
        <x:v>HIGH</x:v>
      </x:c>
    </x:row>
    <x:row r="198">
      <x:c r="A198" s="95" t="n">
        <x:v>1553</x:v>
      </x:c>
      <x:c r="B198" s="96" t="n">
        <x:v>45356.4375</x:v>
      </x:c>
      <x:c r="C198" s="97" t="str">
        <x:v>Hurricane</x:v>
      </x:c>
      <x:c r="D198" s="97" t="str">
        <x:v>Indonesia</x:v>
      </x:c>
      <x:c r="E198" s="98" t="n">
        <x:v>2.311504070894501</x:v>
      </x:c>
      <x:c r="F198" s="99" t="n">
        <x:v>610.4483139380499</x:v>
      </x:c>
      <x:c r="G198" s="100" t="str">
        <x:f>XLOOKUP(D198,'Reference Tables'!$A$4:$A$23,'Reference Tables'!$B$4:$B$23,"Other")</x:f>
        <x:v>Asia Pacific</x:v>
      </x:c>
      <x:c r="H198" s="100" t="str">
        <x:f>VLOOKUP(G198,'Reference Tables'!$I$4:$J$9,2,FALSE)</x:f>
        <x:v>High</x:v>
      </x:c>
      <x:c r="I198" s="101" t="n">
        <x:f>F198*'Inputs &amp; Guide'!$B$4*XLOOKUP(D198,'Reference Tables'!$A$4:$A$23,'Reference Tables'!$C$4:$C$23,0.75)</x:f>
        <x:v>100.60188213699061</x:v>
      </x:c>
      <x:c r="J198" s="102" t="n">
        <x:f>XLOOKUP(C198,'Reference Tables'!$E$4:$E$12,'Reference Tables'!$F$4:$F$12,0.05)</x:f>
        <x:v>0.18</x:v>
      </x:c>
      <x:c r="K198" s="103" t="n">
        <x:f>MIN(I198,F198*J198)</x:f>
        <x:v>100.60188213699061</x:v>
      </x:c>
      <x:c r="L198" s="103" t="n">
        <x:f>'Inputs &amp; Guide'!$B$5</x:f>
        <x:v>15</x:v>
      </x:c>
      <x:c r="M198" s="103" t="n">
        <x:f>I198*'Inputs &amp; Guide'!$B$6</x:f>
        <x:v>55.33103517534484</x:v>
      </x:c>
      <x:c r="N198" s="103" t="n">
        <x:f>MAX(0,MIN(K198-L198,M198))</x:f>
        <x:v>55.33103517534484</x:v>
      </x:c>
      <x:c r="O198" s="103" t="n">
        <x:f>MAX(0,N198-'Inputs &amp; Guide'!$B$7)</x:f>
        <x:v>0</x:v>
      </x:c>
      <x:c r="P198" s="103" t="n">
        <x:f>N198-O198</x:f>
        <x:v>55.33103517534484</x:v>
      </x:c>
      <x:c r="Q198" s="103" t="n">
        <x:f>I198*'Inputs &amp; Guide'!$B$8</x:f>
        <x:v>1.8108338784658309</x:v>
      </x:c>
      <x:c r="R198" s="104" t="n">
        <x:f>IFERROR(P198/Q198,0)</x:f>
        <x:v>30.555555555555557</x:v>
      </x:c>
      <x:c r="S198" s="105" t="n">
        <x:f>ROUND(E198*XLOOKUP(C198,'Reference Tables'!$E$4:$E$12,'Reference Tables'!$G$4:$G$12,1),1)</x:f>
        <x:v>3.2</x:v>
      </x:c>
      <x:c r="T198" s="106" t="str">
        <x:f>IF(R198&gt;='Inputs &amp; Guide'!$B$9,"HIGH",IF(R198&gt;=0.45,"WATCH","NORMAL"))</x:f>
        <x:v>HIGH</x:v>
      </x:c>
    </x:row>
    <x:row r="199">
      <x:c r="A199" s="95" t="n">
        <x:v>1561</x:v>
      </x:c>
      <x:c r="B199" s="96" t="n">
        <x:v>45357</x:v>
      </x:c>
      <x:c r="C199" s="97" t="str">
        <x:v>Hurricane</x:v>
      </x:c>
      <x:c r="D199" s="97" t="str">
        <x:v>Japan</x:v>
      </x:c>
      <x:c r="E199" s="98" t="n">
        <x:v>6.334466615773887</x:v>
      </x:c>
      <x:c r="F199" s="99" t="n">
        <x:v>765.9027737647141</x:v>
      </x:c>
      <x:c r="G199" s="100" t="str">
        <x:f>XLOOKUP(D199,'Reference Tables'!$A$4:$A$23,'Reference Tables'!$B$4:$B$23,"Other")</x:f>
        <x:v>Asia Pacific</x:v>
      </x:c>
      <x:c r="H199" s="100" t="str">
        <x:f>VLOOKUP(G199,'Reference Tables'!$I$4:$J$9,2,FALSE)</x:f>
        <x:v>High</x:v>
      </x:c>
      <x:c r="I199" s="101" t="n">
        <x:f>F199*'Inputs &amp; Guide'!$B$4*XLOOKUP(D199,'Reference Tables'!$A$4:$A$23,'Reference Tables'!$C$4:$C$23,0.75)</x:f>
        <x:v>144.602443686778</x:v>
      </x:c>
      <x:c r="J199" s="102" t="n">
        <x:f>XLOOKUP(C199,'Reference Tables'!$E$4:$E$12,'Reference Tables'!$F$4:$F$12,0.05)</x:f>
        <x:v>0.18</x:v>
      </x:c>
      <x:c r="K199" s="103" t="n">
        <x:f>MIN(I199,F199*J199)</x:f>
        <x:v>137.86249927764854</x:v>
      </x:c>
      <x:c r="L199" s="103" t="n">
        <x:f>'Inputs &amp; Guide'!$B$5</x:f>
        <x:v>15</x:v>
      </x:c>
      <x:c r="M199" s="103" t="n">
        <x:f>I199*'Inputs &amp; Guide'!$B$6</x:f>
        <x:v>79.53134402772791</x:v>
      </x:c>
      <x:c r="N199" s="103" t="n">
        <x:f>MAX(0,MIN(K199-L199,M199))</x:f>
        <x:v>79.53134402772791</x:v>
      </x:c>
      <x:c r="O199" s="103" t="n">
        <x:f>MAX(0,N199-'Inputs &amp; Guide'!$B$7)</x:f>
        <x:v>19.53134402772791</x:v>
      </x:c>
      <x:c r="P199" s="103" t="n">
        <x:f>N199-O199</x:f>
        <x:v>60</x:v>
      </x:c>
      <x:c r="Q199" s="103" t="n">
        <x:f>I199*'Inputs &amp; Guide'!$B$8</x:f>
        <x:v>2.6028439863620036</x:v>
      </x:c>
      <x:c r="R199" s="104" t="n">
        <x:f>IFERROR(P199/Q199,0)</x:f>
        <x:v>23.051708175510754</x:v>
      </x:c>
      <x:c r="S199" s="105" t="n">
        <x:f>ROUND(E199*XLOOKUP(C199,'Reference Tables'!$E$4:$E$12,'Reference Tables'!$G$4:$G$12,1),1)</x:f>
        <x:v>8.9</x:v>
      </x:c>
      <x:c r="T199" s="106" t="str">
        <x:f>IF(R199&gt;='Inputs &amp; Guide'!$B$9,"HIGH",IF(R199&gt;=0.45,"WATCH","NORMAL"))</x:f>
        <x:v>HIGH</x:v>
      </x:c>
    </x:row>
    <x:row r="200">
      <x:c r="A200" s="95" t="n">
        <x:v>1569</x:v>
      </x:c>
      <x:c r="B200" s="96" t="n">
        <x:v>45357.104166666664</x:v>
      </x:c>
      <x:c r="C200" s="97" t="str">
        <x:v>Tornado</x:v>
      </x:c>
      <x:c r="D200" s="97" t="str">
        <x:v>India</x:v>
      </x:c>
      <x:c r="E200" s="98" t="n">
        <x:v>5.67792374458183</x:v>
      </x:c>
      <x:c r="F200" s="99" t="n">
        <x:v>552.7619510357723</x:v>
      </x:c>
      <x:c r="G200" s="100" t="str">
        <x:f>XLOOKUP(D200,'Reference Tables'!$A$4:$A$23,'Reference Tables'!$B$4:$B$23,"Other")</x:f>
        <x:v>Asia Pacific</x:v>
      </x:c>
      <x:c r="H200" s="100" t="str">
        <x:f>VLOOKUP(G200,'Reference Tables'!$I$4:$J$9,2,FALSE)</x:f>
        <x:v>High</x:v>
      </x:c>
      <x:c r="I200" s="101" t="n">
        <x:f>F200*'Inputs &amp; Guide'!$B$4*XLOOKUP(D200,'Reference Tables'!$A$4:$A$23,'Reference Tables'!$C$4:$C$23,0.75)</x:f>
        <x:v>80.48214007080844</x:v>
      </x:c>
      <x:c r="J200" s="102" t="n">
        <x:f>XLOOKUP(C200,'Reference Tables'!$E$4:$E$12,'Reference Tables'!$F$4:$F$12,0.05)</x:f>
        <x:v>0.09</x:v>
      </x:c>
      <x:c r="K200" s="103" t="n">
        <x:f>MIN(I200,F200*J200)</x:f>
        <x:v>49.748575593219506</x:v>
      </x:c>
      <x:c r="L200" s="103" t="n">
        <x:f>'Inputs &amp; Guide'!$B$5</x:f>
        <x:v>15</x:v>
      </x:c>
      <x:c r="M200" s="103" t="n">
        <x:f>I200*'Inputs &amp; Guide'!$B$6</x:f>
        <x:v>44.26517703894465</x:v>
      </x:c>
      <x:c r="N200" s="103" t="n">
        <x:f>MAX(0,MIN(K200-L200,M200))</x:f>
        <x:v>34.748575593219506</x:v>
      </x:c>
      <x:c r="O200" s="103" t="n">
        <x:f>MAX(0,N200-'Inputs &amp; Guide'!$B$7)</x:f>
        <x:v>0</x:v>
      </x:c>
      <x:c r="P200" s="103" t="n">
        <x:f>N200-O200</x:f>
        <x:v>34.748575593219506</x:v>
      </x:c>
      <x:c r="Q200" s="103" t="n">
        <x:f>I200*'Inputs &amp; Guide'!$B$8</x:f>
        <x:v>1.4486785212745519</x:v>
      </x:c>
      <x:c r="R200" s="104" t="n">
        <x:f>IFERROR(P200/Q200,0)</x:f>
        <x:v>23.986395244300027</x:v>
      </x:c>
      <x:c r="S200" s="105" t="n">
        <x:f>ROUND(E200*XLOOKUP(C200,'Reference Tables'!$E$4:$E$12,'Reference Tables'!$G$4:$G$12,1),1)</x:f>
        <x:v>6</x:v>
      </x:c>
      <x:c r="T200" s="106" t="str">
        <x:f>IF(R200&gt;='Inputs &amp; Guide'!$B$9,"HIGH",IF(R200&gt;=0.45,"WATCH","NORMAL"))</x:f>
        <x:v>HIGH</x:v>
      </x:c>
    </x:row>
    <x:row r="201">
      <x:c r="A201" s="95" t="n">
        <x:v>1577</x:v>
      </x:c>
      <x:c r="B201" s="96" t="n">
        <x:v>45357.4375</x:v>
      </x:c>
      <x:c r="C201" s="97" t="str">
        <x:v>Tornado</x:v>
      </x:c>
      <x:c r="D201" s="97" t="str">
        <x:v>Indonesia</x:v>
      </x:c>
      <x:c r="E201" s="98" t="n">
        <x:v>7.181232209696589</x:v>
      </x:c>
      <x:c r="F201" s="99" t="n">
        <x:v>279.38963114599557</x:v>
      </x:c>
      <x:c r="G201" s="100" t="str">
        <x:f>XLOOKUP(D201,'Reference Tables'!$A$4:$A$23,'Reference Tables'!$B$4:$B$23,"Other")</x:f>
        <x:v>Asia Pacific</x:v>
      </x:c>
      <x:c r="H201" s="100" t="str">
        <x:f>VLOOKUP(G201,'Reference Tables'!$I$4:$J$9,2,FALSE)</x:f>
        <x:v>High</x:v>
      </x:c>
      <x:c r="I201" s="101" t="n">
        <x:f>F201*'Inputs &amp; Guide'!$B$4*XLOOKUP(D201,'Reference Tables'!$A$4:$A$23,'Reference Tables'!$C$4:$C$23,0.75)</x:f>
        <x:v>46.04341121286007</x:v>
      </x:c>
      <x:c r="J201" s="102" t="n">
        <x:f>XLOOKUP(C201,'Reference Tables'!$E$4:$E$12,'Reference Tables'!$F$4:$F$12,0.05)</x:f>
        <x:v>0.09</x:v>
      </x:c>
      <x:c r="K201" s="103" t="n">
        <x:f>MIN(I201,F201*J201)</x:f>
        <x:v>25.1450668031396</x:v>
      </x:c>
      <x:c r="L201" s="103" t="n">
        <x:f>'Inputs &amp; Guide'!$B$5</x:f>
        <x:v>15</x:v>
      </x:c>
      <x:c r="M201" s="103" t="n">
        <x:f>I201*'Inputs &amp; Guide'!$B$6</x:f>
        <x:v>25.323876167073042</x:v>
      </x:c>
      <x:c r="N201" s="103" t="n">
        <x:f>MAX(0,MIN(K201-L201,M201))</x:f>
        <x:v>10.1450668031396</x:v>
      </x:c>
      <x:c r="O201" s="103" t="n">
        <x:f>MAX(0,N201-'Inputs &amp; Guide'!$B$7)</x:f>
        <x:v>0</x:v>
      </x:c>
      <x:c r="P201" s="103" t="n">
        <x:f>N201-O201</x:f>
        <x:v>10.1450668031396</x:v>
      </x:c>
      <x:c r="Q201" s="103" t="n">
        <x:f>I201*'Inputs &amp; Guide'!$B$8</x:f>
        <x:v>0.8287814018314812</x:v>
      </x:c>
      <x:c r="R201" s="104" t="n">
        <x:f>IFERROR(P201/Q201,0)</x:f>
        <x:v>12.240944090589558</x:v>
      </x:c>
      <x:c r="S201" s="105" t="n">
        <x:f>ROUND(E201*XLOOKUP(C201,'Reference Tables'!$E$4:$E$12,'Reference Tables'!$G$4:$G$12,1),1)</x:f>
        <x:v>7.5</x:v>
      </x:c>
      <x:c r="T201" s="106" t="str">
        <x:f>IF(R201&gt;='Inputs &amp; Guide'!$B$9,"HIGH",IF(R201&gt;=0.45,"WATCH","NORMAL"))</x:f>
        <x:v>HIGH</x:v>
      </x:c>
    </x:row>
    <x:row r="202">
      <x:c r="A202" s="95" t="n">
        <x:v>1585</x:v>
      </x:c>
      <x:c r="B202" s="96" t="n">
        <x:v>45358</x:v>
      </x:c>
      <x:c r="C202" s="97" t="str">
        <x:v>Earthquake</x:v>
      </x:c>
      <x:c r="D202" s="97" t="str">
        <x:v>Brazil</x:v>
      </x:c>
      <x:c r="E202" s="98" t="n">
        <x:v>3.021021194862164</x:v>
      </x:c>
      <x:c r="F202" s="99" t="n">
        <x:v>910.4695026800681</x:v>
      </x:c>
      <x:c r="G202" s="100" t="str">
        <x:f>XLOOKUP(D202,'Reference Tables'!$A$4:$A$23,'Reference Tables'!$B$4:$B$23,"Other")</x:f>
        <x:v>Latin America</x:v>
      </x:c>
      <x:c r="H202" s="100" t="str">
        <x:f>VLOOKUP(G202,'Reference Tables'!$I$4:$J$9,2,FALSE)</x:f>
        <x:v>Moderate</x:v>
      </x:c>
      <x:c r="I202" s="101" t="n">
        <x:f>F202*'Inputs &amp; Guide'!$B$4*XLOOKUP(D202,'Reference Tables'!$A$4:$A$23,'Reference Tables'!$C$4:$C$23,0.75)</x:f>
        <x:v>119.45359875162494</x:v>
      </x:c>
      <x:c r="J202" s="102" t="n">
        <x:f>XLOOKUP(C202,'Reference Tables'!$E$4:$E$12,'Reference Tables'!$F$4:$F$12,0.05)</x:f>
        <x:v>0.14</x:v>
      </x:c>
      <x:c r="K202" s="103" t="n">
        <x:f>MIN(I202,F202*J202)</x:f>
        <x:v>119.45359875162494</x:v>
      </x:c>
      <x:c r="L202" s="103" t="n">
        <x:f>'Inputs &amp; Guide'!$B$5</x:f>
        <x:v>15</x:v>
      </x:c>
      <x:c r="M202" s="103" t="n">
        <x:f>I202*'Inputs &amp; Guide'!$B$6</x:f>
        <x:v>65.69947931339372</x:v>
      </x:c>
      <x:c r="N202" s="103" t="n">
        <x:f>MAX(0,MIN(K202-L202,M202))</x:f>
        <x:v>65.69947931339372</x:v>
      </x:c>
      <x:c r="O202" s="103" t="n">
        <x:f>MAX(0,N202-'Inputs &amp; Guide'!$B$7)</x:f>
        <x:v>5.699479313393724</x:v>
      </x:c>
      <x:c r="P202" s="103" t="n">
        <x:f>N202-O202</x:f>
        <x:v>60</x:v>
      </x:c>
      <x:c r="Q202" s="103" t="n">
        <x:f>I202*'Inputs &amp; Guide'!$B$8</x:f>
        <x:v>2.1501647775292487</x:v>
      </x:c>
      <x:c r="R202" s="104" t="n">
        <x:f>IFERROR(P202/Q202,0)</x:f>
        <x:v>27.90483809754614</x:v>
      </x:c>
      <x:c r="S202" s="105" t="n">
        <x:f>ROUND(E202*XLOOKUP(C202,'Reference Tables'!$E$4:$E$12,'Reference Tables'!$G$4:$G$12,1),1)</x:f>
        <x:v>4.5</x:v>
      </x:c>
      <x:c r="T202" s="106" t="str">
        <x:f>IF(R202&gt;='Inputs &amp; Guide'!$B$9,"HIGH",IF(R202&gt;=0.45,"WATCH","NORMAL"))</x:f>
        <x:v>HIGH</x:v>
      </x:c>
    </x:row>
    <x:row r="203">
      <x:c r="A203" s="95" t="n">
        <x:v>1593</x:v>
      </x:c>
      <x:c r="B203" s="96" t="n">
        <x:v>45358.104166666664</x:v>
      </x:c>
      <x:c r="C203" s="97" t="str">
        <x:v>Tornado</x:v>
      </x:c>
      <x:c r="D203" s="97" t="str">
        <x:v>India</x:v>
      </x:c>
      <x:c r="E203" s="98" t="n">
        <x:v>4.080851409065916</x:v>
      </x:c>
      <x:c r="F203" s="99" t="n">
        <x:v>724.975364583175</x:v>
      </x:c>
      <x:c r="G203" s="100" t="str">
        <x:f>XLOOKUP(D203,'Reference Tables'!$A$4:$A$23,'Reference Tables'!$B$4:$B$23,"Other")</x:f>
        <x:v>Asia Pacific</x:v>
      </x:c>
      <x:c r="H203" s="100" t="str">
        <x:f>VLOOKUP(G203,'Reference Tables'!$I$4:$J$9,2,FALSE)</x:f>
        <x:v>High</x:v>
      </x:c>
      <x:c r="I203" s="101" t="n">
        <x:f>F203*'Inputs &amp; Guide'!$B$4*XLOOKUP(D203,'Reference Tables'!$A$4:$A$23,'Reference Tables'!$C$4:$C$23,0.75)</x:f>
        <x:v>105.55641308331029</x:v>
      </x:c>
      <x:c r="J203" s="102" t="n">
        <x:f>XLOOKUP(C203,'Reference Tables'!$E$4:$E$12,'Reference Tables'!$F$4:$F$12,0.05)</x:f>
        <x:v>0.09</x:v>
      </x:c>
      <x:c r="K203" s="103" t="n">
        <x:f>MIN(I203,F203*J203)</x:f>
        <x:v>65.24778281248574</x:v>
      </x:c>
      <x:c r="L203" s="103" t="n">
        <x:f>'Inputs &amp; Guide'!$B$5</x:f>
        <x:v>15</x:v>
      </x:c>
      <x:c r="M203" s="103" t="n">
        <x:f>I203*'Inputs &amp; Guide'!$B$6</x:f>
        <x:v>58.05602719582066</x:v>
      </x:c>
      <x:c r="N203" s="103" t="n">
        <x:f>MAX(0,MIN(K203-L203,M203))</x:f>
        <x:v>50.24778281248574</x:v>
      </x:c>
      <x:c r="O203" s="103" t="n">
        <x:f>MAX(0,N203-'Inputs &amp; Guide'!$B$7)</x:f>
        <x:v>0</x:v>
      </x:c>
      <x:c r="P203" s="103" t="n">
        <x:f>N203-O203</x:f>
        <x:v>50.24778281248574</x:v>
      </x:c>
      <x:c r="Q203" s="103" t="n">
        <x:f>I203*'Inputs &amp; Guide'!$B$8</x:f>
        <x:v>1.900015435499585</x:v>
      </x:c>
      <x:c r="R203" s="104" t="n">
        <x:f>IFERROR(P203/Q203,0)</x:f>
        <x:v>26.445986634457903</x:v>
      </x:c>
      <x:c r="S203" s="105" t="n">
        <x:f>ROUND(E203*XLOOKUP(C203,'Reference Tables'!$E$4:$E$12,'Reference Tables'!$G$4:$G$12,1),1)</x:f>
        <x:v>4.3</x:v>
      </x:c>
      <x:c r="T203" s="106" t="str">
        <x:f>IF(R203&gt;='Inputs &amp; Guide'!$B$9,"HIGH",IF(R203&gt;=0.45,"WATCH","NORMAL"))</x:f>
        <x:v>HIGH</x:v>
      </x:c>
    </x:row>
    <x:row r="204">
      <x:c r="A204" s="95" t="n">
        <x:v>1601</x:v>
      </x:c>
      <x:c r="B204" s="96" t="n">
        <x:v>45358.4375</x:v>
      </x:c>
      <x:c r="C204" s="97" t="str">
        <x:v>Tornado</x:v>
      </x:c>
      <x:c r="D204" s="97" t="str">
        <x:v>Indonesia</x:v>
      </x:c>
      <x:c r="E204" s="98" t="n">
        <x:v>6.6695621980607385</x:v>
      </x:c>
      <x:c r="F204" s="99" t="n">
        <x:v>664.014631252839</x:v>
      </x:c>
      <x:c r="G204" s="100" t="str">
        <x:f>XLOOKUP(D204,'Reference Tables'!$A$4:$A$23,'Reference Tables'!$B$4:$B$23,"Other")</x:f>
        <x:v>Asia Pacific</x:v>
      </x:c>
      <x:c r="H204" s="100" t="str">
        <x:f>VLOOKUP(G204,'Reference Tables'!$I$4:$J$9,2,FALSE)</x:f>
        <x:v>High</x:v>
      </x:c>
      <x:c r="I204" s="101" t="n">
        <x:f>F204*'Inputs &amp; Guide'!$B$4*XLOOKUP(D204,'Reference Tables'!$A$4:$A$23,'Reference Tables'!$C$4:$C$23,0.75)</x:f>
        <x:v>109.42961123046786</x:v>
      </x:c>
      <x:c r="J204" s="102" t="n">
        <x:f>XLOOKUP(C204,'Reference Tables'!$E$4:$E$12,'Reference Tables'!$F$4:$F$12,0.05)</x:f>
        <x:v>0.09</x:v>
      </x:c>
      <x:c r="K204" s="103" t="n">
        <x:f>MIN(I204,F204*J204)</x:f>
        <x:v>59.7613168127555</x:v>
      </x:c>
      <x:c r="L204" s="103" t="n">
        <x:f>'Inputs &amp; Guide'!$B$5</x:f>
        <x:v>15</x:v>
      </x:c>
      <x:c r="M204" s="103" t="n">
        <x:f>I204*'Inputs &amp; Guide'!$B$6</x:f>
        <x:v>60.18628617675733</x:v>
      </x:c>
      <x:c r="N204" s="103" t="n">
        <x:f>MAX(0,MIN(K204-L204,M204))</x:f>
        <x:v>44.7613168127555</x:v>
      </x:c>
      <x:c r="O204" s="103" t="n">
        <x:f>MAX(0,N204-'Inputs &amp; Guide'!$B$7)</x:f>
        <x:v>0</x:v>
      </x:c>
      <x:c r="P204" s="103" t="n">
        <x:f>N204-O204</x:f>
        <x:v>44.7613168127555</x:v>
      </x:c>
      <x:c r="Q204" s="103" t="n">
        <x:f>I204*'Inputs &amp; Guide'!$B$8</x:f>
        <x:v>1.9697330021484212</x:v>
      </x:c>
      <x:c r="R204" s="104" t="n">
        <x:f>IFERROR(P204/Q204,0)</x:f>
        <x:v>22.724560518574638</x:v>
      </x:c>
      <x:c r="S204" s="105" t="n">
        <x:f>ROUND(E204*XLOOKUP(C204,'Reference Tables'!$E$4:$E$12,'Reference Tables'!$G$4:$G$12,1),1)</x:f>
        <x:v>7</x:v>
      </x:c>
      <x:c r="T204" s="106" t="str">
        <x:f>IF(R204&gt;='Inputs &amp; Guide'!$B$9,"HIGH",IF(R204&gt;=0.45,"WATCH","NORMAL"))</x:f>
        <x:v>HIGH</x:v>
      </x:c>
    </x:row>
    <x:row r="205">
      <x:c r="A205" s="95" t="n">
        <x:v>1609</x:v>
      </x:c>
      <x:c r="B205" s="96" t="n">
        <x:v>45359</x:v>
      </x:c>
      <x:c r="C205" s="97" t="str">
        <x:v>Flood</x:v>
      </x:c>
      <x:c r="D205" s="97" t="str">
        <x:v>Indonesia</x:v>
      </x:c>
      <x:c r="E205" s="98" t="n">
        <x:v>9.875280112286726</x:v>
      </x:c>
      <x:c r="F205" s="99" t="n">
        <x:v>502.62917092820464</x:v>
      </x:c>
      <x:c r="G205" s="100" t="str">
        <x:f>XLOOKUP(D205,'Reference Tables'!$A$4:$A$23,'Reference Tables'!$B$4:$B$23,"Other")</x:f>
        <x:v>Asia Pacific</x:v>
      </x:c>
      <x:c r="H205" s="100" t="str">
        <x:f>VLOOKUP(G205,'Reference Tables'!$I$4:$J$9,2,FALSE)</x:f>
        <x:v>High</x:v>
      </x:c>
      <x:c r="I205" s="101" t="n">
        <x:f>F205*'Inputs &amp; Guide'!$B$4*XLOOKUP(D205,'Reference Tables'!$A$4:$A$23,'Reference Tables'!$C$4:$C$23,0.75)</x:f>
        <x:v>82.83328736896813</x:v>
      </x:c>
      <x:c r="J205" s="102" t="n">
        <x:f>XLOOKUP(C205,'Reference Tables'!$E$4:$E$12,'Reference Tables'!$F$4:$F$12,0.05)</x:f>
        <x:v>0.12</x:v>
      </x:c>
      <x:c r="K205" s="103" t="n">
        <x:f>MIN(I205,F205*J205)</x:f>
        <x:v>60.315500511384556</x:v>
      </x:c>
      <x:c r="L205" s="103" t="n">
        <x:f>'Inputs &amp; Guide'!$B$5</x:f>
        <x:v>15</x:v>
      </x:c>
      <x:c r="M205" s="103" t="n">
        <x:f>I205*'Inputs &amp; Guide'!$B$6</x:f>
        <x:v>45.558308052932475</x:v>
      </x:c>
      <x:c r="N205" s="103" t="n">
        <x:f>MAX(0,MIN(K205-L205,M205))</x:f>
        <x:v>45.315500511384556</x:v>
      </x:c>
      <x:c r="O205" s="103" t="n">
        <x:f>MAX(0,N205-'Inputs &amp; Guide'!$B$7)</x:f>
        <x:v>0</x:v>
      </x:c>
      <x:c r="P205" s="103" t="n">
        <x:f>N205-O205</x:f>
        <x:v>45.315500511384556</x:v>
      </x:c>
      <x:c r="Q205" s="103" t="n">
        <x:f>I205*'Inputs &amp; Guide'!$B$8</x:f>
        <x:v>1.4909991726414262</x:v>
      </x:c>
      <x:c r="R205" s="104" t="n">
        <x:f>IFERROR(P205/Q205,0)</x:f>
        <x:v>30.39270667810262</x:v>
      </x:c>
      <x:c r="S205" s="105" t="n">
        <x:f>ROUND(E205*XLOOKUP(C205,'Reference Tables'!$E$4:$E$12,'Reference Tables'!$G$4:$G$12,1),1)</x:f>
        <x:v>12.3</x:v>
      </x:c>
      <x:c r="T205" s="106" t="str">
        <x:f>IF(R205&gt;='Inputs &amp; Guide'!$B$9,"HIGH",IF(R205&gt;=0.45,"WATCH","NORMAL"))</x:f>
        <x:v>HIGH</x:v>
      </x:c>
    </x:row>
    <x:row r="206">
      <x:c r="A206" s="95" t="n">
        <x:v>1617</x:v>
      </x:c>
      <x:c r="B206" s="96" t="n">
        <x:v>45359.104166666664</x:v>
      </x:c>
      <x:c r="C206" s="97" t="str">
        <x:v>Hurricane</x:v>
      </x:c>
      <x:c r="D206" s="97" t="str">
        <x:v>Brazil</x:v>
      </x:c>
      <x:c r="E206" s="98" t="n">
        <x:v>2.9289162793666472</x:v>
      </x:c>
      <x:c r="F206" s="99" t="n">
        <x:v>632.3885950706406</x:v>
      </x:c>
      <x:c r="G206" s="100" t="str">
        <x:f>XLOOKUP(D206,'Reference Tables'!$A$4:$A$23,'Reference Tables'!$B$4:$B$23,"Other")</x:f>
        <x:v>Latin America</x:v>
      </x:c>
      <x:c r="H206" s="100" t="str">
        <x:f>VLOOKUP(G206,'Reference Tables'!$I$4:$J$9,2,FALSE)</x:f>
        <x:v>Moderate</x:v>
      </x:c>
      <x:c r="I206" s="101" t="n">
        <x:f>F206*'Inputs &amp; Guide'!$B$4*XLOOKUP(D206,'Reference Tables'!$A$4:$A$23,'Reference Tables'!$C$4:$C$23,0.75)</x:f>
        <x:v>82.96938367326804</x:v>
      </x:c>
      <x:c r="J206" s="102" t="n">
        <x:f>XLOOKUP(C206,'Reference Tables'!$E$4:$E$12,'Reference Tables'!$F$4:$F$12,0.05)</x:f>
        <x:v>0.18</x:v>
      </x:c>
      <x:c r="K206" s="103" t="n">
        <x:f>MIN(I206,F206*J206)</x:f>
        <x:v>82.96938367326804</x:v>
      </x:c>
      <x:c r="L206" s="103" t="n">
        <x:f>'Inputs &amp; Guide'!$B$5</x:f>
        <x:v>15</x:v>
      </x:c>
      <x:c r="M206" s="103" t="n">
        <x:f>I206*'Inputs &amp; Guide'!$B$6</x:f>
        <x:v>45.63316102029743</x:v>
      </x:c>
      <x:c r="N206" s="103" t="n">
        <x:f>MAX(0,MIN(K206-L206,M206))</x:f>
        <x:v>45.63316102029743</x:v>
      </x:c>
      <x:c r="O206" s="103" t="n">
        <x:f>MAX(0,N206-'Inputs &amp; Guide'!$B$7)</x:f>
        <x:v>0</x:v>
      </x:c>
      <x:c r="P206" s="103" t="n">
        <x:f>N206-O206</x:f>
        <x:v>45.63316102029743</x:v>
      </x:c>
      <x:c r="Q206" s="103" t="n">
        <x:f>I206*'Inputs &amp; Guide'!$B$8</x:f>
        <x:v>1.4934489061188245</x:v>
      </x:c>
      <x:c r="R206" s="104" t="n">
        <x:f>IFERROR(P206/Q206,0)</x:f>
        <x:v>30.555555555555564</x:v>
      </x:c>
      <x:c r="S206" s="105" t="n">
        <x:f>ROUND(E206*XLOOKUP(C206,'Reference Tables'!$E$4:$E$12,'Reference Tables'!$G$4:$G$12,1),1)</x:f>
        <x:v>4.1</x:v>
      </x:c>
      <x:c r="T206" s="106" t="str">
        <x:f>IF(R206&gt;='Inputs &amp; Guide'!$B$9,"HIGH",IF(R206&gt;=0.45,"WATCH","NORMAL"))</x:f>
        <x:v>HIGH</x:v>
      </x:c>
    </x:row>
    <x:row r="207">
      <x:c r="A207" s="95" t="n">
        <x:v>1625</x:v>
      </x:c>
      <x:c r="B207" s="96" t="n">
        <x:v>45359.4375</x:v>
      </x:c>
      <x:c r="C207" s="97" t="str">
        <x:v>Flood</x:v>
      </x:c>
      <x:c r="D207" s="97" t="str">
        <x:v>India</x:v>
      </x:c>
      <x:c r="E207" s="98" t="n">
        <x:v>3.7104312327512767</x:v>
      </x:c>
      <x:c r="F207" s="99" t="n">
        <x:v>100.24716122996978</x:v>
      </x:c>
      <x:c r="G207" s="100" t="str">
        <x:f>XLOOKUP(D207,'Reference Tables'!$A$4:$A$23,'Reference Tables'!$B$4:$B$23,"Other")</x:f>
        <x:v>Asia Pacific</x:v>
      </x:c>
      <x:c r="H207" s="100" t="str">
        <x:f>VLOOKUP(G207,'Reference Tables'!$I$4:$J$9,2,FALSE)</x:f>
        <x:v>High</x:v>
      </x:c>
      <x:c r="I207" s="101" t="n">
        <x:f>F207*'Inputs &amp; Guide'!$B$4*XLOOKUP(D207,'Reference Tables'!$A$4:$A$23,'Reference Tables'!$C$4:$C$23,0.75)</x:f>
        <x:v>14.5959866750836</x:v>
      </x:c>
      <x:c r="J207" s="102" t="n">
        <x:f>XLOOKUP(C207,'Reference Tables'!$E$4:$E$12,'Reference Tables'!$F$4:$F$12,0.05)</x:f>
        <x:v>0.12</x:v>
      </x:c>
      <x:c r="K207" s="103" t="n">
        <x:f>MIN(I207,F207*J207)</x:f>
        <x:v>12.029659347596374</x:v>
      </x:c>
      <x:c r="L207" s="103" t="n">
        <x:f>'Inputs &amp; Guide'!$B$5</x:f>
        <x:v>15</x:v>
      </x:c>
      <x:c r="M207" s="103" t="n">
        <x:f>I207*'Inputs &amp; Guide'!$B$6</x:f>
        <x:v>8.02779267129598</x:v>
      </x:c>
      <x:c r="N207" s="103" t="n">
        <x:f>MAX(0,MIN(K207-L207,M207))</x:f>
        <x:v>0</x:v>
      </x:c>
      <x:c r="O207" s="103" t="n">
        <x:f>MAX(0,N207-'Inputs &amp; Guide'!$B$7)</x:f>
        <x:v>0</x:v>
      </x:c>
      <x:c r="P207" s="103" t="n">
        <x:f>N207-O207</x:f>
        <x:v>0</x:v>
      </x:c>
      <x:c r="Q207" s="103" t="n">
        <x:f>I207*'Inputs &amp; Guide'!$B$8</x:f>
        <x:v>0.2627277601515048</x:v>
      </x:c>
      <x:c r="R207" s="104" t="n">
        <x:f>IFERROR(P207/Q207,0)</x:f>
        <x:v>0</x:v>
      </x:c>
      <x:c r="S207" s="105" t="n">
        <x:f>ROUND(E207*XLOOKUP(C207,'Reference Tables'!$E$4:$E$12,'Reference Tables'!$G$4:$G$12,1),1)</x:f>
        <x:v>4.6</x:v>
      </x:c>
      <x:c r="T207" s="106" t="str">
        <x:f>IF(R207&gt;='Inputs &amp; Guide'!$B$9,"HIGH",IF(R207&gt;=0.45,"WATCH","NORMAL"))</x:f>
        <x:v>NORMAL</x:v>
      </x:c>
    </x:row>
    <x:row r="208">
      <x:c r="A208" s="95" t="n">
        <x:v>1633</x:v>
      </x:c>
      <x:c r="B208" s="96" t="n">
        <x:v>45360</x:v>
      </x:c>
      <x:c r="C208" s="97" t="str">
        <x:v>Wildfire</x:v>
      </x:c>
      <x:c r="D208" s="97" t="str">
        <x:v>Indonesia</x:v>
      </x:c>
      <x:c r="E208" s="98" t="n">
        <x:v>3.7255114417279906</x:v>
      </x:c>
      <x:c r="F208" s="99" t="n">
        <x:v>571.2011068198404</x:v>
      </x:c>
      <x:c r="G208" s="100" t="str">
        <x:f>XLOOKUP(D208,'Reference Tables'!$A$4:$A$23,'Reference Tables'!$B$4:$B$23,"Other")</x:f>
        <x:v>Asia Pacific</x:v>
      </x:c>
      <x:c r="H208" s="100" t="str">
        <x:f>VLOOKUP(G208,'Reference Tables'!$I$4:$J$9,2,FALSE)</x:f>
        <x:v>High</x:v>
      </x:c>
      <x:c r="I208" s="101" t="n">
        <x:f>F208*'Inputs &amp; Guide'!$B$4*XLOOKUP(D208,'Reference Tables'!$A$4:$A$23,'Reference Tables'!$C$4:$C$23,0.75)</x:f>
        <x:v>94.13394240390971</x:v>
      </x:c>
      <x:c r="J208" s="102" t="n">
        <x:f>XLOOKUP(C208,'Reference Tables'!$E$4:$E$12,'Reference Tables'!$F$4:$F$12,0.05)</x:f>
        <x:v>0.1</x:v>
      </x:c>
      <x:c r="K208" s="103" t="n">
        <x:f>MIN(I208,F208*J208)</x:f>
        <x:v>57.120110681984045</x:v>
      </x:c>
      <x:c r="L208" s="103" t="n">
        <x:f>'Inputs &amp; Guide'!$B$5</x:f>
        <x:v>15</x:v>
      </x:c>
      <x:c r="M208" s="103" t="n">
        <x:f>I208*'Inputs &amp; Guide'!$B$6</x:f>
        <x:v>51.77366832215035</x:v>
      </x:c>
      <x:c r="N208" s="103" t="n">
        <x:f>MAX(0,MIN(K208-L208,M208))</x:f>
        <x:v>42.120110681984045</x:v>
      </x:c>
      <x:c r="O208" s="103" t="n">
        <x:f>MAX(0,N208-'Inputs &amp; Guide'!$B$7)</x:f>
        <x:v>0</x:v>
      </x:c>
      <x:c r="P208" s="103" t="n">
        <x:f>N208-O208</x:f>
        <x:v>42.120110681984045</x:v>
      </x:c>
      <x:c r="Q208" s="103" t="n">
        <x:f>I208*'Inputs &amp; Guide'!$B$8</x:f>
        <x:v>1.6944109632703748</x:v>
      </x:c>
      <x:c r="R208" s="104" t="n">
        <x:f>IFERROR(P208/Q208,0)</x:f>
        <x:v>24.8582614224168</x:v>
      </x:c>
      <x:c r="S208" s="105" t="n">
        <x:f>ROUND(E208*XLOOKUP(C208,'Reference Tables'!$E$4:$E$12,'Reference Tables'!$G$4:$G$12,1),1)</x:f>
        <x:v>4.3</x:v>
      </x:c>
      <x:c r="T208" s="106" t="str">
        <x:f>IF(R208&gt;='Inputs &amp; Guide'!$B$9,"HIGH",IF(R208&gt;=0.45,"WATCH","NORMAL"))</x:f>
        <x:v>HIGH</x:v>
      </x:c>
    </x:row>
    <x:row r="209">
      <x:c r="A209" s="95" t="n">
        <x:v>1641</x:v>
      </x:c>
      <x:c r="B209" s="96" t="n">
        <x:v>45360.104166666664</x:v>
      </x:c>
      <x:c r="C209" s="97" t="str">
        <x:v>Earthquake</x:v>
      </x:c>
      <x:c r="D209" s="97" t="str">
        <x:v>Indonesia</x:v>
      </x:c>
      <x:c r="E209" s="98" t="n">
        <x:v>7.822122048663896</x:v>
      </x:c>
      <x:c r="F209" s="99" t="n">
        <x:v>225.2697516686164</x:v>
      </x:c>
      <x:c r="G209" s="100" t="str">
        <x:f>XLOOKUP(D209,'Reference Tables'!$A$4:$A$23,'Reference Tables'!$B$4:$B$23,"Other")</x:f>
        <x:v>Asia Pacific</x:v>
      </x:c>
      <x:c r="H209" s="100" t="str">
        <x:f>VLOOKUP(G209,'Reference Tables'!$I$4:$J$9,2,FALSE)</x:f>
        <x:v>High</x:v>
      </x:c>
      <x:c r="I209" s="101" t="n">
        <x:f>F209*'Inputs &amp; Guide'!$B$4*XLOOKUP(D209,'Reference Tables'!$A$4:$A$23,'Reference Tables'!$C$4:$C$23,0.75)</x:f>
        <x:v>37.124455074987985</x:v>
      </x:c>
      <x:c r="J209" s="102" t="n">
        <x:f>XLOOKUP(C209,'Reference Tables'!$E$4:$E$12,'Reference Tables'!$F$4:$F$12,0.05)</x:f>
        <x:v>0.14</x:v>
      </x:c>
      <x:c r="K209" s="103" t="n">
        <x:f>MIN(I209,F209*J209)</x:f>
        <x:v>31.5377652336063</x:v>
      </x:c>
      <x:c r="L209" s="103" t="n">
        <x:f>'Inputs &amp; Guide'!$B$5</x:f>
        <x:v>15</x:v>
      </x:c>
      <x:c r="M209" s="103" t="n">
        <x:f>I209*'Inputs &amp; Guide'!$B$6</x:f>
        <x:v>20.418450291243392</x:v>
      </x:c>
      <x:c r="N209" s="103" t="n">
        <x:f>MAX(0,MIN(K209-L209,M209))</x:f>
        <x:v>16.5377652336063</x:v>
      </x:c>
      <x:c r="O209" s="103" t="n">
        <x:f>MAX(0,N209-'Inputs &amp; Guide'!$B$7)</x:f>
        <x:v>0</x:v>
      </x:c>
      <x:c r="P209" s="103" t="n">
        <x:f>N209-O209</x:f>
        <x:v>16.5377652336063</x:v>
      </x:c>
      <x:c r="Q209" s="103" t="n">
        <x:f>I209*'Inputs &amp; Guide'!$B$8</x:f>
        <x:v>0.6682401913497836</x:v>
      </x:c>
      <x:c r="R209" s="104" t="n">
        <x:f>IFERROR(P209/Q209,0)</x:f>
        <x:v>24.748234912661477</x:v>
      </x:c>
      <x:c r="S209" s="105" t="n">
        <x:f>ROUND(E209*XLOOKUP(C209,'Reference Tables'!$E$4:$E$12,'Reference Tables'!$G$4:$G$12,1),1)</x:f>
        <x:v>11.7</x:v>
      </x:c>
      <x:c r="T209" s="106" t="str">
        <x:f>IF(R209&gt;='Inputs &amp; Guide'!$B$9,"HIGH",IF(R209&gt;=0.45,"WATCH","NORMAL"))</x:f>
        <x:v>HIGH</x:v>
      </x:c>
    </x:row>
    <x:row r="210">
      <x:c r="A210" s="95" t="n">
        <x:v>1649</x:v>
      </x:c>
      <x:c r="B210" s="96" t="n">
        <x:v>45360.4375</x:v>
      </x:c>
      <x:c r="C210" s="97" t="str">
        <x:v>Earthquake</x:v>
      </x:c>
      <x:c r="D210" s="97" t="str">
        <x:v>Brazil</x:v>
      </x:c>
      <x:c r="E210" s="98" t="n">
        <x:v>3.367250613984254</x:v>
      </x:c>
      <x:c r="F210" s="99" t="n">
        <x:v>41.29109145098286</x:v>
      </x:c>
      <x:c r="G210" s="100" t="str">
        <x:f>XLOOKUP(D210,'Reference Tables'!$A$4:$A$23,'Reference Tables'!$B$4:$B$23,"Other")</x:f>
        <x:v>Latin America</x:v>
      </x:c>
      <x:c r="H210" s="100" t="str">
        <x:f>VLOOKUP(G210,'Reference Tables'!$I$4:$J$9,2,FALSE)</x:f>
        <x:v>Moderate</x:v>
      </x:c>
      <x:c r="I210" s="101" t="n">
        <x:f>F210*'Inputs &amp; Guide'!$B$4*XLOOKUP(D210,'Reference Tables'!$A$4:$A$23,'Reference Tables'!$C$4:$C$23,0.75)</x:f>
        <x:v>5.417391198368952</x:v>
      </x:c>
      <x:c r="J210" s="102" t="n">
        <x:f>XLOOKUP(C210,'Reference Tables'!$E$4:$E$12,'Reference Tables'!$F$4:$F$12,0.05)</x:f>
        <x:v>0.14</x:v>
      </x:c>
      <x:c r="K210" s="103" t="n">
        <x:f>MIN(I210,F210*J210)</x:f>
        <x:v>5.417391198368952</x:v>
      </x:c>
      <x:c r="L210" s="103" t="n">
        <x:f>'Inputs &amp; Guide'!$B$5</x:f>
        <x:v>15</x:v>
      </x:c>
      <x:c r="M210" s="103" t="n">
        <x:f>I210*'Inputs &amp; Guide'!$B$6</x:f>
        <x:v>2.9795651591029237</x:v>
      </x:c>
      <x:c r="N210" s="103" t="n">
        <x:f>MAX(0,MIN(K210-L210,M210))</x:f>
        <x:v>0</x:v>
      </x:c>
      <x:c r="O210" s="103" t="n">
        <x:f>MAX(0,N210-'Inputs &amp; Guide'!$B$7)</x:f>
        <x:v>0</x:v>
      </x:c>
      <x:c r="P210" s="103" t="n">
        <x:f>N210-O210</x:f>
        <x:v>0</x:v>
      </x:c>
      <x:c r="Q210" s="103" t="n">
        <x:f>I210*'Inputs &amp; Guide'!$B$8</x:f>
        <x:v>0.09751304157064113</x:v>
      </x:c>
      <x:c r="R210" s="104" t="n">
        <x:f>IFERROR(P210/Q210,0)</x:f>
        <x:v>0</x:v>
      </x:c>
      <x:c r="S210" s="105" t="n">
        <x:f>ROUND(E210*XLOOKUP(C210,'Reference Tables'!$E$4:$E$12,'Reference Tables'!$G$4:$G$12,1),1)</x:f>
        <x:v>5.1</x:v>
      </x:c>
      <x:c r="T210" s="106" t="str">
        <x:f>IF(R210&gt;='Inputs &amp; Guide'!$B$9,"HIGH",IF(R210&gt;=0.45,"WATCH","NORMAL"))</x:f>
        <x:v>NORMAL</x:v>
      </x:c>
    </x:row>
    <x:row r="211">
      <x:c r="A211" s="95" t="n">
        <x:v>1657</x:v>
      </x:c>
      <x:c r="B211" s="96" t="n">
        <x:v>45361</x:v>
      </x:c>
      <x:c r="C211" s="97" t="str">
        <x:v>Flood</x:v>
      </x:c>
      <x:c r="D211" s="97" t="str">
        <x:v>Brazil</x:v>
      </x:c>
      <x:c r="E211" s="98" t="n">
        <x:v>8.985392130381221</x:v>
      </x:c>
      <x:c r="F211" s="99" t="n">
        <x:v>69.70143983810583</x:v>
      </x:c>
      <x:c r="G211" s="100" t="str">
        <x:f>XLOOKUP(D211,'Reference Tables'!$A$4:$A$23,'Reference Tables'!$B$4:$B$23,"Other")</x:f>
        <x:v>Latin America</x:v>
      </x:c>
      <x:c r="H211" s="100" t="str">
        <x:f>VLOOKUP(G211,'Reference Tables'!$I$4:$J$9,2,FALSE)</x:f>
        <x:v>Moderate</x:v>
      </x:c>
      <x:c r="I211" s="101" t="n">
        <x:f>F211*'Inputs &amp; Guide'!$B$4*XLOOKUP(D211,'Reference Tables'!$A$4:$A$23,'Reference Tables'!$C$4:$C$23,0.75)</x:f>
        <x:v>9.144828906759484</x:v>
      </x:c>
      <x:c r="J211" s="102" t="n">
        <x:f>XLOOKUP(C211,'Reference Tables'!$E$4:$E$12,'Reference Tables'!$F$4:$F$12,0.05)</x:f>
        <x:v>0.12</x:v>
      </x:c>
      <x:c r="K211" s="103" t="n">
        <x:f>MIN(I211,F211*J211)</x:f>
        <x:v>8.3641727805727</x:v>
      </x:c>
      <x:c r="L211" s="103" t="n">
        <x:f>'Inputs &amp; Guide'!$B$5</x:f>
        <x:v>15</x:v>
      </x:c>
      <x:c r="M211" s="103" t="n">
        <x:f>I211*'Inputs &amp; Guide'!$B$6</x:f>
        <x:v>5.029655898717716</x:v>
      </x:c>
      <x:c r="N211" s="103" t="n">
        <x:f>MAX(0,MIN(K211-L211,M211))</x:f>
        <x:v>0</x:v>
      </x:c>
      <x:c r="O211" s="103" t="n">
        <x:f>MAX(0,N211-'Inputs &amp; Guide'!$B$7)</x:f>
        <x:v>0</x:v>
      </x:c>
      <x:c r="P211" s="103" t="n">
        <x:f>N211-O211</x:f>
        <x:v>0</x:v>
      </x:c>
      <x:c r="Q211" s="103" t="n">
        <x:f>I211*'Inputs &amp; Guide'!$B$8</x:f>
        <x:v>0.1646069203216707</x:v>
      </x:c>
      <x:c r="R211" s="104" t="n">
        <x:f>IFERROR(P211/Q211,0)</x:f>
        <x:v>0</x:v>
      </x:c>
      <x:c r="S211" s="105" t="n">
        <x:f>ROUND(E211*XLOOKUP(C211,'Reference Tables'!$E$4:$E$12,'Reference Tables'!$G$4:$G$12,1),1)</x:f>
        <x:v>11.2</x:v>
      </x:c>
      <x:c r="T211" s="106" t="str">
        <x:f>IF(R211&gt;='Inputs &amp; Guide'!$B$9,"HIGH",IF(R211&gt;=0.45,"WATCH","NORMAL"))</x:f>
        <x:v>NORMAL</x:v>
      </x:c>
    </x:row>
    <x:row r="212">
      <x:c r="A212" s="95" t="n">
        <x:v>1665</x:v>
      </x:c>
      <x:c r="B212" s="96" t="n">
        <x:v>45361.104166666664</x:v>
      </x:c>
      <x:c r="C212" s="97" t="str">
        <x:v>Flood</x:v>
      </x:c>
      <x:c r="D212" s="97" t="str">
        <x:v>Japan</x:v>
      </x:c>
      <x:c r="E212" s="98" t="n">
        <x:v>1.0450412536456826</x:v>
      </x:c>
      <x:c r="F212" s="99" t="n">
        <x:v>366.9581788360371</x:v>
      </x:c>
      <x:c r="G212" s="100" t="str">
        <x:f>XLOOKUP(D212,'Reference Tables'!$A$4:$A$23,'Reference Tables'!$B$4:$B$23,"Other")</x:f>
        <x:v>Asia Pacific</x:v>
      </x:c>
      <x:c r="H212" s="100" t="str">
        <x:f>VLOOKUP(G212,'Reference Tables'!$I$4:$J$9,2,FALSE)</x:f>
        <x:v>High</x:v>
      </x:c>
      <x:c r="I212" s="101" t="n">
        <x:f>F212*'Inputs &amp; Guide'!$B$4*XLOOKUP(D212,'Reference Tables'!$A$4:$A$23,'Reference Tables'!$C$4:$C$23,0.75)</x:f>
        <x:v>69.2817041642438</x:v>
      </x:c>
      <x:c r="J212" s="102" t="n">
        <x:f>XLOOKUP(C212,'Reference Tables'!$E$4:$E$12,'Reference Tables'!$F$4:$F$12,0.05)</x:f>
        <x:v>0.12</x:v>
      </x:c>
      <x:c r="K212" s="103" t="n">
        <x:f>MIN(I212,F212*J212)</x:f>
        <x:v>44.03498146032445</x:v>
      </x:c>
      <x:c r="L212" s="103" t="n">
        <x:f>'Inputs &amp; Guide'!$B$5</x:f>
        <x:v>15</x:v>
      </x:c>
      <x:c r="M212" s="103" t="n">
        <x:f>I212*'Inputs &amp; Guide'!$B$6</x:f>
        <x:v>38.1049372903341</x:v>
      </x:c>
      <x:c r="N212" s="103" t="n">
        <x:f>MAX(0,MIN(K212-L212,M212))</x:f>
        <x:v>29.034981460324452</x:v>
      </x:c>
      <x:c r="O212" s="103" t="n">
        <x:f>MAX(0,N212-'Inputs &amp; Guide'!$B$7)</x:f>
        <x:v>0</x:v>
      </x:c>
      <x:c r="P212" s="103" t="n">
        <x:f>N212-O212</x:f>
        <x:v>29.034981460324452</x:v>
      </x:c>
      <x:c r="Q212" s="103" t="n">
        <x:f>I212*'Inputs &amp; Guide'!$B$8</x:f>
        <x:v>1.2470706749563885</x:v>
      </x:c>
      <x:c r="R212" s="104" t="n">
        <x:f>IFERROR(P212/Q212,0)</x:f>
        <x:v>23.282546886398272</x:v>
      </x:c>
      <x:c r="S212" s="105" t="n">
        <x:f>ROUND(E212*XLOOKUP(C212,'Reference Tables'!$E$4:$E$12,'Reference Tables'!$G$4:$G$12,1),1)</x:f>
        <x:v>1.3</x:v>
      </x:c>
      <x:c r="T212" s="106" t="str">
        <x:f>IF(R212&gt;='Inputs &amp; Guide'!$B$9,"HIGH",IF(R212&gt;=0.45,"WATCH","NORMAL"))</x:f>
        <x:v>HIGH</x:v>
      </x:c>
    </x:row>
    <x:row r="213">
      <x:c r="A213" s="95" t="n">
        <x:v>1673</x:v>
      </x:c>
      <x:c r="B213" s="96" t="n">
        <x:v>45361.4375</x:v>
      </x:c>
      <x:c r="C213" s="97" t="str">
        <x:v>Tornado</x:v>
      </x:c>
      <x:c r="D213" s="97" t="str">
        <x:v>India</x:v>
      </x:c>
      <x:c r="E213" s="98" t="n">
        <x:v>7.373419006285307</x:v>
      </x:c>
      <x:c r="F213" s="99" t="n">
        <x:v>122.1826127521696</x:v>
      </x:c>
      <x:c r="G213" s="100" t="str">
        <x:f>XLOOKUP(D213,'Reference Tables'!$A$4:$A$23,'Reference Tables'!$B$4:$B$23,"Other")</x:f>
        <x:v>Asia Pacific</x:v>
      </x:c>
      <x:c r="H213" s="100" t="str">
        <x:f>VLOOKUP(G213,'Reference Tables'!$I$4:$J$9,2,FALSE)</x:f>
        <x:v>High</x:v>
      </x:c>
      <x:c r="I213" s="101" t="n">
        <x:f>F213*'Inputs &amp; Guide'!$B$4*XLOOKUP(D213,'Reference Tables'!$A$4:$A$23,'Reference Tables'!$C$4:$C$23,0.75)</x:f>
        <x:v>17.789788416715897</x:v>
      </x:c>
      <x:c r="J213" s="102" t="n">
        <x:f>XLOOKUP(C213,'Reference Tables'!$E$4:$E$12,'Reference Tables'!$F$4:$F$12,0.05)</x:f>
        <x:v>0.09</x:v>
      </x:c>
      <x:c r="K213" s="103" t="n">
        <x:f>MIN(I213,F213*J213)</x:f>
        <x:v>10.996435147695264</x:v>
      </x:c>
      <x:c r="L213" s="103" t="n">
        <x:f>'Inputs &amp; Guide'!$B$5</x:f>
        <x:v>15</x:v>
      </x:c>
      <x:c r="M213" s="103" t="n">
        <x:f>I213*'Inputs &amp; Guide'!$B$6</x:f>
        <x:v>9.784383629193744</x:v>
      </x:c>
      <x:c r="N213" s="103" t="n">
        <x:f>MAX(0,MIN(K213-L213,M213))</x:f>
        <x:v>0</x:v>
      </x:c>
      <x:c r="O213" s="103" t="n">
        <x:f>MAX(0,N213-'Inputs &amp; Guide'!$B$7)</x:f>
        <x:v>0</x:v>
      </x:c>
      <x:c r="P213" s="103" t="n">
        <x:f>N213-O213</x:f>
        <x:v>0</x:v>
      </x:c>
      <x:c r="Q213" s="103" t="n">
        <x:f>I213*'Inputs &amp; Guide'!$B$8</x:f>
        <x:v>0.32021619150088615</x:v>
      </x:c>
      <x:c r="R213" s="104" t="n">
        <x:f>IFERROR(P213/Q213,0)</x:f>
        <x:v>0</x:v>
      </x:c>
      <x:c r="S213" s="105" t="n">
        <x:f>ROUND(E213*XLOOKUP(C213,'Reference Tables'!$E$4:$E$12,'Reference Tables'!$G$4:$G$12,1),1)</x:f>
        <x:v>7.7</x:v>
      </x:c>
      <x:c r="T213" s="106" t="str">
        <x:f>IF(R213&gt;='Inputs &amp; Guide'!$B$9,"HIGH",IF(R213&gt;=0.45,"WATCH","NORMAL"))</x:f>
        <x:v>NORMAL</x:v>
      </x:c>
    </x:row>
    <x:row r="214">
      <x:c r="A214" s="95" t="n">
        <x:v>1681</x:v>
      </x:c>
      <x:c r="B214" s="96" t="n">
        <x:v>45362</x:v>
      </x:c>
      <x:c r="C214" s="97" t="str">
        <x:v>Flood</x:v>
      </x:c>
      <x:c r="D214" s="97" t="str">
        <x:v>Indonesia</x:v>
      </x:c>
      <x:c r="E214" s="98" t="n">
        <x:v>1.7339625215808403</x:v>
      </x:c>
      <x:c r="F214" s="99" t="n">
        <x:v>386.55946046893706</x:v>
      </x:c>
      <x:c r="G214" s="100" t="str">
        <x:f>XLOOKUP(D214,'Reference Tables'!$A$4:$A$23,'Reference Tables'!$B$4:$B$23,"Other")</x:f>
        <x:v>Asia Pacific</x:v>
      </x:c>
      <x:c r="H214" s="100" t="str">
        <x:f>VLOOKUP(G214,'Reference Tables'!$I$4:$J$9,2,FALSE)</x:f>
        <x:v>High</x:v>
      </x:c>
      <x:c r="I214" s="101" t="n">
        <x:f>F214*'Inputs &amp; Guide'!$B$4*XLOOKUP(D214,'Reference Tables'!$A$4:$A$23,'Reference Tables'!$C$4:$C$23,0.75)</x:f>
        <x:v>63.70499908528083</x:v>
      </x:c>
      <x:c r="J214" s="102" t="n">
        <x:f>XLOOKUP(C214,'Reference Tables'!$E$4:$E$12,'Reference Tables'!$F$4:$F$12,0.05)</x:f>
        <x:v>0.12</x:v>
      </x:c>
      <x:c r="K214" s="103" t="n">
        <x:f>MIN(I214,F214*J214)</x:f>
        <x:v>46.387135256272444</x:v>
      </x:c>
      <x:c r="L214" s="103" t="n">
        <x:f>'Inputs &amp; Guide'!$B$5</x:f>
        <x:v>15</x:v>
      </x:c>
      <x:c r="M214" s="103" t="n">
        <x:f>I214*'Inputs &amp; Guide'!$B$6</x:f>
        <x:v>35.03774949690446</x:v>
      </x:c>
      <x:c r="N214" s="103" t="n">
        <x:f>MAX(0,MIN(K214-L214,M214))</x:f>
        <x:v>31.387135256272444</x:v>
      </x:c>
      <x:c r="O214" s="103" t="n">
        <x:f>MAX(0,N214-'Inputs &amp; Guide'!$B$7)</x:f>
        <x:v>0</x:v>
      </x:c>
      <x:c r="P214" s="103" t="n">
        <x:f>N214-O214</x:f>
        <x:v>31.387135256272444</x:v>
      </x:c>
      <x:c r="Q214" s="103" t="n">
        <x:f>I214*'Inputs &amp; Guide'!$B$8</x:f>
        <x:v>1.1466899835350548</x:v>
      </x:c>
      <x:c r="R214" s="104" t="n">
        <x:f>IFERROR(P214/Q214,0)</x:f>
        <x:v>27.37194508275996</x:v>
      </x:c>
      <x:c r="S214" s="105" t="n">
        <x:f>ROUND(E214*XLOOKUP(C214,'Reference Tables'!$E$4:$E$12,'Reference Tables'!$G$4:$G$12,1),1)</x:f>
        <x:v>2.2</x:v>
      </x:c>
      <x:c r="T214" s="106" t="str">
        <x:f>IF(R214&gt;='Inputs &amp; Guide'!$B$9,"HIGH",IF(R214&gt;=0.45,"WATCH","NORMAL"))</x:f>
        <x:v>HIGH</x:v>
      </x:c>
    </x:row>
    <x:row r="215">
      <x:c r="A215" s="95" t="n">
        <x:v>1689</x:v>
      </x:c>
      <x:c r="B215" s="96" t="n">
        <x:v>45362.104166666664</x:v>
      </x:c>
      <x:c r="C215" s="97" t="str">
        <x:v>Tornado</x:v>
      </x:c>
      <x:c r="D215" s="97" t="str">
        <x:v>Brazil</x:v>
      </x:c>
      <x:c r="E215" s="98" t="n">
        <x:v>6.427144489946355</x:v>
      </x:c>
      <x:c r="F215" s="99" t="n">
        <x:v>976.7355697667591</x:v>
      </x:c>
      <x:c r="G215" s="100" t="str">
        <x:f>XLOOKUP(D215,'Reference Tables'!$A$4:$A$23,'Reference Tables'!$B$4:$B$23,"Other")</x:f>
        <x:v>Latin America</x:v>
      </x:c>
      <x:c r="H215" s="100" t="str">
        <x:f>VLOOKUP(G215,'Reference Tables'!$I$4:$J$9,2,FALSE)</x:f>
        <x:v>Moderate</x:v>
      </x:c>
      <x:c r="I215" s="101" t="n">
        <x:f>F215*'Inputs &amp; Guide'!$B$4*XLOOKUP(D215,'Reference Tables'!$A$4:$A$23,'Reference Tables'!$C$4:$C$23,0.75)</x:f>
        <x:v>128.14770675339878</x:v>
      </x:c>
      <x:c r="J215" s="102" t="n">
        <x:f>XLOOKUP(C215,'Reference Tables'!$E$4:$E$12,'Reference Tables'!$F$4:$F$12,0.05)</x:f>
        <x:v>0.09</x:v>
      </x:c>
      <x:c r="K215" s="103" t="n">
        <x:f>MIN(I215,F215*J215)</x:f>
        <x:v>87.90620127900831</x:v>
      </x:c>
      <x:c r="L215" s="103" t="n">
        <x:f>'Inputs &amp; Guide'!$B$5</x:f>
        <x:v>15</x:v>
      </x:c>
      <x:c r="M215" s="103" t="n">
        <x:f>I215*'Inputs &amp; Guide'!$B$6</x:f>
        <x:v>70.48123871436934</x:v>
      </x:c>
      <x:c r="N215" s="103" t="n">
        <x:f>MAX(0,MIN(K215-L215,M215))</x:f>
        <x:v>70.48123871436934</x:v>
      </x:c>
      <x:c r="O215" s="103" t="n">
        <x:f>MAX(0,N215-'Inputs &amp; Guide'!$B$7)</x:f>
        <x:v>10.48123871436934</x:v>
      </x:c>
      <x:c r="P215" s="103" t="n">
        <x:f>N215-O215</x:f>
        <x:v>60</x:v>
      </x:c>
      <x:c r="Q215" s="103" t="n">
        <x:f>I215*'Inputs &amp; Guide'!$B$8</x:f>
        <x:v>2.306658721561178</x:v>
      </x:c>
      <x:c r="R215" s="104" t="n">
        <x:f>IFERROR(P215/Q215,0)</x:f>
        <x:v>26.01165028842723</x:v>
      </x:c>
      <x:c r="S215" s="105" t="n">
        <x:f>ROUND(E215*XLOOKUP(C215,'Reference Tables'!$E$4:$E$12,'Reference Tables'!$G$4:$G$12,1),1)</x:f>
        <x:v>6.7</x:v>
      </x:c>
      <x:c r="T215" s="106" t="str">
        <x:f>IF(R215&gt;='Inputs &amp; Guide'!$B$9,"HIGH",IF(R215&gt;=0.45,"WATCH","NORMAL"))</x:f>
        <x:v>HIGH</x:v>
      </x:c>
    </x:row>
    <x:row r="216">
      <x:c r="A216" s="95" t="n">
        <x:v>1697</x:v>
      </x:c>
      <x:c r="B216" s="96" t="n">
        <x:v>45362.4375</x:v>
      </x:c>
      <x:c r="C216" s="97" t="str">
        <x:v>Hurricane</x:v>
      </x:c>
      <x:c r="D216" s="97" t="str">
        <x:v>USA</x:v>
      </x:c>
      <x:c r="E216" s="98" t="n">
        <x:v>3.2410228386404567</x:v>
      </x:c>
      <x:c r="F216" s="99" t="n">
        <x:v>393.91389208428205</x:v>
      </x:c>
      <x:c r="G216" s="100" t="str">
        <x:f>XLOOKUP(D216,'Reference Tables'!$A$4:$A$23,'Reference Tables'!$B$4:$B$23,"Other")</x:f>
        <x:v>Other</x:v>
      </x:c>
      <x:c r="H216" s="100" t="str">
        <x:f>VLOOKUP(G216,'Reference Tables'!$I$4:$J$9,2,FALSE)</x:f>
        <x:v>Moderate</x:v>
      </x:c>
      <x:c r="I216" s="101" t="n">
        <x:f>F216*'Inputs &amp; Guide'!$B$4*XLOOKUP(D216,'Reference Tables'!$A$4:$A$23,'Reference Tables'!$C$4:$C$23,0.75)</x:f>
        <x:v>47.269667050113846</x:v>
      </x:c>
      <x:c r="J216" s="102" t="n">
        <x:f>XLOOKUP(C216,'Reference Tables'!$E$4:$E$12,'Reference Tables'!$F$4:$F$12,0.05)</x:f>
        <x:v>0.18</x:v>
      </x:c>
      <x:c r="K216" s="103" t="n">
        <x:f>MIN(I216,F216*J216)</x:f>
        <x:v>47.269667050113846</x:v>
      </x:c>
      <x:c r="L216" s="103" t="n">
        <x:f>'Inputs &amp; Guide'!$B$5</x:f>
        <x:v>15</x:v>
      </x:c>
      <x:c r="M216" s="103" t="n">
        <x:f>I216*'Inputs &amp; Guide'!$B$6</x:f>
        <x:v>25.998316877562615</x:v>
      </x:c>
      <x:c r="N216" s="103" t="n">
        <x:f>MAX(0,MIN(K216-L216,M216))</x:f>
        <x:v>25.998316877562615</x:v>
      </x:c>
      <x:c r="O216" s="103" t="n">
        <x:f>MAX(0,N216-'Inputs &amp; Guide'!$B$7)</x:f>
        <x:v>0</x:v>
      </x:c>
      <x:c r="P216" s="103" t="n">
        <x:f>N216-O216</x:f>
        <x:v>25.998316877562615</x:v>
      </x:c>
      <x:c r="Q216" s="103" t="n">
        <x:f>I216*'Inputs &amp; Guide'!$B$8</x:f>
        <x:v>0.8508540069020492</x:v>
      </x:c>
      <x:c r="R216" s="104" t="n">
        <x:f>IFERROR(P216/Q216,0)</x:f>
        <x:v>30.555555555555557</x:v>
      </x:c>
      <x:c r="S216" s="105" t="n">
        <x:f>ROUND(E216*XLOOKUP(C216,'Reference Tables'!$E$4:$E$12,'Reference Tables'!$G$4:$G$12,1),1)</x:f>
        <x:v>4.5</x:v>
      </x:c>
      <x:c r="T216" s="106" t="str">
        <x:f>IF(R216&gt;='Inputs &amp; Guide'!$B$9,"HIGH",IF(R216&gt;=0.45,"WATCH","NORMAL"))</x:f>
        <x:v>HIGH</x:v>
      </x:c>
    </x:row>
    <x:row r="217">
      <x:c r="A217" s="95" t="n">
        <x:v>1705</x:v>
      </x:c>
      <x:c r="B217" s="96" t="n">
        <x:v>45363</x:v>
      </x:c>
      <x:c r="C217" s="97" t="str">
        <x:v>Wildfire</x:v>
      </x:c>
      <x:c r="D217" s="97" t="str">
        <x:v>USA</x:v>
      </x:c>
      <x:c r="E217" s="98" t="n">
        <x:v>5.493169266850437</x:v>
      </x:c>
      <x:c r="F217" s="99" t="n">
        <x:v>503.2411835412414</x:v>
      </x:c>
      <x:c r="G217" s="100" t="str">
        <x:f>XLOOKUP(D217,'Reference Tables'!$A$4:$A$23,'Reference Tables'!$B$4:$B$23,"Other")</x:f>
        <x:v>Other</x:v>
      </x:c>
      <x:c r="H217" s="100" t="str">
        <x:f>VLOOKUP(G217,'Reference Tables'!$I$4:$J$9,2,FALSE)</x:f>
        <x:v>Moderate</x:v>
      </x:c>
      <x:c r="I217" s="101" t="n">
        <x:f>F217*'Inputs &amp; Guide'!$B$4*XLOOKUP(D217,'Reference Tables'!$A$4:$A$23,'Reference Tables'!$C$4:$C$23,0.75)</x:f>
        <x:v>60.388942024948975</x:v>
      </x:c>
      <x:c r="J217" s="102" t="n">
        <x:f>XLOOKUP(C217,'Reference Tables'!$E$4:$E$12,'Reference Tables'!$F$4:$F$12,0.05)</x:f>
        <x:v>0.1</x:v>
      </x:c>
      <x:c r="K217" s="103" t="n">
        <x:f>MIN(I217,F217*J217)</x:f>
        <x:v>50.324118354124145</x:v>
      </x:c>
      <x:c r="L217" s="103" t="n">
        <x:f>'Inputs &amp; Guide'!$B$5</x:f>
        <x:v>15</x:v>
      </x:c>
      <x:c r="M217" s="103" t="n">
        <x:f>I217*'Inputs &amp; Guide'!$B$6</x:f>
        <x:v>33.21391811372194</x:v>
      </x:c>
      <x:c r="N217" s="103" t="n">
        <x:f>MAX(0,MIN(K217-L217,M217))</x:f>
        <x:v>33.21391811372194</x:v>
      </x:c>
      <x:c r="O217" s="103" t="n">
        <x:f>MAX(0,N217-'Inputs &amp; Guide'!$B$7)</x:f>
        <x:v>0</x:v>
      </x:c>
      <x:c r="P217" s="103" t="n">
        <x:f>N217-O217</x:f>
        <x:v>33.21391811372194</x:v>
      </x:c>
      <x:c r="Q217" s="103" t="n">
        <x:f>I217*'Inputs &amp; Guide'!$B$8</x:f>
        <x:v>1.0870009564490815</x:v>
      </x:c>
      <x:c r="R217" s="104" t="n">
        <x:f>IFERROR(P217/Q217,0)</x:f>
        <x:v>30.55555555555556</x:v>
      </x:c>
      <x:c r="S217" s="105" t="n">
        <x:f>ROUND(E217*XLOOKUP(C217,'Reference Tables'!$E$4:$E$12,'Reference Tables'!$G$4:$G$12,1),1)</x:f>
        <x:v>6.3</x:v>
      </x:c>
      <x:c r="T217" s="106" t="str">
        <x:f>IF(R217&gt;='Inputs &amp; Guide'!$B$9,"HIGH",IF(R217&gt;=0.45,"WATCH","NORMAL"))</x:f>
        <x:v>HIGH</x:v>
      </x:c>
    </x:row>
    <x:row r="218">
      <x:c r="A218" s="95" t="n">
        <x:v>1713</x:v>
      </x:c>
      <x:c r="B218" s="96" t="n">
        <x:v>45363.104166666664</x:v>
      </x:c>
      <x:c r="C218" s="97" t="str">
        <x:v>Earthquake</x:v>
      </x:c>
      <x:c r="D218" s="97" t="str">
        <x:v>Japan</x:v>
      </x:c>
      <x:c r="E218" s="98" t="n">
        <x:v>7.4232519850384735</x:v>
      </x:c>
      <x:c r="F218" s="99" t="n">
        <x:v>778.6236435982121</x:v>
      </x:c>
      <x:c r="G218" s="100" t="str">
        <x:f>XLOOKUP(D218,'Reference Tables'!$A$4:$A$23,'Reference Tables'!$B$4:$B$23,"Other")</x:f>
        <x:v>Asia Pacific</x:v>
      </x:c>
      <x:c r="H218" s="100" t="str">
        <x:f>VLOOKUP(G218,'Reference Tables'!$I$4:$J$9,2,FALSE)</x:f>
        <x:v>High</x:v>
      </x:c>
      <x:c r="I218" s="101" t="n">
        <x:f>F218*'Inputs &amp; Guide'!$B$4*XLOOKUP(D218,'Reference Tables'!$A$4:$A$23,'Reference Tables'!$C$4:$C$23,0.75)</x:f>
        <x:v>147.00414391134245</x:v>
      </x:c>
      <x:c r="J218" s="102" t="n">
        <x:f>XLOOKUP(C218,'Reference Tables'!$E$4:$E$12,'Reference Tables'!$F$4:$F$12,0.05)</x:f>
        <x:v>0.14</x:v>
      </x:c>
      <x:c r="K218" s="103" t="n">
        <x:f>MIN(I218,F218*J218)</x:f>
        <x:v>109.0073101037497</x:v>
      </x:c>
      <x:c r="L218" s="103" t="n">
        <x:f>'Inputs &amp; Guide'!$B$5</x:f>
        <x:v>15</x:v>
      </x:c>
      <x:c r="M218" s="103" t="n">
        <x:f>I218*'Inputs &amp; Guide'!$B$6</x:f>
        <x:v>80.85227915123835</x:v>
      </x:c>
      <x:c r="N218" s="103" t="n">
        <x:f>MAX(0,MIN(K218-L218,M218))</x:f>
        <x:v>80.85227915123835</x:v>
      </x:c>
      <x:c r="O218" s="103" t="n">
        <x:f>MAX(0,N218-'Inputs &amp; Guide'!$B$7)</x:f>
        <x:v>20.85227915123835</x:v>
      </x:c>
      <x:c r="P218" s="103" t="n">
        <x:f>N218-O218</x:f>
        <x:v>60</x:v>
      </x:c>
      <x:c r="Q218" s="103" t="n">
        <x:f>I218*'Inputs &amp; Guide'!$B$8</x:f>
        <x:v>2.646074590404164</x:v>
      </x:c>
      <x:c r="R218" s="104" t="n">
        <x:f>IFERROR(P218/Q218,0)</x:f>
        <x:v>22.675097753323556</x:v>
      </x:c>
      <x:c r="S218" s="105" t="n">
        <x:f>ROUND(E218*XLOOKUP(C218,'Reference Tables'!$E$4:$E$12,'Reference Tables'!$G$4:$G$12,1),1)</x:f>
        <x:v>11.1</x:v>
      </x:c>
      <x:c r="T218" s="106" t="str">
        <x:f>IF(R218&gt;='Inputs &amp; Guide'!$B$9,"HIGH",IF(R218&gt;=0.45,"WATCH","NORMAL"))</x:f>
        <x:v>HIGH</x:v>
      </x:c>
    </x:row>
    <x:row r="219">
      <x:c r="A219" s="95" t="n">
        <x:v>1721</x:v>
      </x:c>
      <x:c r="B219" s="96" t="n">
        <x:v>45363.4375</x:v>
      </x:c>
      <x:c r="C219" s="97" t="str">
        <x:v>Tornado</x:v>
      </x:c>
      <x:c r="D219" s="97" t="str">
        <x:v>USA</x:v>
      </x:c>
      <x:c r="E219" s="98" t="n">
        <x:v>6.582795118911795</x:v>
      </x:c>
      <x:c r="F219" s="99" t="n">
        <x:v>332.50213851270814</x:v>
      </x:c>
      <x:c r="G219" s="100" t="str">
        <x:f>XLOOKUP(D219,'Reference Tables'!$A$4:$A$23,'Reference Tables'!$B$4:$B$23,"Other")</x:f>
        <x:v>Other</x:v>
      </x:c>
      <x:c r="H219" s="100" t="str">
        <x:f>VLOOKUP(G219,'Reference Tables'!$I$4:$J$9,2,FALSE)</x:f>
        <x:v>Moderate</x:v>
      </x:c>
      <x:c r="I219" s="101" t="n">
        <x:f>F219*'Inputs &amp; Guide'!$B$4*XLOOKUP(D219,'Reference Tables'!$A$4:$A$23,'Reference Tables'!$C$4:$C$23,0.75)</x:f>
        <x:v>39.900256621524974</x:v>
      </x:c>
      <x:c r="J219" s="102" t="n">
        <x:f>XLOOKUP(C219,'Reference Tables'!$E$4:$E$12,'Reference Tables'!$F$4:$F$12,0.05)</x:f>
        <x:v>0.09</x:v>
      </x:c>
      <x:c r="K219" s="103" t="n">
        <x:f>MIN(I219,F219*J219)</x:f>
        <x:v>29.92519246614373</x:v>
      </x:c>
      <x:c r="L219" s="103" t="n">
        <x:f>'Inputs &amp; Guide'!$B$5</x:f>
        <x:v>15</x:v>
      </x:c>
      <x:c r="M219" s="103" t="n">
        <x:f>I219*'Inputs &amp; Guide'!$B$6</x:f>
        <x:v>21.945141141838736</x:v>
      </x:c>
      <x:c r="N219" s="103" t="n">
        <x:f>MAX(0,MIN(K219-L219,M219))</x:f>
        <x:v>14.92519246614373</x:v>
      </x:c>
      <x:c r="O219" s="103" t="n">
        <x:f>MAX(0,N219-'Inputs &amp; Guide'!$B$7)</x:f>
        <x:v>0</x:v>
      </x:c>
      <x:c r="P219" s="103" t="n">
        <x:f>N219-O219</x:f>
        <x:v>14.92519246614373</x:v>
      </x:c>
      <x:c r="Q219" s="103" t="n">
        <x:f>I219*'Inputs &amp; Guide'!$B$8</x:f>
        <x:v>0.7182046191874495</x:v>
      </x:c>
      <x:c r="R219" s="104" t="n">
        <x:f>IFERROR(P219/Q219,0)</x:f>
        <x:v>20.781253792309982</x:v>
      </x:c>
      <x:c r="S219" s="105" t="n">
        <x:f>ROUND(E219*XLOOKUP(C219,'Reference Tables'!$E$4:$E$12,'Reference Tables'!$G$4:$G$12,1),1)</x:f>
        <x:v>6.9</x:v>
      </x:c>
      <x:c r="T219" s="106" t="str">
        <x:f>IF(R219&gt;='Inputs &amp; Guide'!$B$9,"HIGH",IF(R219&gt;=0.45,"WATCH","NORMAL"))</x:f>
        <x:v>HIGH</x:v>
      </x:c>
    </x:row>
    <x:row r="220">
      <x:c r="A220" s="95" t="n">
        <x:v>1729</x:v>
      </x:c>
      <x:c r="B220" s="96" t="n">
        <x:v>45364</x:v>
      </x:c>
      <x:c r="C220" s="97" t="str">
        <x:v>Tornado</x:v>
      </x:c>
      <x:c r="D220" s="97" t="str">
        <x:v>Japan</x:v>
      </x:c>
      <x:c r="E220" s="98" t="n">
        <x:v>3.9417152105249147</x:v>
      </x:c>
      <x:c r="F220" s="99" t="n">
        <x:v>662.1136299887626</x:v>
      </x:c>
      <x:c r="G220" s="100" t="str">
        <x:f>XLOOKUP(D220,'Reference Tables'!$A$4:$A$23,'Reference Tables'!$B$4:$B$23,"Other")</x:f>
        <x:v>Asia Pacific</x:v>
      </x:c>
      <x:c r="H220" s="100" t="str">
        <x:f>VLOOKUP(G220,'Reference Tables'!$I$4:$J$9,2,FALSE)</x:f>
        <x:v>High</x:v>
      </x:c>
      <x:c r="I220" s="101" t="n">
        <x:f>F220*'Inputs &amp; Guide'!$B$4*XLOOKUP(D220,'Reference Tables'!$A$4:$A$23,'Reference Tables'!$C$4:$C$23,0.75)</x:f>
        <x:v>125.00705334187836</x:v>
      </x:c>
      <x:c r="J220" s="102" t="n">
        <x:f>XLOOKUP(C220,'Reference Tables'!$E$4:$E$12,'Reference Tables'!$F$4:$F$12,0.05)</x:f>
        <x:v>0.09</x:v>
      </x:c>
      <x:c r="K220" s="103" t="n">
        <x:f>MIN(I220,F220*J220)</x:f>
        <x:v>59.59022669898863</x:v>
      </x:c>
      <x:c r="L220" s="103" t="n">
        <x:f>'Inputs &amp; Guide'!$B$5</x:f>
        <x:v>15</x:v>
      </x:c>
      <x:c r="M220" s="103" t="n">
        <x:f>I220*'Inputs &amp; Guide'!$B$6</x:f>
        <x:v>68.7538793380331</x:v>
      </x:c>
      <x:c r="N220" s="103" t="n">
        <x:f>MAX(0,MIN(K220-L220,M220))</x:f>
        <x:v>44.59022669898863</x:v>
      </x:c>
      <x:c r="O220" s="103" t="n">
        <x:f>MAX(0,N220-'Inputs &amp; Guide'!$B$7)</x:f>
        <x:v>0</x:v>
      </x:c>
      <x:c r="P220" s="103" t="n">
        <x:f>N220-O220</x:f>
        <x:v>44.59022669898863</x:v>
      </x:c>
      <x:c r="Q220" s="103" t="n">
        <x:f>I220*'Inputs &amp; Guide'!$B$8</x:f>
        <x:v>2.2501269601538105</x:v>
      </x:c>
      <x:c r="R220" s="104" t="n">
        <x:f>IFERROR(P220/Q220,0)</x:f>
        <x:v>19.816760337799163</x:v>
      </x:c>
      <x:c r="S220" s="105" t="n">
        <x:f>ROUND(E220*XLOOKUP(C220,'Reference Tables'!$E$4:$E$12,'Reference Tables'!$G$4:$G$12,1),1)</x:f>
        <x:v>4.1</x:v>
      </x:c>
      <x:c r="T220" s="106" t="str">
        <x:f>IF(R220&gt;='Inputs &amp; Guide'!$B$9,"HIGH",IF(R220&gt;=0.45,"WATCH","NORMAL"))</x:f>
        <x:v>HIGH</x:v>
      </x:c>
    </x:row>
    <x:row r="221">
      <x:c r="A221" s="95" t="n">
        <x:v>1737</x:v>
      </x:c>
      <x:c r="B221" s="96" t="n">
        <x:v>45364.104166666664</x:v>
      </x:c>
      <x:c r="C221" s="97" t="str">
        <x:v>Earthquake</x:v>
      </x:c>
      <x:c r="D221" s="97" t="str">
        <x:v>Japan</x:v>
      </x:c>
      <x:c r="E221" s="98" t="n">
        <x:v>9.70688809692232</x:v>
      </x:c>
      <x:c r="F221" s="99" t="n">
        <x:v>166.93472269014686</x:v>
      </x:c>
      <x:c r="G221" s="100" t="str">
        <x:f>XLOOKUP(D221,'Reference Tables'!$A$4:$A$23,'Reference Tables'!$B$4:$B$23,"Other")</x:f>
        <x:v>Asia Pacific</x:v>
      </x:c>
      <x:c r="H221" s="100" t="str">
        <x:f>VLOOKUP(G221,'Reference Tables'!$I$4:$J$9,2,FALSE)</x:f>
        <x:v>High</x:v>
      </x:c>
      <x:c r="I221" s="101" t="n">
        <x:f>F221*'Inputs &amp; Guide'!$B$4*XLOOKUP(D221,'Reference Tables'!$A$4:$A$23,'Reference Tables'!$C$4:$C$23,0.75)</x:f>
        <x:v>31.517275643899726</x:v>
      </x:c>
      <x:c r="J221" s="102" t="n">
        <x:f>XLOOKUP(C221,'Reference Tables'!$E$4:$E$12,'Reference Tables'!$F$4:$F$12,0.05)</x:f>
        <x:v>0.14</x:v>
      </x:c>
      <x:c r="K221" s="103" t="n">
        <x:f>MIN(I221,F221*J221)</x:f>
        <x:v>23.37086117662056</x:v>
      </x:c>
      <x:c r="L221" s="103" t="n">
        <x:f>'Inputs &amp; Guide'!$B$5</x:f>
        <x:v>15</x:v>
      </x:c>
      <x:c r="M221" s="103" t="n">
        <x:f>I221*'Inputs &amp; Guide'!$B$6</x:f>
        <x:v>17.33450160414485</x:v>
      </x:c>
      <x:c r="N221" s="103" t="n">
        <x:f>MAX(0,MIN(K221-L221,M221))</x:f>
        <x:v>8.370861176620561</x:v>
      </x:c>
      <x:c r="O221" s="103" t="n">
        <x:f>MAX(0,N221-'Inputs &amp; Guide'!$B$7)</x:f>
        <x:v>0</x:v>
      </x:c>
      <x:c r="P221" s="103" t="n">
        <x:f>N221-O221</x:f>
        <x:v>8.370861176620561</x:v>
      </x:c>
      <x:c r="Q221" s="103" t="n">
        <x:f>I221*'Inputs &amp; Guide'!$B$8</x:f>
        <x:v>0.567310961590195</x:v>
      </x:c>
      <x:c r="R221" s="104" t="n">
        <x:f>IFERROR(P221/Q221,0)</x:f>
        <x:v>14.755331279262977</x:v>
      </x:c>
      <x:c r="S221" s="105" t="n">
        <x:f>ROUND(E221*XLOOKUP(C221,'Reference Tables'!$E$4:$E$12,'Reference Tables'!$G$4:$G$12,1),1)</x:f>
        <x:v>14.6</x:v>
      </x:c>
      <x:c r="T221" s="106" t="str">
        <x:f>IF(R221&gt;='Inputs &amp; Guide'!$B$9,"HIGH",IF(R221&gt;=0.45,"WATCH","NORMAL"))</x:f>
        <x:v>HIGH</x:v>
      </x:c>
    </x:row>
    <x:row r="222">
      <x:c r="A222" s="95" t="n">
        <x:v>1745</x:v>
      </x:c>
      <x:c r="B222" s="96" t="n">
        <x:v>45364.4375</x:v>
      </x:c>
      <x:c r="C222" s="97" t="str">
        <x:v>Wildfire</x:v>
      </x:c>
      <x:c r="D222" s="97" t="str">
        <x:v>USA</x:v>
      </x:c>
      <x:c r="E222" s="98" t="n">
        <x:v>1.1882964293705416</x:v>
      </x:c>
      <x:c r="F222" s="99" t="n">
        <x:v>737.9087847923826</x:v>
      </x:c>
      <x:c r="G222" s="100" t="str">
        <x:f>XLOOKUP(D222,'Reference Tables'!$A$4:$A$23,'Reference Tables'!$B$4:$B$23,"Other")</x:f>
        <x:v>Other</x:v>
      </x:c>
      <x:c r="H222" s="100" t="str">
        <x:f>VLOOKUP(G222,'Reference Tables'!$I$4:$J$9,2,FALSE)</x:f>
        <x:v>Moderate</x:v>
      </x:c>
      <x:c r="I222" s="101" t="n">
        <x:f>F222*'Inputs &amp; Guide'!$B$4*XLOOKUP(D222,'Reference Tables'!$A$4:$A$23,'Reference Tables'!$C$4:$C$23,0.75)</x:f>
        <x:v>88.5490541750859</x:v>
      </x:c>
      <x:c r="J222" s="102" t="n">
        <x:f>XLOOKUP(C222,'Reference Tables'!$E$4:$E$12,'Reference Tables'!$F$4:$F$12,0.05)</x:f>
        <x:v>0.1</x:v>
      </x:c>
      <x:c r="K222" s="103" t="n">
        <x:f>MIN(I222,F222*J222)</x:f>
        <x:v>73.79087847923826</x:v>
      </x:c>
      <x:c r="L222" s="103" t="n">
        <x:f>'Inputs &amp; Guide'!$B$5</x:f>
        <x:v>15</x:v>
      </x:c>
      <x:c r="M222" s="103" t="n">
        <x:f>I222*'Inputs &amp; Guide'!$B$6</x:f>
        <x:v>48.70197979629725</x:v>
      </x:c>
      <x:c r="N222" s="103" t="n">
        <x:f>MAX(0,MIN(K222-L222,M222))</x:f>
        <x:v>48.70197979629725</x:v>
      </x:c>
      <x:c r="O222" s="103" t="n">
        <x:f>MAX(0,N222-'Inputs &amp; Guide'!$B$7)</x:f>
        <x:v>0</x:v>
      </x:c>
      <x:c r="P222" s="103" t="n">
        <x:f>N222-O222</x:f>
        <x:v>48.70197979629725</x:v>
      </x:c>
      <x:c r="Q222" s="103" t="n">
        <x:f>I222*'Inputs &amp; Guide'!$B$8</x:f>
        <x:v>1.593882975151546</x:v>
      </x:c>
      <x:c r="R222" s="104" t="n">
        <x:f>IFERROR(P222/Q222,0)</x:f>
        <x:v>30.555555555555564</x:v>
      </x:c>
      <x:c r="S222" s="105" t="n">
        <x:f>ROUND(E222*XLOOKUP(C222,'Reference Tables'!$E$4:$E$12,'Reference Tables'!$G$4:$G$12,1),1)</x:f>
        <x:v>1.4</x:v>
      </x:c>
      <x:c r="T222" s="106" t="str">
        <x:f>IF(R222&gt;='Inputs &amp; Guide'!$B$9,"HIGH",IF(R222&gt;=0.45,"WATCH","NORMAL"))</x:f>
        <x:v>HIGH</x:v>
      </x:c>
    </x:row>
    <x:row r="223">
      <x:c r="A223" s="95" t="n">
        <x:v>1753</x:v>
      </x:c>
      <x:c r="B223" s="96" t="n">
        <x:v>45365</x:v>
      </x:c>
      <x:c r="C223" s="97" t="str">
        <x:v>Hurricane</x:v>
      </x:c>
      <x:c r="D223" s="97" t="str">
        <x:v>China</x:v>
      </x:c>
      <x:c r="E223" s="98" t="n">
        <x:v>4.959680235083086</x:v>
      </x:c>
      <x:c r="F223" s="99" t="n">
        <x:v>726.5674263526926</x:v>
      </x:c>
      <x:c r="G223" s="100" t="str">
        <x:f>XLOOKUP(D223,'Reference Tables'!$A$4:$A$23,'Reference Tables'!$B$4:$B$23,"Other")</x:f>
        <x:v>Asia Pacific</x:v>
      </x:c>
      <x:c r="H223" s="100" t="str">
        <x:f>VLOOKUP(G223,'Reference Tables'!$I$4:$J$9,2,FALSE)</x:f>
        <x:v>High</x:v>
      </x:c>
      <x:c r="I223" s="101" t="n">
        <x:f>F223*'Inputs &amp; Guide'!$B$4*XLOOKUP(D223,'Reference Tables'!$A$4:$A$23,'Reference Tables'!$C$4:$C$23,0.75)</x:f>
        <x:v>125.55085127374528</x:v>
      </x:c>
      <x:c r="J223" s="102" t="n">
        <x:f>XLOOKUP(C223,'Reference Tables'!$E$4:$E$12,'Reference Tables'!$F$4:$F$12,0.05)</x:f>
        <x:v>0.18</x:v>
      </x:c>
      <x:c r="K223" s="103" t="n">
        <x:f>MIN(I223,F223*J223)</x:f>
        <x:v>125.55085127374528</x:v>
      </x:c>
      <x:c r="L223" s="103" t="n">
        <x:f>'Inputs &amp; Guide'!$B$5</x:f>
        <x:v>15</x:v>
      </x:c>
      <x:c r="M223" s="103" t="n">
        <x:f>I223*'Inputs &amp; Guide'!$B$6</x:f>
        <x:v>69.0529682005599</x:v>
      </x:c>
      <x:c r="N223" s="103" t="n">
        <x:f>MAX(0,MIN(K223-L223,M223))</x:f>
        <x:v>69.0529682005599</x:v>
      </x:c>
      <x:c r="O223" s="103" t="n">
        <x:f>MAX(0,N223-'Inputs &amp; Guide'!$B$7)</x:f>
        <x:v>9.052968200559903</x:v>
      </x:c>
      <x:c r="P223" s="103" t="n">
        <x:f>N223-O223</x:f>
        <x:v>60</x:v>
      </x:c>
      <x:c r="Q223" s="103" t="n">
        <x:f>I223*'Inputs &amp; Guide'!$B$8</x:f>
        <x:v>2.259915322927415</x:v>
      </x:c>
      <x:c r="R223" s="104" t="n">
        <x:f>IFERROR(P223/Q223,0)</x:f>
        <x:v>26.549667322171217</x:v>
      </x:c>
      <x:c r="S223" s="105" t="n">
        <x:f>ROUND(E223*XLOOKUP(C223,'Reference Tables'!$E$4:$E$12,'Reference Tables'!$G$4:$G$12,1),1)</x:f>
        <x:v>6.9</x:v>
      </x:c>
      <x:c r="T223" s="106" t="str">
        <x:f>IF(R223&gt;='Inputs &amp; Guide'!$B$9,"HIGH",IF(R223&gt;=0.45,"WATCH","NORMAL"))</x:f>
        <x:v>HIGH</x:v>
      </x:c>
    </x:row>
    <x:row r="224">
      <x:c r="A224" s="95" t="n">
        <x:v>1761</x:v>
      </x:c>
      <x:c r="B224" s="96" t="n">
        <x:v>45365.104166666664</x:v>
      </x:c>
      <x:c r="C224" s="97" t="str">
        <x:v>Tornado</x:v>
      </x:c>
      <x:c r="D224" s="97" t="str">
        <x:v>Brazil</x:v>
      </x:c>
      <x:c r="E224" s="98" t="n">
        <x:v>4.315385666190137</x:v>
      </x:c>
      <x:c r="F224" s="99" t="n">
        <x:v>390.24122364724434</x:v>
      </x:c>
      <x:c r="G224" s="100" t="str">
        <x:f>XLOOKUP(D224,'Reference Tables'!$A$4:$A$23,'Reference Tables'!$B$4:$B$23,"Other")</x:f>
        <x:v>Latin America</x:v>
      </x:c>
      <x:c r="H224" s="100" t="str">
        <x:f>VLOOKUP(G224,'Reference Tables'!$I$4:$J$9,2,FALSE)</x:f>
        <x:v>Moderate</x:v>
      </x:c>
      <x:c r="I224" s="101" t="n">
        <x:f>F224*'Inputs &amp; Guide'!$B$4*XLOOKUP(D224,'Reference Tables'!$A$4:$A$23,'Reference Tables'!$C$4:$C$23,0.75)</x:f>
        <x:v>51.19964854251845</x:v>
      </x:c>
      <x:c r="J224" s="102" t="n">
        <x:f>XLOOKUP(C224,'Reference Tables'!$E$4:$E$12,'Reference Tables'!$F$4:$F$12,0.05)</x:f>
        <x:v>0.09</x:v>
      </x:c>
      <x:c r="K224" s="103" t="n">
        <x:f>MIN(I224,F224*J224)</x:f>
        <x:v>35.12171012825199</x:v>
      </x:c>
      <x:c r="L224" s="103" t="n">
        <x:f>'Inputs &amp; Guide'!$B$5</x:f>
        <x:v>15</x:v>
      </x:c>
      <x:c r="M224" s="103" t="n">
        <x:f>I224*'Inputs &amp; Guide'!$B$6</x:f>
        <x:v>28.15980669838515</x:v>
      </x:c>
      <x:c r="N224" s="103" t="n">
        <x:f>MAX(0,MIN(K224-L224,M224))</x:f>
        <x:v>20.12171012825199</x:v>
      </x:c>
      <x:c r="O224" s="103" t="n">
        <x:f>MAX(0,N224-'Inputs &amp; Guide'!$B$7)</x:f>
        <x:v>0</x:v>
      </x:c>
      <x:c r="P224" s="103" t="n">
        <x:f>N224-O224</x:f>
        <x:v>20.12171012825199</x:v>
      </x:c>
      <x:c r="Q224" s="103" t="n">
        <x:f>I224*'Inputs &amp; Guide'!$B$8</x:f>
        <x:v>0.9215936737653321</x:v>
      </x:c>
      <x:c r="R224" s="104" t="n">
        <x:f>IFERROR(P224/Q224,0)</x:f>
        <x:v>21.833602704802896</x:v>
      </x:c>
      <x:c r="S224" s="105" t="n">
        <x:f>ROUND(E224*XLOOKUP(C224,'Reference Tables'!$E$4:$E$12,'Reference Tables'!$G$4:$G$12,1),1)</x:f>
        <x:v>4.5</x:v>
      </x:c>
      <x:c r="T224" s="106" t="str">
        <x:f>IF(R224&gt;='Inputs &amp; Guide'!$B$9,"HIGH",IF(R224&gt;=0.45,"WATCH","NORMAL"))</x:f>
        <x:v>HIGH</x:v>
      </x:c>
    </x:row>
    <x:row r="225">
      <x:c r="A225" s="95" t="n">
        <x:v>1769</x:v>
      </x:c>
      <x:c r="B225" s="96" t="n">
        <x:v>45365.4375</x:v>
      </x:c>
      <x:c r="C225" s="97" t="str">
        <x:v>Hurricane</x:v>
      </x:c>
      <x:c r="D225" s="97" t="str">
        <x:v>China</x:v>
      </x:c>
      <x:c r="E225" s="98" t="n">
        <x:v>8.157449249395562</x:v>
      </x:c>
      <x:c r="F225" s="99" t="n">
        <x:v>487.68203448476555</x:v>
      </x:c>
      <x:c r="G225" s="100" t="str">
        <x:f>XLOOKUP(D225,'Reference Tables'!$A$4:$A$23,'Reference Tables'!$B$4:$B$23,"Other")</x:f>
        <x:v>Asia Pacific</x:v>
      </x:c>
      <x:c r="H225" s="100" t="str">
        <x:f>VLOOKUP(G225,'Reference Tables'!$I$4:$J$9,2,FALSE)</x:f>
        <x:v>High</x:v>
      </x:c>
      <x:c r="I225" s="101" t="n">
        <x:f>F225*'Inputs &amp; Guide'!$B$4*XLOOKUP(D225,'Reference Tables'!$A$4:$A$23,'Reference Tables'!$C$4:$C$23,0.75)</x:f>
        <x:v>84.2714555589675</x:v>
      </x:c>
      <x:c r="J225" s="102" t="n">
        <x:f>XLOOKUP(C225,'Reference Tables'!$E$4:$E$12,'Reference Tables'!$F$4:$F$12,0.05)</x:f>
        <x:v>0.18</x:v>
      </x:c>
      <x:c r="K225" s="103" t="n">
        <x:f>MIN(I225,F225*J225)</x:f>
        <x:v>84.2714555589675</x:v>
      </x:c>
      <x:c r="L225" s="103" t="n">
        <x:f>'Inputs &amp; Guide'!$B$5</x:f>
        <x:v>15</x:v>
      </x:c>
      <x:c r="M225" s="103" t="n">
        <x:f>I225*'Inputs &amp; Guide'!$B$6</x:f>
        <x:v>46.34930055743213</x:v>
      </x:c>
      <x:c r="N225" s="103" t="n">
        <x:f>MAX(0,MIN(K225-L225,M225))</x:f>
        <x:v>46.34930055743213</x:v>
      </x:c>
      <x:c r="O225" s="103" t="n">
        <x:f>MAX(0,N225-'Inputs &amp; Guide'!$B$7)</x:f>
        <x:v>0</x:v>
      </x:c>
      <x:c r="P225" s="103" t="n">
        <x:f>N225-O225</x:f>
        <x:v>46.34930055743213</x:v>
      </x:c>
      <x:c r="Q225" s="103" t="n">
        <x:f>I225*'Inputs &amp; Guide'!$B$8</x:f>
        <x:v>1.516886200061415</x:v>
      </x:c>
      <x:c r="R225" s="104" t="n">
        <x:f>IFERROR(P225/Q225,0)</x:f>
        <x:v>30.55555555555556</x:v>
      </x:c>
      <x:c r="S225" s="105" t="n">
        <x:f>ROUND(E225*XLOOKUP(C225,'Reference Tables'!$E$4:$E$12,'Reference Tables'!$G$4:$G$12,1),1)</x:f>
        <x:v>11.4</x:v>
      </x:c>
      <x:c r="T225" s="106" t="str">
        <x:f>IF(R225&gt;='Inputs &amp; Guide'!$B$9,"HIGH",IF(R225&gt;=0.45,"WATCH","NORMAL"))</x:f>
        <x:v>HIGH</x:v>
      </x:c>
    </x:row>
    <x:row r="226">
      <x:c r="A226" s="95" t="n">
        <x:v>1777</x:v>
      </x:c>
      <x:c r="B226" s="96" t="n">
        <x:v>45366</x:v>
      </x:c>
      <x:c r="C226" s="97" t="str">
        <x:v>Wildfire</x:v>
      </x:c>
      <x:c r="D226" s="97" t="str">
        <x:v>USA</x:v>
      </x:c>
      <x:c r="E226" s="98" t="n">
        <x:v>7.84196512919735</x:v>
      </x:c>
      <x:c r="F226" s="99" t="n">
        <x:v>998.837401893217</x:v>
      </x:c>
      <x:c r="G226" s="100" t="str">
        <x:f>XLOOKUP(D226,'Reference Tables'!$A$4:$A$23,'Reference Tables'!$B$4:$B$23,"Other")</x:f>
        <x:v>Other</x:v>
      </x:c>
      <x:c r="H226" s="100" t="str">
        <x:f>VLOOKUP(G226,'Reference Tables'!$I$4:$J$9,2,FALSE)</x:f>
        <x:v>Moderate</x:v>
      </x:c>
      <x:c r="I226" s="101" t="n">
        <x:f>F226*'Inputs &amp; Guide'!$B$4*XLOOKUP(D226,'Reference Tables'!$A$4:$A$23,'Reference Tables'!$C$4:$C$23,0.75)</x:f>
        <x:v>119.86048822718604</x:v>
      </x:c>
      <x:c r="J226" s="102" t="n">
        <x:f>XLOOKUP(C226,'Reference Tables'!$E$4:$E$12,'Reference Tables'!$F$4:$F$12,0.05)</x:f>
        <x:v>0.1</x:v>
      </x:c>
      <x:c r="K226" s="103" t="n">
        <x:f>MIN(I226,F226*J226)</x:f>
        <x:v>99.88374018932171</x:v>
      </x:c>
      <x:c r="L226" s="103" t="n">
        <x:f>'Inputs &amp; Guide'!$B$5</x:f>
        <x:v>15</x:v>
      </x:c>
      <x:c r="M226" s="103" t="n">
        <x:f>I226*'Inputs &amp; Guide'!$B$6</x:f>
        <x:v>65.92326852495232</x:v>
      </x:c>
      <x:c r="N226" s="103" t="n">
        <x:f>MAX(0,MIN(K226-L226,M226))</x:f>
        <x:v>65.92326852495232</x:v>
      </x:c>
      <x:c r="O226" s="103" t="n">
        <x:f>MAX(0,N226-'Inputs &amp; Guide'!$B$7)</x:f>
        <x:v>5.92326852495232</x:v>
      </x:c>
      <x:c r="P226" s="103" t="n">
        <x:f>N226-O226</x:f>
        <x:v>60</x:v>
      </x:c>
      <x:c r="Q226" s="103" t="n">
        <x:f>I226*'Inputs &amp; Guide'!$B$8</x:f>
        <x:v>2.1574887880893487</x:v>
      </x:c>
      <x:c r="R226" s="104" t="n">
        <x:f>IFERROR(P226/Q226,0)</x:f>
        <x:v>27.810109758732708</x:v>
      </x:c>
      <x:c r="S226" s="105" t="n">
        <x:f>ROUND(E226*XLOOKUP(C226,'Reference Tables'!$E$4:$E$12,'Reference Tables'!$G$4:$G$12,1),1)</x:f>
        <x:v>9</x:v>
      </x:c>
      <x:c r="T226" s="106" t="str">
        <x:f>IF(R226&gt;='Inputs &amp; Guide'!$B$9,"HIGH",IF(R226&gt;=0.45,"WATCH","NORMAL"))</x:f>
        <x:v>HIGH</x:v>
      </x:c>
    </x:row>
    <x:row r="227">
      <x:c r="A227" s="95" t="n">
        <x:v>1785</x:v>
      </x:c>
      <x:c r="B227" s="96" t="n">
        <x:v>45366.104166666664</x:v>
      </x:c>
      <x:c r="C227" s="97" t="str">
        <x:v>Wildfire</x:v>
      </x:c>
      <x:c r="D227" s="97" t="str">
        <x:v>Brazil</x:v>
      </x:c>
      <x:c r="E227" s="98" t="n">
        <x:v>9.51164653853431</x:v>
      </x:c>
      <x:c r="F227" s="99" t="n">
        <x:v>436.19613695875614</x:v>
      </x:c>
      <x:c r="G227" s="100" t="str">
        <x:f>XLOOKUP(D227,'Reference Tables'!$A$4:$A$23,'Reference Tables'!$B$4:$B$23,"Other")</x:f>
        <x:v>Latin America</x:v>
      </x:c>
      <x:c r="H227" s="100" t="str">
        <x:f>VLOOKUP(G227,'Reference Tables'!$I$4:$J$9,2,FALSE)</x:f>
        <x:v>Moderate</x:v>
      </x:c>
      <x:c r="I227" s="101" t="n">
        <x:f>F227*'Inputs &amp; Guide'!$B$4*XLOOKUP(D227,'Reference Tables'!$A$4:$A$23,'Reference Tables'!$C$4:$C$23,0.75)</x:f>
        <x:v>57.2289331689888</x:v>
      </x:c>
      <x:c r="J227" s="102" t="n">
        <x:f>XLOOKUP(C227,'Reference Tables'!$E$4:$E$12,'Reference Tables'!$F$4:$F$12,0.05)</x:f>
        <x:v>0.1</x:v>
      </x:c>
      <x:c r="K227" s="103" t="n">
        <x:f>MIN(I227,F227*J227)</x:f>
        <x:v>43.619613695875614</x:v>
      </x:c>
      <x:c r="L227" s="103" t="n">
        <x:f>'Inputs &amp; Guide'!$B$5</x:f>
        <x:v>15</x:v>
      </x:c>
      <x:c r="M227" s="103" t="n">
        <x:f>I227*'Inputs &amp; Guide'!$B$6</x:f>
        <x:v>31.475913242943843</x:v>
      </x:c>
      <x:c r="N227" s="103" t="n">
        <x:f>MAX(0,MIN(K227-L227,M227))</x:f>
        <x:v>28.619613695875614</x:v>
      </x:c>
      <x:c r="O227" s="103" t="n">
        <x:f>MAX(0,N227-'Inputs &amp; Guide'!$B$7)</x:f>
        <x:v>0</x:v>
      </x:c>
      <x:c r="P227" s="103" t="n">
        <x:f>N227-O227</x:f>
        <x:v>28.619613695875614</x:v>
      </x:c>
      <x:c r="Q227" s="103" t="n">
        <x:f>I227*'Inputs &amp; Guide'!$B$8</x:f>
        <x:v>1.0301207970417985</x:v>
      </x:c>
      <x:c r="R227" s="104" t="n">
        <x:f>IFERROR(P227/Q227,0)</x:f>
        <x:v>27.782774387297742</x:v>
      </x:c>
      <x:c r="S227" s="105" t="n">
        <x:f>ROUND(E227*XLOOKUP(C227,'Reference Tables'!$E$4:$E$12,'Reference Tables'!$G$4:$G$12,1),1)</x:f>
        <x:v>10.9</x:v>
      </x:c>
      <x:c r="T227" s="106" t="str">
        <x:f>IF(R227&gt;='Inputs &amp; Guide'!$B$9,"HIGH",IF(R227&gt;=0.45,"WATCH","NORMAL"))</x:f>
        <x:v>HIGH</x:v>
      </x:c>
    </x:row>
    <x:row r="228">
      <x:c r="A228" s="95" t="n">
        <x:v>1793</x:v>
      </x:c>
      <x:c r="B228" s="96" t="n">
        <x:v>45366.4375</x:v>
      </x:c>
      <x:c r="C228" s="97" t="str">
        <x:v>Wildfire</x:v>
      </x:c>
      <x:c r="D228" s="97" t="str">
        <x:v>Indonesia</x:v>
      </x:c>
      <x:c r="E228" s="98" t="n">
        <x:v>1.2111091378192005</x:v>
      </x:c>
      <x:c r="F228" s="99" t="n">
        <x:v>617.5334733604403</x:v>
      </x:c>
      <x:c r="G228" s="100" t="str">
        <x:f>XLOOKUP(D228,'Reference Tables'!$A$4:$A$23,'Reference Tables'!$B$4:$B$23,"Other")</x:f>
        <x:v>Asia Pacific</x:v>
      </x:c>
      <x:c r="H228" s="100" t="str">
        <x:f>VLOOKUP(G228,'Reference Tables'!$I$4:$J$9,2,FALSE)</x:f>
        <x:v>High</x:v>
      </x:c>
      <x:c r="I228" s="101" t="n">
        <x:f>F228*'Inputs &amp; Guide'!$B$4*XLOOKUP(D228,'Reference Tables'!$A$4:$A$23,'Reference Tables'!$C$4:$C$23,0.75)</x:f>
        <x:v>101.76951640980057</x:v>
      </x:c>
      <x:c r="J228" s="102" t="n">
        <x:f>XLOOKUP(C228,'Reference Tables'!$E$4:$E$12,'Reference Tables'!$F$4:$F$12,0.05)</x:f>
        <x:v>0.1</x:v>
      </x:c>
      <x:c r="K228" s="103" t="n">
        <x:f>MIN(I228,F228*J228)</x:f>
        <x:v>61.75334733604404</x:v>
      </x:c>
      <x:c r="L228" s="103" t="n">
        <x:f>'Inputs &amp; Guide'!$B$5</x:f>
        <x:v>15</x:v>
      </x:c>
      <x:c r="M228" s="103" t="n">
        <x:f>I228*'Inputs &amp; Guide'!$B$6</x:f>
        <x:v>55.97323402539032</x:v>
      </x:c>
      <x:c r="N228" s="103" t="n">
        <x:f>MAX(0,MIN(K228-L228,M228))</x:f>
        <x:v>46.75334733604404</x:v>
      </x:c>
      <x:c r="O228" s="103" t="n">
        <x:f>MAX(0,N228-'Inputs &amp; Guide'!$B$7)</x:f>
        <x:v>0</x:v>
      </x:c>
      <x:c r="P228" s="103" t="n">
        <x:f>N228-O228</x:f>
        <x:v>46.75334733604404</x:v>
      </x:c>
      <x:c r="Q228" s="103" t="n">
        <x:f>I228*'Inputs &amp; Guide'!$B$8</x:f>
        <x:v>1.8318512953764101</x:v>
      </x:c>
      <x:c r="R228" s="104" t="n">
        <x:f>IFERROR(P228/Q228,0)</x:f>
        <x:v>25.522457774847453</x:v>
      </x:c>
      <x:c r="S228" s="105" t="n">
        <x:f>ROUND(E228*XLOOKUP(C228,'Reference Tables'!$E$4:$E$12,'Reference Tables'!$G$4:$G$12,1),1)</x:f>
        <x:v>1.4</x:v>
      </x:c>
      <x:c r="T228" s="106" t="str">
        <x:f>IF(R228&gt;='Inputs &amp; Guide'!$B$9,"HIGH",IF(R228&gt;=0.45,"WATCH","NORMAL"))</x:f>
        <x:v>HIGH</x:v>
      </x:c>
    </x:row>
    <x:row r="229">
      <x:c r="A229" s="95" t="n">
        <x:v>1801</x:v>
      </x:c>
      <x:c r="B229" s="96" t="n">
        <x:v>45367</x:v>
      </x:c>
      <x:c r="C229" s="97" t="str">
        <x:v>Hurricane</x:v>
      </x:c>
      <x:c r="D229" s="97" t="str">
        <x:v>USA</x:v>
      </x:c>
      <x:c r="E229" s="98" t="n">
        <x:v>5.8644150972646605</x:v>
      </x:c>
      <x:c r="F229" s="99" t="n">
        <x:v>746.76875498127</x:v>
      </x:c>
      <x:c r="G229" s="100" t="str">
        <x:f>XLOOKUP(D229,'Reference Tables'!$A$4:$A$23,'Reference Tables'!$B$4:$B$23,"Other")</x:f>
        <x:v>Other</x:v>
      </x:c>
      <x:c r="H229" s="100" t="str">
        <x:f>VLOOKUP(G229,'Reference Tables'!$I$4:$J$9,2,FALSE)</x:f>
        <x:v>Moderate</x:v>
      </x:c>
      <x:c r="I229" s="101" t="n">
        <x:f>F229*'Inputs &amp; Guide'!$B$4*XLOOKUP(D229,'Reference Tables'!$A$4:$A$23,'Reference Tables'!$C$4:$C$23,0.75)</x:f>
        <x:v>89.6122505977524</x:v>
      </x:c>
      <x:c r="J229" s="102" t="n">
        <x:f>XLOOKUP(C229,'Reference Tables'!$E$4:$E$12,'Reference Tables'!$F$4:$F$12,0.05)</x:f>
        <x:v>0.18</x:v>
      </x:c>
      <x:c r="K229" s="103" t="n">
        <x:f>MIN(I229,F229*J229)</x:f>
        <x:v>89.6122505977524</x:v>
      </x:c>
      <x:c r="L229" s="103" t="n">
        <x:f>'Inputs &amp; Guide'!$B$5</x:f>
        <x:v>15</x:v>
      </x:c>
      <x:c r="M229" s="103" t="n">
        <x:f>I229*'Inputs &amp; Guide'!$B$6</x:f>
        <x:v>49.286737828763826</x:v>
      </x:c>
      <x:c r="N229" s="103" t="n">
        <x:f>MAX(0,MIN(K229-L229,M229))</x:f>
        <x:v>49.286737828763826</x:v>
      </x:c>
      <x:c r="O229" s="103" t="n">
        <x:f>MAX(0,N229-'Inputs &amp; Guide'!$B$7)</x:f>
        <x:v>0</x:v>
      </x:c>
      <x:c r="P229" s="103" t="n">
        <x:f>N229-O229</x:f>
        <x:v>49.286737828763826</x:v>
      </x:c>
      <x:c r="Q229" s="103" t="n">
        <x:f>I229*'Inputs &amp; Guide'!$B$8</x:f>
        <x:v>1.6130205107595432</x:v>
      </x:c>
      <x:c r="R229" s="104" t="n">
        <x:f>IFERROR(P229/Q229,0)</x:f>
        <x:v>30.555555555555557</x:v>
      </x:c>
      <x:c r="S229" s="105" t="n">
        <x:f>ROUND(E229*XLOOKUP(C229,'Reference Tables'!$E$4:$E$12,'Reference Tables'!$G$4:$G$12,1),1)</x:f>
        <x:v>8.2</x:v>
      </x:c>
      <x:c r="T229" s="106" t="str">
        <x:f>IF(R229&gt;='Inputs &amp; Guide'!$B$9,"HIGH",IF(R229&gt;=0.45,"WATCH","NORMAL"))</x:f>
        <x:v>HIGH</x:v>
      </x:c>
    </x:row>
    <x:row r="230">
      <x:c r="A230" s="95" t="n">
        <x:v>1809</x:v>
      </x:c>
      <x:c r="B230" s="96" t="n">
        <x:v>45367.104166666664</x:v>
      </x:c>
      <x:c r="C230" s="97" t="str">
        <x:v>Wildfire</x:v>
      </x:c>
      <x:c r="D230" s="97" t="str">
        <x:v>Indonesia</x:v>
      </x:c>
      <x:c r="E230" s="98" t="n">
        <x:v>3.6838497995588457</x:v>
      </x:c>
      <x:c r="F230" s="99" t="n">
        <x:v>321.25436187024866</x:v>
      </x:c>
      <x:c r="G230" s="100" t="str">
        <x:f>XLOOKUP(D230,'Reference Tables'!$A$4:$A$23,'Reference Tables'!$B$4:$B$23,"Other")</x:f>
        <x:v>Asia Pacific</x:v>
      </x:c>
      <x:c r="H230" s="100" t="str">
        <x:f>VLOOKUP(G230,'Reference Tables'!$I$4:$J$9,2,FALSE)</x:f>
        <x:v>High</x:v>
      </x:c>
      <x:c r="I230" s="101" t="n">
        <x:f>F230*'Inputs &amp; Guide'!$B$4*XLOOKUP(D230,'Reference Tables'!$A$4:$A$23,'Reference Tables'!$C$4:$C$23,0.75)</x:f>
        <x:v>52.94271883621698</x:v>
      </x:c>
      <x:c r="J230" s="102" t="n">
        <x:f>XLOOKUP(C230,'Reference Tables'!$E$4:$E$12,'Reference Tables'!$F$4:$F$12,0.05)</x:f>
        <x:v>0.1</x:v>
      </x:c>
      <x:c r="K230" s="103" t="n">
        <x:f>MIN(I230,F230*J230)</x:f>
        <x:v>32.12543618702487</x:v>
      </x:c>
      <x:c r="L230" s="103" t="n">
        <x:f>'Inputs &amp; Guide'!$B$5</x:f>
        <x:v>15</x:v>
      </x:c>
      <x:c r="M230" s="103" t="n">
        <x:f>I230*'Inputs &amp; Guide'!$B$6</x:f>
        <x:v>29.118495359919343</x:v>
      </x:c>
      <x:c r="N230" s="103" t="n">
        <x:f>MAX(0,MIN(K230-L230,M230))</x:f>
        <x:v>17.125436187024867</x:v>
      </x:c>
      <x:c r="O230" s="103" t="n">
        <x:f>MAX(0,N230-'Inputs &amp; Guide'!$B$7)</x:f>
        <x:v>0</x:v>
      </x:c>
      <x:c r="P230" s="103" t="n">
        <x:f>N230-O230</x:f>
        <x:v>17.125436187024867</x:v>
      </x:c>
      <x:c r="Q230" s="103" t="n">
        <x:f>I230*'Inputs &amp; Guide'!$B$8</x:f>
        <x:v>0.9529689390519056</x:v>
      </x:c>
      <x:c r="R230" s="104" t="n">
        <x:f>IFERROR(P230/Q230,0)</x:f>
        <x:v>17.970613191299503</x:v>
      </x:c>
      <x:c r="S230" s="105" t="n">
        <x:f>ROUND(E230*XLOOKUP(C230,'Reference Tables'!$E$4:$E$12,'Reference Tables'!$G$4:$G$12,1),1)</x:f>
        <x:v>4.2</x:v>
      </x:c>
      <x:c r="T230" s="106" t="str">
        <x:f>IF(R230&gt;='Inputs &amp; Guide'!$B$9,"HIGH",IF(R230&gt;=0.45,"WATCH","NORMAL"))</x:f>
        <x:v>HIGH</x:v>
      </x:c>
    </x:row>
    <x:row r="231">
      <x:c r="A231" s="95" t="n">
        <x:v>1817</x:v>
      </x:c>
      <x:c r="B231" s="96" t="n">
        <x:v>45367.4375</x:v>
      </x:c>
      <x:c r="C231" s="97" t="str">
        <x:v>Hurricane</x:v>
      </x:c>
      <x:c r="D231" s="97" t="str">
        <x:v>Brazil</x:v>
      </x:c>
      <x:c r="E231" s="98" t="n">
        <x:v>2.0668247352854063</x:v>
      </x:c>
      <x:c r="F231" s="99" t="n">
        <x:v>3.3550770793782507</x:v>
      </x:c>
      <x:c r="G231" s="100" t="str">
        <x:f>XLOOKUP(D231,'Reference Tables'!$A$4:$A$23,'Reference Tables'!$B$4:$B$23,"Other")</x:f>
        <x:v>Latin America</x:v>
      </x:c>
      <x:c r="H231" s="100" t="str">
        <x:f>VLOOKUP(G231,'Reference Tables'!$I$4:$J$9,2,FALSE)</x:f>
        <x:v>Moderate</x:v>
      </x:c>
      <x:c r="I231" s="101" t="n">
        <x:f>F231*'Inputs &amp; Guide'!$B$4*XLOOKUP(D231,'Reference Tables'!$A$4:$A$23,'Reference Tables'!$C$4:$C$23,0.75)</x:f>
        <x:v>0.44018611281442643</x:v>
      </x:c>
      <x:c r="J231" s="102" t="n">
        <x:f>XLOOKUP(C231,'Reference Tables'!$E$4:$E$12,'Reference Tables'!$F$4:$F$12,0.05)</x:f>
        <x:v>0.18</x:v>
      </x:c>
      <x:c r="K231" s="103" t="n">
        <x:f>MIN(I231,F231*J231)</x:f>
        <x:v>0.44018611281442643</x:v>
      </x:c>
      <x:c r="L231" s="103" t="n">
        <x:f>'Inputs &amp; Guide'!$B$5</x:f>
        <x:v>15</x:v>
      </x:c>
      <x:c r="M231" s="103" t="n">
        <x:f>I231*'Inputs &amp; Guide'!$B$6</x:f>
        <x:v>0.24210236204793456</x:v>
      </x:c>
      <x:c r="N231" s="103" t="n">
        <x:f>MAX(0,MIN(K231-L231,M231))</x:f>
        <x:v>0</x:v>
      </x:c>
      <x:c r="O231" s="103" t="n">
        <x:f>MAX(0,N231-'Inputs &amp; Guide'!$B$7)</x:f>
        <x:v>0</x:v>
      </x:c>
      <x:c r="P231" s="103" t="n">
        <x:f>N231-O231</x:f>
        <x:v>0</x:v>
      </x:c>
      <x:c r="Q231" s="103" t="n">
        <x:f>I231*'Inputs &amp; Guide'!$B$8</x:f>
        <x:v>0.007923350030659675</x:v>
      </x:c>
      <x:c r="R231" s="104" t="n">
        <x:f>IFERROR(P231/Q231,0)</x:f>
        <x:v>0</x:v>
      </x:c>
      <x:c r="S231" s="105" t="n">
        <x:f>ROUND(E231*XLOOKUP(C231,'Reference Tables'!$E$4:$E$12,'Reference Tables'!$G$4:$G$12,1),1)</x:f>
        <x:v>2.9</x:v>
      </x:c>
      <x:c r="T231" s="106" t="str">
        <x:f>IF(R231&gt;='Inputs &amp; Guide'!$B$9,"HIGH",IF(R231&gt;=0.45,"WATCH","NORMAL"))</x:f>
        <x:v>NORMAL</x:v>
      </x:c>
    </x:row>
    <x:row r="232">
      <x:c r="A232" s="95" t="n">
        <x:v>1825</x:v>
      </x:c>
      <x:c r="B232" s="96" t="n">
        <x:v>45368</x:v>
      </x:c>
      <x:c r="C232" s="97" t="str">
        <x:v>Hurricane</x:v>
      </x:c>
      <x:c r="D232" s="97" t="str">
        <x:v>USA</x:v>
      </x:c>
      <x:c r="E232" s="98" t="n">
        <x:v>7.609928038996469</x:v>
      </x:c>
      <x:c r="F232" s="99" t="n">
        <x:v>13.537075304392003</x:v>
      </x:c>
      <x:c r="G232" s="100" t="str">
        <x:f>XLOOKUP(D232,'Reference Tables'!$A$4:$A$23,'Reference Tables'!$B$4:$B$23,"Other")</x:f>
        <x:v>Other</x:v>
      </x:c>
      <x:c r="H232" s="100" t="str">
        <x:f>VLOOKUP(G232,'Reference Tables'!$I$4:$J$9,2,FALSE)</x:f>
        <x:v>Moderate</x:v>
      </x:c>
      <x:c r="I232" s="101" t="n">
        <x:f>F232*'Inputs &amp; Guide'!$B$4*XLOOKUP(D232,'Reference Tables'!$A$4:$A$23,'Reference Tables'!$C$4:$C$23,0.75)</x:f>
        <x:v>1.6244490365270405</x:v>
      </x:c>
      <x:c r="J232" s="102" t="n">
        <x:f>XLOOKUP(C232,'Reference Tables'!$E$4:$E$12,'Reference Tables'!$F$4:$F$12,0.05)</x:f>
        <x:v>0.18</x:v>
      </x:c>
      <x:c r="K232" s="103" t="n">
        <x:f>MIN(I232,F232*J232)</x:f>
        <x:v>1.6244490365270405</x:v>
      </x:c>
      <x:c r="L232" s="103" t="n">
        <x:f>'Inputs &amp; Guide'!$B$5</x:f>
        <x:v>15</x:v>
      </x:c>
      <x:c r="M232" s="103" t="n">
        <x:f>I232*'Inputs &amp; Guide'!$B$6</x:f>
        <x:v>0.8934469700898724</x:v>
      </x:c>
      <x:c r="N232" s="103" t="n">
        <x:f>MAX(0,MIN(K232-L232,M232))</x:f>
        <x:v>0</x:v>
      </x:c>
      <x:c r="O232" s="103" t="n">
        <x:f>MAX(0,N232-'Inputs &amp; Guide'!$B$7)</x:f>
        <x:v>0</x:v>
      </x:c>
      <x:c r="P232" s="103" t="n">
        <x:f>N232-O232</x:f>
        <x:v>0</x:v>
      </x:c>
      <x:c r="Q232" s="103" t="n">
        <x:f>I232*'Inputs &amp; Guide'!$B$8</x:f>
        <x:v>0.02924008265748673</x:v>
      </x:c>
      <x:c r="R232" s="104" t="n">
        <x:f>IFERROR(P232/Q232,0)</x:f>
        <x:v>0</x:v>
      </x:c>
      <x:c r="S232" s="105" t="n">
        <x:f>ROUND(E232*XLOOKUP(C232,'Reference Tables'!$E$4:$E$12,'Reference Tables'!$G$4:$G$12,1),1)</x:f>
        <x:v>10.7</x:v>
      </x:c>
      <x:c r="T232" s="106" t="str">
        <x:f>IF(R232&gt;='Inputs &amp; Guide'!$B$9,"HIGH",IF(R232&gt;=0.45,"WATCH","NORMAL"))</x:f>
        <x:v>NORMAL</x:v>
      </x:c>
    </x:row>
    <x:row r="233">
      <x:c r="A233" s="95" t="n">
        <x:v>1833</x:v>
      </x:c>
      <x:c r="B233" s="96" t="n">
        <x:v>45368.104166666664</x:v>
      </x:c>
      <x:c r="C233" s="97" t="str">
        <x:v>Tornado</x:v>
      </x:c>
      <x:c r="D233" s="97" t="str">
        <x:v>China</x:v>
      </x:c>
      <x:c r="E233" s="98" t="n">
        <x:v>6.57120774448243</x:v>
      </x:c>
      <x:c r="F233" s="99" t="n">
        <x:v>171.8620646012991</x:v>
      </x:c>
      <x:c r="G233" s="100" t="str">
        <x:f>XLOOKUP(D233,'Reference Tables'!$A$4:$A$23,'Reference Tables'!$B$4:$B$23,"Other")</x:f>
        <x:v>Asia Pacific</x:v>
      </x:c>
      <x:c r="H233" s="100" t="str">
        <x:f>VLOOKUP(G233,'Reference Tables'!$I$4:$J$9,2,FALSE)</x:f>
        <x:v>High</x:v>
      </x:c>
      <x:c r="I233" s="101" t="n">
        <x:f>F233*'Inputs &amp; Guide'!$B$4*XLOOKUP(D233,'Reference Tables'!$A$4:$A$23,'Reference Tables'!$C$4:$C$23,0.75)</x:f>
        <x:v>29.697764763104484</x:v>
      </x:c>
      <x:c r="J233" s="102" t="n">
        <x:f>XLOOKUP(C233,'Reference Tables'!$E$4:$E$12,'Reference Tables'!$F$4:$F$12,0.05)</x:f>
        <x:v>0.09</x:v>
      </x:c>
      <x:c r="K233" s="103" t="n">
        <x:f>MIN(I233,F233*J233)</x:f>
        <x:v>15.467585814116918</x:v>
      </x:c>
      <x:c r="L233" s="103" t="n">
        <x:f>'Inputs &amp; Guide'!$B$5</x:f>
        <x:v>15</x:v>
      </x:c>
      <x:c r="M233" s="103" t="n">
        <x:f>I233*'Inputs &amp; Guide'!$B$6</x:f>
        <x:v>16.33377061970747</x:v>
      </x:c>
      <x:c r="N233" s="103" t="n">
        <x:f>MAX(0,MIN(K233-L233,M233))</x:f>
        <x:v>0.4675858141169176</x:v>
      </x:c>
      <x:c r="O233" s="103" t="n">
        <x:f>MAX(0,N233-'Inputs &amp; Guide'!$B$7)</x:f>
        <x:v>0</x:v>
      </x:c>
      <x:c r="P233" s="103" t="n">
        <x:f>N233-O233</x:f>
        <x:v>0.4675858141169176</x:v>
      </x:c>
      <x:c r="Q233" s="103" t="n">
        <x:f>I233*'Inputs &amp; Guide'!$B$8</x:f>
        <x:v>0.5345597657358807</x:v>
      </x:c>
      <x:c r="R233" s="104" t="n">
        <x:f>IFERROR(P233/Q233,0)</x:f>
        <x:v>0.8747119482014025</x:v>
      </x:c>
      <x:c r="S233" s="105" t="n">
        <x:f>ROUND(E233*XLOOKUP(C233,'Reference Tables'!$E$4:$E$12,'Reference Tables'!$G$4:$G$12,1),1)</x:f>
        <x:v>6.9</x:v>
      </x:c>
      <x:c r="T233" s="106" t="str">
        <x:f>IF(R233&gt;='Inputs &amp; Guide'!$B$9,"HIGH",IF(R233&gt;=0.45,"WATCH","NORMAL"))</x:f>
        <x:v>HIGH</x:v>
      </x:c>
    </x:row>
    <x:row r="234">
      <x:c r="A234" s="95" t="n">
        <x:v>1841</x:v>
      </x:c>
      <x:c r="B234" s="96" t="n">
        <x:v>45368.4375</x:v>
      </x:c>
      <x:c r="C234" s="97" t="str">
        <x:v>Flood</x:v>
      </x:c>
      <x:c r="D234" s="97" t="str">
        <x:v>USA</x:v>
      </x:c>
      <x:c r="E234" s="98" t="n">
        <x:v>3.408112318322975</x:v>
      </x:c>
      <x:c r="F234" s="99" t="n">
        <x:v>360.0278907509815</x:v>
      </x:c>
      <x:c r="G234" s="100" t="str">
        <x:f>XLOOKUP(D234,'Reference Tables'!$A$4:$A$23,'Reference Tables'!$B$4:$B$23,"Other")</x:f>
        <x:v>Other</x:v>
      </x:c>
      <x:c r="H234" s="100" t="str">
        <x:f>VLOOKUP(G234,'Reference Tables'!$I$4:$J$9,2,FALSE)</x:f>
        <x:v>Moderate</x:v>
      </x:c>
      <x:c r="I234" s="101" t="n">
        <x:f>F234*'Inputs &amp; Guide'!$B$4*XLOOKUP(D234,'Reference Tables'!$A$4:$A$23,'Reference Tables'!$C$4:$C$23,0.75)</x:f>
        <x:v>43.203346890117786</x:v>
      </x:c>
      <x:c r="J234" s="102" t="n">
        <x:f>XLOOKUP(C234,'Reference Tables'!$E$4:$E$12,'Reference Tables'!$F$4:$F$12,0.05)</x:f>
        <x:v>0.12</x:v>
      </x:c>
      <x:c r="K234" s="103" t="n">
        <x:f>MIN(I234,F234*J234)</x:f>
        <x:v>43.20334689011778</x:v>
      </x:c>
      <x:c r="L234" s="103" t="n">
        <x:f>'Inputs &amp; Guide'!$B$5</x:f>
        <x:v>15</x:v>
      </x:c>
      <x:c r="M234" s="103" t="n">
        <x:f>I234*'Inputs &amp; Guide'!$B$6</x:f>
        <x:v>23.761840789564783</x:v>
      </x:c>
      <x:c r="N234" s="103" t="n">
        <x:f>MAX(0,MIN(K234-L234,M234))</x:f>
        <x:v>23.761840789564783</x:v>
      </x:c>
      <x:c r="O234" s="103" t="n">
        <x:f>MAX(0,N234-'Inputs &amp; Guide'!$B$7)</x:f>
        <x:v>0</x:v>
      </x:c>
      <x:c r="P234" s="103" t="n">
        <x:f>N234-O234</x:f>
        <x:v>23.761840789564783</x:v>
      </x:c>
      <x:c r="Q234" s="103" t="n">
        <x:f>I234*'Inputs &amp; Guide'!$B$8</x:f>
        <x:v>0.7776602440221201</x:v>
      </x:c>
      <x:c r="R234" s="104" t="n">
        <x:f>IFERROR(P234/Q234,0)</x:f>
        <x:v>30.555555555555557</x:v>
      </x:c>
      <x:c r="S234" s="105" t="n">
        <x:f>ROUND(E234*XLOOKUP(C234,'Reference Tables'!$E$4:$E$12,'Reference Tables'!$G$4:$G$12,1),1)</x:f>
        <x:v>4.3</x:v>
      </x:c>
      <x:c r="T234" s="106" t="str">
        <x:f>IF(R234&gt;='Inputs &amp; Guide'!$B$9,"HIGH",IF(R234&gt;=0.45,"WATCH","NORMAL"))</x:f>
        <x:v>HIGH</x:v>
      </x:c>
    </x:row>
    <x:row r="235">
      <x:c r="A235" s="95" t="n">
        <x:v>1849</x:v>
      </x:c>
      <x:c r="B235" s="96" t="n">
        <x:v>45369</x:v>
      </x:c>
      <x:c r="C235" s="97" t="str">
        <x:v>Hurricane</x:v>
      </x:c>
      <x:c r="D235" s="97" t="str">
        <x:v>USA</x:v>
      </x:c>
      <x:c r="E235" s="98" t="n">
        <x:v>9.410302627655335</x:v>
      </x:c>
      <x:c r="F235" s="99" t="n">
        <x:v>536.8111048592526</x:v>
      </x:c>
      <x:c r="G235" s="100" t="str">
        <x:f>XLOOKUP(D235,'Reference Tables'!$A$4:$A$23,'Reference Tables'!$B$4:$B$23,"Other")</x:f>
        <x:v>Other</x:v>
      </x:c>
      <x:c r="H235" s="100" t="str">
        <x:f>VLOOKUP(G235,'Reference Tables'!$I$4:$J$9,2,FALSE)</x:f>
        <x:v>Moderate</x:v>
      </x:c>
      <x:c r="I235" s="101" t="n">
        <x:f>F235*'Inputs &amp; Guide'!$B$4*XLOOKUP(D235,'Reference Tables'!$A$4:$A$23,'Reference Tables'!$C$4:$C$23,0.75)</x:f>
        <x:v>64.41733258311032</x:v>
      </x:c>
      <x:c r="J235" s="102" t="n">
        <x:f>XLOOKUP(C235,'Reference Tables'!$E$4:$E$12,'Reference Tables'!$F$4:$F$12,0.05)</x:f>
        <x:v>0.18</x:v>
      </x:c>
      <x:c r="K235" s="103" t="n">
        <x:f>MIN(I235,F235*J235)</x:f>
        <x:v>64.41733258311032</x:v>
      </x:c>
      <x:c r="L235" s="103" t="n">
        <x:f>'Inputs &amp; Guide'!$B$5</x:f>
        <x:v>15</x:v>
      </x:c>
      <x:c r="M235" s="103" t="n">
        <x:f>I235*'Inputs &amp; Guide'!$B$6</x:f>
        <x:v>35.42953292071068</x:v>
      </x:c>
      <x:c r="N235" s="103" t="n">
        <x:f>MAX(0,MIN(K235-L235,M235))</x:f>
        <x:v>35.42953292071068</x:v>
      </x:c>
      <x:c r="O235" s="103" t="n">
        <x:f>MAX(0,N235-'Inputs &amp; Guide'!$B$7)</x:f>
        <x:v>0</x:v>
      </x:c>
      <x:c r="P235" s="103" t="n">
        <x:f>N235-O235</x:f>
        <x:v>35.42953292071068</x:v>
      </x:c>
      <x:c r="Q235" s="103" t="n">
        <x:f>I235*'Inputs &amp; Guide'!$B$8</x:f>
        <x:v>1.1595119864959857</x:v>
      </x:c>
      <x:c r="R235" s="104" t="n">
        <x:f>IFERROR(P235/Q235,0)</x:f>
        <x:v>30.555555555555557</x:v>
      </x:c>
      <x:c r="S235" s="105" t="n">
        <x:f>ROUND(E235*XLOOKUP(C235,'Reference Tables'!$E$4:$E$12,'Reference Tables'!$G$4:$G$12,1),1)</x:f>
        <x:v>13.2</x:v>
      </x:c>
      <x:c r="T235" s="106" t="str">
        <x:f>IF(R235&gt;='Inputs &amp; Guide'!$B$9,"HIGH",IF(R235&gt;=0.45,"WATCH","NORMAL"))</x:f>
        <x:v>HIGH</x:v>
      </x:c>
    </x:row>
    <x:row r="236">
      <x:c r="A236" s="95" t="n">
        <x:v>1857</x:v>
      </x:c>
      <x:c r="B236" s="96" t="n">
        <x:v>45369.104166666664</x:v>
      </x:c>
      <x:c r="C236" s="97" t="str">
        <x:v>Earthquake</x:v>
      </x:c>
      <x:c r="D236" s="97" t="str">
        <x:v>Brazil</x:v>
      </x:c>
      <x:c r="E236" s="98" t="n">
        <x:v>8.660172561636816</x:v>
      </x:c>
      <x:c r="F236" s="99" t="n">
        <x:v>625.0606018798222</x:v>
      </x:c>
      <x:c r="G236" s="100" t="str">
        <x:f>XLOOKUP(D236,'Reference Tables'!$A$4:$A$23,'Reference Tables'!$B$4:$B$23,"Other")</x:f>
        <x:v>Latin America</x:v>
      </x:c>
      <x:c r="H236" s="100" t="str">
        <x:f>VLOOKUP(G236,'Reference Tables'!$I$4:$J$9,2,FALSE)</x:f>
        <x:v>Moderate</x:v>
      </x:c>
      <x:c r="I236" s="101" t="n">
        <x:f>F236*'Inputs &amp; Guide'!$B$4*XLOOKUP(D236,'Reference Tables'!$A$4:$A$23,'Reference Tables'!$C$4:$C$23,0.75)</x:f>
        <x:v>82.00795096663268</x:v>
      </x:c>
      <x:c r="J236" s="102" t="n">
        <x:f>XLOOKUP(C236,'Reference Tables'!$E$4:$E$12,'Reference Tables'!$F$4:$F$12,0.05)</x:f>
        <x:v>0.14</x:v>
      </x:c>
      <x:c r="K236" s="103" t="n">
        <x:f>MIN(I236,F236*J236)</x:f>
        <x:v>82.00795096663268</x:v>
      </x:c>
      <x:c r="L236" s="103" t="n">
        <x:f>'Inputs &amp; Guide'!$B$5</x:f>
        <x:v>15</x:v>
      </x:c>
      <x:c r="M236" s="103" t="n">
        <x:f>I236*'Inputs &amp; Guide'!$B$6</x:f>
        <x:v>45.104373031647974</x:v>
      </x:c>
      <x:c r="N236" s="103" t="n">
        <x:f>MAX(0,MIN(K236-L236,M236))</x:f>
        <x:v>45.104373031647974</x:v>
      </x:c>
      <x:c r="O236" s="103" t="n">
        <x:f>MAX(0,N236-'Inputs &amp; Guide'!$B$7)</x:f>
        <x:v>0</x:v>
      </x:c>
      <x:c r="P236" s="103" t="n">
        <x:f>N236-O236</x:f>
        <x:v>45.104373031647974</x:v>
      </x:c>
      <x:c r="Q236" s="103" t="n">
        <x:f>I236*'Inputs &amp; Guide'!$B$8</x:f>
        <x:v>1.476143117399388</x:v>
      </x:c>
      <x:c r="R236" s="104" t="n">
        <x:f>IFERROR(P236/Q236,0)</x:f>
        <x:v>30.55555555555556</x:v>
      </x:c>
      <x:c r="S236" s="105" t="n">
        <x:f>ROUND(E236*XLOOKUP(C236,'Reference Tables'!$E$4:$E$12,'Reference Tables'!$G$4:$G$12,1),1)</x:f>
        <x:v>13</x:v>
      </x:c>
      <x:c r="T236" s="106" t="str">
        <x:f>IF(R236&gt;='Inputs &amp; Guide'!$B$9,"HIGH",IF(R236&gt;=0.45,"WATCH","NORMAL"))</x:f>
        <x:v>HIGH</x:v>
      </x:c>
    </x:row>
    <x:row r="237">
      <x:c r="A237" s="95" t="n">
        <x:v>1865</x:v>
      </x:c>
      <x:c r="B237" s="96" t="n">
        <x:v>45369.4375</x:v>
      </x:c>
      <x:c r="C237" s="97" t="str">
        <x:v>Tornado</x:v>
      </x:c>
      <x:c r="D237" s="97" t="str">
        <x:v>USA</x:v>
      </x:c>
      <x:c r="E237" s="98" t="n">
        <x:v>9.584952470208954</x:v>
      </x:c>
      <x:c r="F237" s="99" t="n">
        <x:v>293.7843390274528</x:v>
      </x:c>
      <x:c r="G237" s="100" t="str">
        <x:f>XLOOKUP(D237,'Reference Tables'!$A$4:$A$23,'Reference Tables'!$B$4:$B$23,"Other")</x:f>
        <x:v>Other</x:v>
      </x:c>
      <x:c r="H237" s="100" t="str">
        <x:f>VLOOKUP(G237,'Reference Tables'!$I$4:$J$9,2,FALSE)</x:f>
        <x:v>Moderate</x:v>
      </x:c>
      <x:c r="I237" s="101" t="n">
        <x:f>F237*'Inputs &amp; Guide'!$B$4*XLOOKUP(D237,'Reference Tables'!$A$4:$A$23,'Reference Tables'!$C$4:$C$23,0.75)</x:f>
        <x:v>35.25412068329434</x:v>
      </x:c>
      <x:c r="J237" s="102" t="n">
        <x:f>XLOOKUP(C237,'Reference Tables'!$E$4:$E$12,'Reference Tables'!$F$4:$F$12,0.05)</x:f>
        <x:v>0.09</x:v>
      </x:c>
      <x:c r="K237" s="103" t="n">
        <x:f>MIN(I237,F237*J237)</x:f>
        <x:v>26.440590512470752</x:v>
      </x:c>
      <x:c r="L237" s="103" t="n">
        <x:f>'Inputs &amp; Guide'!$B$5</x:f>
        <x:v>15</x:v>
      </x:c>
      <x:c r="M237" s="103" t="n">
        <x:f>I237*'Inputs &amp; Guide'!$B$6</x:f>
        <x:v>19.389766375811888</x:v>
      </x:c>
      <x:c r="N237" s="103" t="n">
        <x:f>MAX(0,MIN(K237-L237,M237))</x:f>
        <x:v>11.440590512470752</x:v>
      </x:c>
      <x:c r="O237" s="103" t="n">
        <x:f>MAX(0,N237-'Inputs &amp; Guide'!$B$7)</x:f>
        <x:v>0</x:v>
      </x:c>
      <x:c r="P237" s="103" t="n">
        <x:f>N237-O237</x:f>
        <x:v>11.440590512470752</x:v>
      </x:c>
      <x:c r="Q237" s="103" t="n">
        <x:f>I237*'Inputs &amp; Guide'!$B$8</x:f>
        <x:v>0.634574172299298</x:v>
      </x:c>
      <x:c r="R237" s="104" t="n">
        <x:f>IFERROR(P237/Q237,0)</x:f>
        <x:v>18.028767970523038</x:v>
      </x:c>
      <x:c r="S237" s="105" t="n">
        <x:f>ROUND(E237*XLOOKUP(C237,'Reference Tables'!$E$4:$E$12,'Reference Tables'!$G$4:$G$12,1),1)</x:f>
        <x:v>10.1</x:v>
      </x:c>
      <x:c r="T237" s="106" t="str">
        <x:f>IF(R237&gt;='Inputs &amp; Guide'!$B$9,"HIGH",IF(R237&gt;=0.45,"WATCH","NORMAL"))</x:f>
        <x:v>HIGH</x:v>
      </x:c>
    </x:row>
    <x:row r="238">
      <x:c r="A238" s="95" t="n">
        <x:v>1873</x:v>
      </x:c>
      <x:c r="B238" s="96" t="n">
        <x:v>45370</x:v>
      </x:c>
      <x:c r="C238" s="97" t="str">
        <x:v>Flood</x:v>
      </x:c>
      <x:c r="D238" s="97" t="str">
        <x:v>China</x:v>
      </x:c>
      <x:c r="E238" s="98" t="n">
        <x:v>7.7239378367384735</x:v>
      </x:c>
      <x:c r="F238" s="99" t="n">
        <x:v>540.8183961295019</x:v>
      </x:c>
      <x:c r="G238" s="100" t="str">
        <x:f>XLOOKUP(D238,'Reference Tables'!$A$4:$A$23,'Reference Tables'!$B$4:$B$23,"Other")</x:f>
        <x:v>Asia Pacific</x:v>
      </x:c>
      <x:c r="H238" s="100" t="str">
        <x:f>VLOOKUP(G238,'Reference Tables'!$I$4:$J$9,2,FALSE)</x:f>
        <x:v>High</x:v>
      </x:c>
      <x:c r="I238" s="101" t="n">
        <x:f>F238*'Inputs &amp; Guide'!$B$4*XLOOKUP(D238,'Reference Tables'!$A$4:$A$23,'Reference Tables'!$C$4:$C$23,0.75)</x:f>
        <x:v>93.45341885117794</x:v>
      </x:c>
      <x:c r="J238" s="102" t="n">
        <x:f>XLOOKUP(C238,'Reference Tables'!$E$4:$E$12,'Reference Tables'!$F$4:$F$12,0.05)</x:f>
        <x:v>0.12</x:v>
      </x:c>
      <x:c r="K238" s="103" t="n">
        <x:f>MIN(I238,F238*J238)</x:f>
        <x:v>64.89820753554022</x:v>
      </x:c>
      <x:c r="L238" s="103" t="n">
        <x:f>'Inputs &amp; Guide'!$B$5</x:f>
        <x:v>15</x:v>
      </x:c>
      <x:c r="M238" s="103" t="n">
        <x:f>I238*'Inputs &amp; Guide'!$B$6</x:f>
        <x:v>51.399380368147874</x:v>
      </x:c>
      <x:c r="N238" s="103" t="n">
        <x:f>MAX(0,MIN(K238-L238,M238))</x:f>
        <x:v>49.89820753554022</x:v>
      </x:c>
      <x:c r="O238" s="103" t="n">
        <x:f>MAX(0,N238-'Inputs &amp; Guide'!$B$7)</x:f>
        <x:v>0</x:v>
      </x:c>
      <x:c r="P238" s="103" t="n">
        <x:f>N238-O238</x:f>
        <x:v>49.89820753554022</x:v>
      </x:c>
      <x:c r="Q238" s="103" t="n">
        <x:f>I238*'Inputs &amp; Guide'!$B$8</x:f>
        <x:v>1.6821615393212028</x:v>
      </x:c>
      <x:c r="R238" s="104" t="n">
        <x:f>IFERROR(P238/Q238,0)</x:f>
        <x:v>29.663148496235078</x:v>
      </x:c>
      <x:c r="S238" s="105" t="n">
        <x:f>ROUND(E238*XLOOKUP(C238,'Reference Tables'!$E$4:$E$12,'Reference Tables'!$G$4:$G$12,1),1)</x:f>
        <x:v>9.7</x:v>
      </x:c>
      <x:c r="T238" s="106" t="str">
        <x:f>IF(R238&gt;='Inputs &amp; Guide'!$B$9,"HIGH",IF(R238&gt;=0.45,"WATCH","NORMAL"))</x:f>
        <x:v>HIGH</x:v>
      </x:c>
    </x:row>
    <x:row r="239">
      <x:c r="A239" s="95" t="n">
        <x:v>1881</x:v>
      </x:c>
      <x:c r="B239" s="96" t="n">
        <x:v>45370.104166666664</x:v>
      </x:c>
      <x:c r="C239" s="97" t="str">
        <x:v>Tornado</x:v>
      </x:c>
      <x:c r="D239" s="97" t="str">
        <x:v>USA</x:v>
      </x:c>
      <x:c r="E239" s="98" t="n">
        <x:v>6.800065384429561</x:v>
      </x:c>
      <x:c r="F239" s="99" t="n">
        <x:v>216.6138500665245</x:v>
      </x:c>
      <x:c r="G239" s="100" t="str">
        <x:f>XLOOKUP(D239,'Reference Tables'!$A$4:$A$23,'Reference Tables'!$B$4:$B$23,"Other")</x:f>
        <x:v>Other</x:v>
      </x:c>
      <x:c r="H239" s="100" t="str">
        <x:f>VLOOKUP(G239,'Reference Tables'!$I$4:$J$9,2,FALSE)</x:f>
        <x:v>Moderate</x:v>
      </x:c>
      <x:c r="I239" s="101" t="n">
        <x:f>F239*'Inputs &amp; Guide'!$B$4*XLOOKUP(D239,'Reference Tables'!$A$4:$A$23,'Reference Tables'!$C$4:$C$23,0.75)</x:f>
        <x:v>25.99366200798294</x:v>
      </x:c>
      <x:c r="J239" s="102" t="n">
        <x:f>XLOOKUP(C239,'Reference Tables'!$E$4:$E$12,'Reference Tables'!$F$4:$F$12,0.05)</x:f>
        <x:v>0.09</x:v>
      </x:c>
      <x:c r="K239" s="103" t="n">
        <x:f>MIN(I239,F239*J239)</x:f>
        <x:v>19.495246505987204</x:v>
      </x:c>
      <x:c r="L239" s="103" t="n">
        <x:f>'Inputs &amp; Guide'!$B$5</x:f>
        <x:v>15</x:v>
      </x:c>
      <x:c r="M239" s="103" t="n">
        <x:f>I239*'Inputs &amp; Guide'!$B$6</x:f>
        <x:v>14.296514104390619</x:v>
      </x:c>
      <x:c r="N239" s="103" t="n">
        <x:f>MAX(0,MIN(K239-L239,M239))</x:f>
        <x:v>4.495246505987204</x:v>
      </x:c>
      <x:c r="O239" s="103" t="n">
        <x:f>MAX(0,N239-'Inputs &amp; Guide'!$B$7)</x:f>
        <x:v>0</x:v>
      </x:c>
      <x:c r="P239" s="103" t="n">
        <x:f>N239-O239</x:f>
        <x:v>4.495246505987204</x:v>
      </x:c>
      <x:c r="Q239" s="103" t="n">
        <x:f>I239*'Inputs &amp; Guide'!$B$8</x:f>
        <x:v>0.4678859161436929</x:v>
      </x:c>
      <x:c r="R239" s="104" t="n">
        <x:f>IFERROR(P239/Q239,0)</x:f>
        <x:v>9.607569603797744</x:v>
      </x:c>
      <x:c r="S239" s="105" t="n">
        <x:f>ROUND(E239*XLOOKUP(C239,'Reference Tables'!$E$4:$E$12,'Reference Tables'!$G$4:$G$12,1),1)</x:f>
        <x:v>7.1</x:v>
      </x:c>
      <x:c r="T239" s="106" t="str">
        <x:f>IF(R239&gt;='Inputs &amp; Guide'!$B$9,"HIGH",IF(R239&gt;=0.45,"WATCH","NORMAL"))</x:f>
        <x:v>HIGH</x:v>
      </x:c>
    </x:row>
    <x:row r="240">
      <x:c r="A240" s="95" t="n">
        <x:v>1889</x:v>
      </x:c>
      <x:c r="B240" s="96" t="n">
        <x:v>45370.4375</x:v>
      </x:c>
      <x:c r="C240" s="97" t="str">
        <x:v>Wildfire</x:v>
      </x:c>
      <x:c r="D240" s="97" t="str">
        <x:v>Indonesia</x:v>
      </x:c>
      <x:c r="E240" s="98" t="n">
        <x:v>3.053005739705781</x:v>
      </x:c>
      <x:c r="F240" s="99" t="n">
        <x:v>20.37997867789698</x:v>
      </x:c>
      <x:c r="G240" s="100" t="str">
        <x:f>XLOOKUP(D240,'Reference Tables'!$A$4:$A$23,'Reference Tables'!$B$4:$B$23,"Other")</x:f>
        <x:v>Asia Pacific</x:v>
      </x:c>
      <x:c r="H240" s="100" t="str">
        <x:f>VLOOKUP(G240,'Reference Tables'!$I$4:$J$9,2,FALSE)</x:f>
        <x:v>High</x:v>
      </x:c>
      <x:c r="I240" s="101" t="n">
        <x:f>F240*'Inputs &amp; Guide'!$B$4*XLOOKUP(D240,'Reference Tables'!$A$4:$A$23,'Reference Tables'!$C$4:$C$23,0.75)</x:f>
        <x:v>3.358620486117422</x:v>
      </x:c>
      <x:c r="J240" s="102" t="n">
        <x:f>XLOOKUP(C240,'Reference Tables'!$E$4:$E$12,'Reference Tables'!$F$4:$F$12,0.05)</x:f>
        <x:v>0.1</x:v>
      </x:c>
      <x:c r="K240" s="103" t="n">
        <x:f>MIN(I240,F240*J240)</x:f>
        <x:v>2.037997867789698</x:v>
      </x:c>
      <x:c r="L240" s="103" t="n">
        <x:f>'Inputs &amp; Guide'!$B$5</x:f>
        <x:v>15</x:v>
      </x:c>
      <x:c r="M240" s="103" t="n">
        <x:f>I240*'Inputs &amp; Guide'!$B$6</x:f>
        <x:v>1.8472412673645822</x:v>
      </x:c>
      <x:c r="N240" s="103" t="n">
        <x:f>MAX(0,MIN(K240-L240,M240))</x:f>
        <x:v>0</x:v>
      </x:c>
      <x:c r="O240" s="103" t="n">
        <x:f>MAX(0,N240-'Inputs &amp; Guide'!$B$7)</x:f>
        <x:v>0</x:v>
      </x:c>
      <x:c r="P240" s="103" t="n">
        <x:f>N240-O240</x:f>
        <x:v>0</x:v>
      </x:c>
      <x:c r="Q240" s="103" t="n">
        <x:f>I240*'Inputs &amp; Guide'!$B$8</x:f>
        <x:v>0.06045516875011359</x:v>
      </x:c>
      <x:c r="R240" s="104" t="n">
        <x:f>IFERROR(P240/Q240,0)</x:f>
        <x:v>0</x:v>
      </x:c>
      <x:c r="S240" s="105" t="n">
        <x:f>ROUND(E240*XLOOKUP(C240,'Reference Tables'!$E$4:$E$12,'Reference Tables'!$G$4:$G$12,1),1)</x:f>
        <x:v>3.5</x:v>
      </x:c>
      <x:c r="T240" s="106" t="str">
        <x:f>IF(R240&gt;='Inputs &amp; Guide'!$B$9,"HIGH",IF(R240&gt;=0.45,"WATCH","NORMAL"))</x:f>
        <x:v>NORMAL</x:v>
      </x:c>
    </x:row>
    <x:row r="241">
      <x:c r="A241" s="95" t="n">
        <x:v>1897</x:v>
      </x:c>
      <x:c r="B241" s="96" t="n">
        <x:v>45371</x:v>
      </x:c>
      <x:c r="C241" s="97" t="str">
        <x:v>Wildfire</x:v>
      </x:c>
      <x:c r="D241" s="97" t="str">
        <x:v>Indonesia</x:v>
      </x:c>
      <x:c r="E241" s="98" t="n">
        <x:v>5.552610531062511</x:v>
      </x:c>
      <x:c r="F241" s="99" t="n">
        <x:v>505.3791823798776</x:v>
      </x:c>
      <x:c r="G241" s="100" t="str">
        <x:f>XLOOKUP(D241,'Reference Tables'!$A$4:$A$23,'Reference Tables'!$B$4:$B$23,"Other")</x:f>
        <x:v>Asia Pacific</x:v>
      </x:c>
      <x:c r="H241" s="100" t="str">
        <x:f>VLOOKUP(G241,'Reference Tables'!$I$4:$J$9,2,FALSE)</x:f>
        <x:v>High</x:v>
      </x:c>
      <x:c r="I241" s="101" t="n">
        <x:f>F241*'Inputs &amp; Guide'!$B$4*XLOOKUP(D241,'Reference Tables'!$A$4:$A$23,'Reference Tables'!$C$4:$C$23,0.75)</x:f>
        <x:v>83.28648925620384</x:v>
      </x:c>
      <x:c r="J241" s="102" t="n">
        <x:f>XLOOKUP(C241,'Reference Tables'!$E$4:$E$12,'Reference Tables'!$F$4:$F$12,0.05)</x:f>
        <x:v>0.1</x:v>
      </x:c>
      <x:c r="K241" s="103" t="n">
        <x:f>MIN(I241,F241*J241)</x:f>
        <x:v>50.53791823798776</x:v>
      </x:c>
      <x:c r="L241" s="103" t="n">
        <x:f>'Inputs &amp; Guide'!$B$5</x:f>
        <x:v>15</x:v>
      </x:c>
      <x:c r="M241" s="103" t="n">
        <x:f>I241*'Inputs &amp; Guide'!$B$6</x:f>
        <x:v>45.80756909091211</x:v>
      </x:c>
      <x:c r="N241" s="103" t="n">
        <x:f>MAX(0,MIN(K241-L241,M241))</x:f>
        <x:v>35.53791823798776</x:v>
      </x:c>
      <x:c r="O241" s="103" t="n">
        <x:f>MAX(0,N241-'Inputs &amp; Guide'!$B$7)</x:f>
        <x:v>0</x:v>
      </x:c>
      <x:c r="P241" s="103" t="n">
        <x:f>N241-O241</x:f>
        <x:v>35.53791823798776</x:v>
      </x:c>
      <x:c r="Q241" s="103" t="n">
        <x:f>I241*'Inputs &amp; Guide'!$B$8</x:f>
        <x:v>1.499156806611669</x:v>
      </x:c>
      <x:c r="R241" s="104" t="n">
        <x:f>IFERROR(P241/Q241,0)</x:f>
        <x:v>23.705270910458704</x:v>
      </x:c>
      <x:c r="S241" s="105" t="n">
        <x:f>ROUND(E241*XLOOKUP(C241,'Reference Tables'!$E$4:$E$12,'Reference Tables'!$G$4:$G$12,1),1)</x:f>
        <x:v>6.4</x:v>
      </x:c>
      <x:c r="T241" s="106" t="str">
        <x:f>IF(R241&gt;='Inputs &amp; Guide'!$B$9,"HIGH",IF(R241&gt;=0.45,"WATCH","NORMAL"))</x:f>
        <x:v>HIGH</x:v>
      </x:c>
    </x:row>
    <x:row r="242">
      <x:c r="A242" s="95" t="n">
        <x:v>1905</x:v>
      </x:c>
      <x:c r="B242" s="96" t="n">
        <x:v>45371.104166666664</x:v>
      </x:c>
      <x:c r="C242" s="97" t="str">
        <x:v>Hurricane</x:v>
      </x:c>
      <x:c r="D242" s="97" t="str">
        <x:v>China</x:v>
      </x:c>
      <x:c r="E242" s="98" t="n">
        <x:v>8.352443341113029</x:v>
      </x:c>
      <x:c r="F242" s="99" t="n">
        <x:v>375.6500156099786</x:v>
      </x:c>
      <x:c r="G242" s="100" t="str">
        <x:f>XLOOKUP(D242,'Reference Tables'!$A$4:$A$23,'Reference Tables'!$B$4:$B$23,"Other")</x:f>
        <x:v>Asia Pacific</x:v>
      </x:c>
      <x:c r="H242" s="100" t="str">
        <x:f>VLOOKUP(G242,'Reference Tables'!$I$4:$J$9,2,FALSE)</x:f>
        <x:v>High</x:v>
      </x:c>
      <x:c r="I242" s="101" t="n">
        <x:f>F242*'Inputs &amp; Guide'!$B$4*XLOOKUP(D242,'Reference Tables'!$A$4:$A$23,'Reference Tables'!$C$4:$C$23,0.75)</x:f>
        <x:v>64.9123226974043</x:v>
      </x:c>
      <x:c r="J242" s="102" t="n">
        <x:f>XLOOKUP(C242,'Reference Tables'!$E$4:$E$12,'Reference Tables'!$F$4:$F$12,0.05)</x:f>
        <x:v>0.18</x:v>
      </x:c>
      <x:c r="K242" s="103" t="n">
        <x:f>MIN(I242,F242*J242)</x:f>
        <x:v>64.9123226974043</x:v>
      </x:c>
      <x:c r="L242" s="103" t="n">
        <x:f>'Inputs &amp; Guide'!$B$5</x:f>
        <x:v>15</x:v>
      </x:c>
      <x:c r="M242" s="103" t="n">
        <x:f>I242*'Inputs &amp; Guide'!$B$6</x:f>
        <x:v>35.70177748357237</x:v>
      </x:c>
      <x:c r="N242" s="103" t="n">
        <x:f>MAX(0,MIN(K242-L242,M242))</x:f>
        <x:v>35.70177748357237</x:v>
      </x:c>
      <x:c r="O242" s="103" t="n">
        <x:f>MAX(0,N242-'Inputs &amp; Guide'!$B$7)</x:f>
        <x:v>0</x:v>
      </x:c>
      <x:c r="P242" s="103" t="n">
        <x:f>N242-O242</x:f>
        <x:v>35.70177748357237</x:v>
      </x:c>
      <x:c r="Q242" s="103" t="n">
        <x:f>I242*'Inputs &amp; Guide'!$B$8</x:f>
        <x:v>1.1684218085532774</x:v>
      </x:c>
      <x:c r="R242" s="104" t="n">
        <x:f>IFERROR(P242/Q242,0)</x:f>
        <x:v>30.55555555555556</x:v>
      </x:c>
      <x:c r="S242" s="105" t="n">
        <x:f>ROUND(E242*XLOOKUP(C242,'Reference Tables'!$E$4:$E$12,'Reference Tables'!$G$4:$G$12,1),1)</x:f>
        <x:v>11.7</x:v>
      </x:c>
      <x:c r="T242" s="106" t="str">
        <x:f>IF(R242&gt;='Inputs &amp; Guide'!$B$9,"HIGH",IF(R242&gt;=0.45,"WATCH","NORMAL"))</x:f>
        <x:v>HIGH</x:v>
      </x:c>
    </x:row>
    <x:row r="243">
      <x:c r="A243" s="95" t="n">
        <x:v>1913</x:v>
      </x:c>
      <x:c r="B243" s="96" t="n">
        <x:v>45371.4375</x:v>
      </x:c>
      <x:c r="C243" s="97" t="str">
        <x:v>Flood</x:v>
      </x:c>
      <x:c r="D243" s="97" t="str">
        <x:v>USA</x:v>
      </x:c>
      <x:c r="E243" s="98" t="n">
        <x:v>4.828473343357187</x:v>
      </x:c>
      <x:c r="F243" s="99" t="n">
        <x:v>281.894536342829</x:v>
      </x:c>
      <x:c r="G243" s="100" t="str">
        <x:f>XLOOKUP(D243,'Reference Tables'!$A$4:$A$23,'Reference Tables'!$B$4:$B$23,"Other")</x:f>
        <x:v>Other</x:v>
      </x:c>
      <x:c r="H243" s="100" t="str">
        <x:f>VLOOKUP(G243,'Reference Tables'!$I$4:$J$9,2,FALSE)</x:f>
        <x:v>Moderate</x:v>
      </x:c>
      <x:c r="I243" s="101" t="n">
        <x:f>F243*'Inputs &amp; Guide'!$B$4*XLOOKUP(D243,'Reference Tables'!$A$4:$A$23,'Reference Tables'!$C$4:$C$23,0.75)</x:f>
        <x:v>33.82734436113948</x:v>
      </x:c>
      <x:c r="J243" s="102" t="n">
        <x:f>XLOOKUP(C243,'Reference Tables'!$E$4:$E$12,'Reference Tables'!$F$4:$F$12,0.05)</x:f>
        <x:v>0.12</x:v>
      </x:c>
      <x:c r="K243" s="103" t="n">
        <x:f>MIN(I243,F243*J243)</x:f>
        <x:v>33.827344361139474</x:v>
      </x:c>
      <x:c r="L243" s="103" t="n">
        <x:f>'Inputs &amp; Guide'!$B$5</x:f>
        <x:v>15</x:v>
      </x:c>
      <x:c r="M243" s="103" t="n">
        <x:f>I243*'Inputs &amp; Guide'!$B$6</x:f>
        <x:v>18.605039398626715</x:v>
      </x:c>
      <x:c r="N243" s="103" t="n">
        <x:f>MAX(0,MIN(K243-L243,M243))</x:f>
        <x:v>18.605039398626715</x:v>
      </x:c>
      <x:c r="O243" s="103" t="n">
        <x:f>MAX(0,N243-'Inputs &amp; Guide'!$B$7)</x:f>
        <x:v>0</x:v>
      </x:c>
      <x:c r="P243" s="103" t="n">
        <x:f>N243-O243</x:f>
        <x:v>18.605039398626715</x:v>
      </x:c>
      <x:c r="Q243" s="103" t="n">
        <x:f>I243*'Inputs &amp; Guide'!$B$8</x:f>
        <x:v>0.6088921985005106</x:v>
      </x:c>
      <x:c r="R243" s="104" t="n">
        <x:f>IFERROR(P243/Q243,0)</x:f>
        <x:v>30.55555555555556</x:v>
      </x:c>
      <x:c r="S243" s="105" t="n">
        <x:f>ROUND(E243*XLOOKUP(C243,'Reference Tables'!$E$4:$E$12,'Reference Tables'!$G$4:$G$12,1),1)</x:f>
        <x:v>6</x:v>
      </x:c>
      <x:c r="T243" s="106" t="str">
        <x:f>IF(R243&gt;='Inputs &amp; Guide'!$B$9,"HIGH",IF(R243&gt;=0.45,"WATCH","NORMAL"))</x:f>
        <x:v>HIGH</x:v>
      </x:c>
    </x:row>
    <x:row r="244">
      <x:c r="A244" s="95" t="n">
        <x:v>1921</x:v>
      </x:c>
      <x:c r="B244" s="96" t="n">
        <x:v>45372</x:v>
      </x:c>
      <x:c r="C244" s="97" t="str">
        <x:v>Wildfire</x:v>
      </x:c>
      <x:c r="D244" s="97" t="str">
        <x:v>India</x:v>
      </x:c>
      <x:c r="E244" s="98" t="n">
        <x:v>3.593137739641682</x:v>
      </x:c>
      <x:c r="F244" s="99" t="n">
        <x:v>980.92914430655</x:v>
      </x:c>
      <x:c r="G244" s="100" t="str">
        <x:f>XLOOKUP(D244,'Reference Tables'!$A$4:$A$23,'Reference Tables'!$B$4:$B$23,"Other")</x:f>
        <x:v>Asia Pacific</x:v>
      </x:c>
      <x:c r="H244" s="100" t="str">
        <x:f>VLOOKUP(G244,'Reference Tables'!$I$4:$J$9,2,FALSE)</x:f>
        <x:v>High</x:v>
      </x:c>
      <x:c r="I244" s="101" t="n">
        <x:f>F244*'Inputs &amp; Guide'!$B$4*XLOOKUP(D244,'Reference Tables'!$A$4:$A$23,'Reference Tables'!$C$4:$C$23,0.75)</x:f>
        <x:v>142.82328341103369</x:v>
      </x:c>
      <x:c r="J244" s="102" t="n">
        <x:f>XLOOKUP(C244,'Reference Tables'!$E$4:$E$12,'Reference Tables'!$F$4:$F$12,0.05)</x:f>
        <x:v>0.1</x:v>
      </x:c>
      <x:c r="K244" s="103" t="n">
        <x:f>MIN(I244,F244*J244)</x:f>
        <x:v>98.09291443065501</x:v>
      </x:c>
      <x:c r="L244" s="103" t="n">
        <x:f>'Inputs &amp; Guide'!$B$5</x:f>
        <x:v>15</x:v>
      </x:c>
      <x:c r="M244" s="103" t="n">
        <x:f>I244*'Inputs &amp; Guide'!$B$6</x:f>
        <x:v>78.55280587606853</x:v>
      </x:c>
      <x:c r="N244" s="103" t="n">
        <x:f>MAX(0,MIN(K244-L244,M244))</x:f>
        <x:v>78.55280587606853</x:v>
      </x:c>
      <x:c r="O244" s="103" t="n">
        <x:f>MAX(0,N244-'Inputs &amp; Guide'!$B$7)</x:f>
        <x:v>18.552805876068533</x:v>
      </x:c>
      <x:c r="P244" s="103" t="n">
        <x:f>N244-O244</x:f>
        <x:v>60</x:v>
      </x:c>
      <x:c r="Q244" s="103" t="n">
        <x:f>I244*'Inputs &amp; Guide'!$B$8</x:f>
        <x:v>2.570819101398606</x:v>
      </x:c>
      <x:c r="R244" s="104" t="n">
        <x:f>IFERROR(P244/Q244,0)</x:f>
        <x:v>23.33886502063024</x:v>
      </x:c>
      <x:c r="S244" s="105" t="n">
        <x:f>ROUND(E244*XLOOKUP(C244,'Reference Tables'!$E$4:$E$12,'Reference Tables'!$G$4:$G$12,1),1)</x:f>
        <x:v>4.1</x:v>
      </x:c>
      <x:c r="T244" s="106" t="str">
        <x:f>IF(R244&gt;='Inputs &amp; Guide'!$B$9,"HIGH",IF(R244&gt;=0.45,"WATCH","NORMAL"))</x:f>
        <x:v>HIGH</x:v>
      </x:c>
    </x:row>
    <x:row r="245">
      <x:c r="A245" s="95" t="n">
        <x:v>1929</x:v>
      </x:c>
      <x:c r="B245" s="96" t="n">
        <x:v>45372.104166666664</x:v>
      </x:c>
      <x:c r="C245" s="97" t="str">
        <x:v>Earthquake</x:v>
      </x:c>
      <x:c r="D245" s="97" t="str">
        <x:v>Japan</x:v>
      </x:c>
      <x:c r="E245" s="98" t="n">
        <x:v>4.371449815870926</x:v>
      </x:c>
      <x:c r="F245" s="99" t="n">
        <x:v>864.105785261819</x:v>
      </x:c>
      <x:c r="G245" s="100" t="str">
        <x:f>XLOOKUP(D245,'Reference Tables'!$A$4:$A$23,'Reference Tables'!$B$4:$B$23,"Other")</x:f>
        <x:v>Asia Pacific</x:v>
      </x:c>
      <x:c r="H245" s="100" t="str">
        <x:f>VLOOKUP(G245,'Reference Tables'!$I$4:$J$9,2,FALSE)</x:f>
        <x:v>High</x:v>
      </x:c>
      <x:c r="I245" s="101" t="n">
        <x:f>F245*'Inputs &amp; Guide'!$B$4*XLOOKUP(D245,'Reference Tables'!$A$4:$A$23,'Reference Tables'!$C$4:$C$23,0.75)</x:f>
        <x:v>163.14317225743144</x:v>
      </x:c>
      <x:c r="J245" s="102" t="n">
        <x:f>XLOOKUP(C245,'Reference Tables'!$E$4:$E$12,'Reference Tables'!$F$4:$F$12,0.05)</x:f>
        <x:v>0.14</x:v>
      </x:c>
      <x:c r="K245" s="103" t="n">
        <x:f>MIN(I245,F245*J245)</x:f>
        <x:v>120.97480993665468</x:v>
      </x:c>
      <x:c r="L245" s="103" t="n">
        <x:f>'Inputs &amp; Guide'!$B$5</x:f>
        <x:v>15</x:v>
      </x:c>
      <x:c r="M245" s="103" t="n">
        <x:f>I245*'Inputs &amp; Guide'!$B$6</x:f>
        <x:v>89.7287447415873</x:v>
      </x:c>
      <x:c r="N245" s="103" t="n">
        <x:f>MAX(0,MIN(K245-L245,M245))</x:f>
        <x:v>89.7287447415873</x:v>
      </x:c>
      <x:c r="O245" s="103" t="n">
        <x:f>MAX(0,N245-'Inputs &amp; Guide'!$B$7)</x:f>
        <x:v>29.728744741587306</x:v>
      </x:c>
      <x:c r="P245" s="103" t="n">
        <x:f>N245-O245</x:f>
        <x:v>60</x:v>
      </x:c>
      <x:c r="Q245" s="103" t="n">
        <x:f>I245*'Inputs &amp; Guide'!$B$8</x:f>
        <x:v>2.936577100633766</x:v>
      </x:c>
      <x:c r="R245" s="104" t="n">
        <x:f>IFERROR(P245/Q245,0)</x:f>
        <x:v>20.43195119482847</x:v>
      </x:c>
      <x:c r="S245" s="105" t="n">
        <x:f>ROUND(E245*XLOOKUP(C245,'Reference Tables'!$E$4:$E$12,'Reference Tables'!$G$4:$G$12,1),1)</x:f>
        <x:v>6.6</x:v>
      </x:c>
      <x:c r="T245" s="106" t="str">
        <x:f>IF(R245&gt;='Inputs &amp; Guide'!$B$9,"HIGH",IF(R245&gt;=0.45,"WATCH","NORMAL"))</x:f>
        <x:v>HIGH</x:v>
      </x:c>
    </x:row>
    <x:row r="246">
      <x:c r="A246" s="95" t="n">
        <x:v>1937</x:v>
      </x:c>
      <x:c r="B246" s="96" t="n">
        <x:v>45372.4375</x:v>
      </x:c>
      <x:c r="C246" s="97" t="str">
        <x:v>Earthquake</x:v>
      </x:c>
      <x:c r="D246" s="97" t="str">
        <x:v>Japan</x:v>
      </x:c>
      <x:c r="E246" s="98" t="n">
        <x:v>3.6459325469329245</x:v>
      </x:c>
      <x:c r="F246" s="99" t="n">
        <x:v>35.31245978064199</x:v>
      </x:c>
      <x:c r="G246" s="100" t="str">
        <x:f>XLOOKUP(D246,'Reference Tables'!$A$4:$A$23,'Reference Tables'!$B$4:$B$23,"Other")</x:f>
        <x:v>Asia Pacific</x:v>
      </x:c>
      <x:c r="H246" s="100" t="str">
        <x:f>VLOOKUP(G246,'Reference Tables'!$I$4:$J$9,2,FALSE)</x:f>
        <x:v>High</x:v>
      </x:c>
      <x:c r="I246" s="101" t="n">
        <x:f>F246*'Inputs &amp; Guide'!$B$4*XLOOKUP(D246,'Reference Tables'!$A$4:$A$23,'Reference Tables'!$C$4:$C$23,0.75)</x:f>
        <x:v>6.666992406585207</x:v>
      </x:c>
      <x:c r="J246" s="102" t="n">
        <x:f>XLOOKUP(C246,'Reference Tables'!$E$4:$E$12,'Reference Tables'!$F$4:$F$12,0.05)</x:f>
        <x:v>0.14</x:v>
      </x:c>
      <x:c r="K246" s="103" t="n">
        <x:f>MIN(I246,F246*J246)</x:f>
        <x:v>4.943744369289878</x:v>
      </x:c>
      <x:c r="L246" s="103" t="n">
        <x:f>'Inputs &amp; Guide'!$B$5</x:f>
        <x:v>15</x:v>
      </x:c>
      <x:c r="M246" s="103" t="n">
        <x:f>I246*'Inputs &amp; Guide'!$B$6</x:f>
        <x:v>3.666845823621864</x:v>
      </x:c>
      <x:c r="N246" s="103" t="n">
        <x:f>MAX(0,MIN(K246-L246,M246))</x:f>
        <x:v>0</x:v>
      </x:c>
      <x:c r="O246" s="103" t="n">
        <x:f>MAX(0,N246-'Inputs &amp; Guide'!$B$7)</x:f>
        <x:v>0</x:v>
      </x:c>
      <x:c r="P246" s="103" t="n">
        <x:f>N246-O246</x:f>
        <x:v>0</x:v>
      </x:c>
      <x:c r="Q246" s="103" t="n">
        <x:f>I246*'Inputs &amp; Guide'!$B$8</x:f>
        <x:v>0.12000586331853372</x:v>
      </x:c>
      <x:c r="R246" s="104" t="n">
        <x:f>IFERROR(P246/Q246,0)</x:f>
        <x:v>0</x:v>
      </x:c>
      <x:c r="S246" s="105" t="n">
        <x:f>ROUND(E246*XLOOKUP(C246,'Reference Tables'!$E$4:$E$12,'Reference Tables'!$G$4:$G$12,1),1)</x:f>
        <x:v>5.5</x:v>
      </x:c>
      <x:c r="T246" s="106" t="str">
        <x:f>IF(R246&gt;='Inputs &amp; Guide'!$B$9,"HIGH",IF(R246&gt;=0.45,"WATCH","NORMAL"))</x:f>
        <x:v>NORMAL</x:v>
      </x:c>
    </x:row>
    <x:row r="247">
      <x:c r="A247" s="95" t="n">
        <x:v>1945</x:v>
      </x:c>
      <x:c r="B247" s="96" t="n">
        <x:v>45373</x:v>
      </x:c>
      <x:c r="C247" s="97" t="str">
        <x:v>Wildfire</x:v>
      </x:c>
      <x:c r="D247" s="97" t="str">
        <x:v>Indonesia</x:v>
      </x:c>
      <x:c r="E247" s="98" t="n">
        <x:v>9.26312724320047</x:v>
      </x:c>
      <x:c r="F247" s="99" t="n">
        <x:v>19.855574113956667</x:v>
      </x:c>
      <x:c r="G247" s="100" t="str">
        <x:f>XLOOKUP(D247,'Reference Tables'!$A$4:$A$23,'Reference Tables'!$B$4:$B$23,"Other")</x:f>
        <x:v>Asia Pacific</x:v>
      </x:c>
      <x:c r="H247" s="100" t="str">
        <x:f>VLOOKUP(G247,'Reference Tables'!$I$4:$J$9,2,FALSE)</x:f>
        <x:v>High</x:v>
      </x:c>
      <x:c r="I247" s="101" t="n">
        <x:f>F247*'Inputs &amp; Guide'!$B$4*XLOOKUP(D247,'Reference Tables'!$A$4:$A$23,'Reference Tables'!$C$4:$C$23,0.75)</x:f>
        <x:v>3.2721986139800587</x:v>
      </x:c>
      <x:c r="J247" s="102" t="n">
        <x:f>XLOOKUP(C247,'Reference Tables'!$E$4:$E$12,'Reference Tables'!$F$4:$F$12,0.05)</x:f>
        <x:v>0.1</x:v>
      </x:c>
      <x:c r="K247" s="103" t="n">
        <x:f>MIN(I247,F247*J247)</x:f>
        <x:v>1.9855574113956669</x:v>
      </x:c>
      <x:c r="L247" s="103" t="n">
        <x:f>'Inputs &amp; Guide'!$B$5</x:f>
        <x:v>15</x:v>
      </x:c>
      <x:c r="M247" s="103" t="n">
        <x:f>I247*'Inputs &amp; Guide'!$B$6</x:f>
        <x:v>1.7997092376890325</x:v>
      </x:c>
      <x:c r="N247" s="103" t="n">
        <x:f>MAX(0,MIN(K247-L247,M247))</x:f>
        <x:v>0</x:v>
      </x:c>
      <x:c r="O247" s="103" t="n">
        <x:f>MAX(0,N247-'Inputs &amp; Guide'!$B$7)</x:f>
        <x:v>0</x:v>
      </x:c>
      <x:c r="P247" s="103" t="n">
        <x:f>N247-O247</x:f>
        <x:v>0</x:v>
      </x:c>
      <x:c r="Q247" s="103" t="n">
        <x:f>I247*'Inputs &amp; Guide'!$B$8</x:f>
        <x:v>0.058899575051641055</x:v>
      </x:c>
      <x:c r="R247" s="104" t="n">
        <x:f>IFERROR(P247/Q247,0)</x:f>
        <x:v>0</x:v>
      </x:c>
      <x:c r="S247" s="105" t="n">
        <x:f>ROUND(E247*XLOOKUP(C247,'Reference Tables'!$E$4:$E$12,'Reference Tables'!$G$4:$G$12,1),1)</x:f>
        <x:v>10.7</x:v>
      </x:c>
      <x:c r="T247" s="106" t="str">
        <x:f>IF(R247&gt;='Inputs &amp; Guide'!$B$9,"HIGH",IF(R247&gt;=0.45,"WATCH","NORMAL"))</x:f>
        <x:v>NORMAL</x:v>
      </x:c>
    </x:row>
    <x:row r="248">
      <x:c r="A248" s="95" t="n">
        <x:v>1953</x:v>
      </x:c>
      <x:c r="B248" s="96" t="n">
        <x:v>45373.104166666664</x:v>
      </x:c>
      <x:c r="C248" s="97" t="str">
        <x:v>Hurricane</x:v>
      </x:c>
      <x:c r="D248" s="97" t="str">
        <x:v>Indonesia</x:v>
      </x:c>
      <x:c r="E248" s="98" t="n">
        <x:v>5.235933143102752</x:v>
      </x:c>
      <x:c r="F248" s="99" t="n">
        <x:v>711.3250082645185</x:v>
      </x:c>
      <x:c r="G248" s="100" t="str">
        <x:f>XLOOKUP(D248,'Reference Tables'!$A$4:$A$23,'Reference Tables'!$B$4:$B$23,"Other")</x:f>
        <x:v>Asia Pacific</x:v>
      </x:c>
      <x:c r="H248" s="100" t="str">
        <x:f>VLOOKUP(G248,'Reference Tables'!$I$4:$J$9,2,FALSE)</x:f>
        <x:v>High</x:v>
      </x:c>
      <x:c r="I248" s="101" t="n">
        <x:f>F248*'Inputs &amp; Guide'!$B$4*XLOOKUP(D248,'Reference Tables'!$A$4:$A$23,'Reference Tables'!$C$4:$C$23,0.75)</x:f>
        <x:v>117.22636136199264</x:v>
      </x:c>
      <x:c r="J248" s="102" t="n">
        <x:f>XLOOKUP(C248,'Reference Tables'!$E$4:$E$12,'Reference Tables'!$F$4:$F$12,0.05)</x:f>
        <x:v>0.18</x:v>
      </x:c>
      <x:c r="K248" s="103" t="n">
        <x:f>MIN(I248,F248*J248)</x:f>
        <x:v>117.22636136199264</x:v>
      </x:c>
      <x:c r="L248" s="103" t="n">
        <x:f>'Inputs &amp; Guide'!$B$5</x:f>
        <x:v>15</x:v>
      </x:c>
      <x:c r="M248" s="103" t="n">
        <x:f>I248*'Inputs &amp; Guide'!$B$6</x:f>
        <x:v>64.47449874909596</x:v>
      </x:c>
      <x:c r="N248" s="103" t="n">
        <x:f>MAX(0,MIN(K248-L248,M248))</x:f>
        <x:v>64.47449874909596</x:v>
      </x:c>
      <x:c r="O248" s="103" t="n">
        <x:f>MAX(0,N248-'Inputs &amp; Guide'!$B$7)</x:f>
        <x:v>4.474498749095957</x:v>
      </x:c>
      <x:c r="P248" s="103" t="n">
        <x:f>N248-O248</x:f>
        <x:v>60</x:v>
      </x:c>
      <x:c r="Q248" s="103" t="n">
        <x:f>I248*'Inputs &amp; Guide'!$B$8</x:f>
        <x:v>2.1100745045158673</x:v>
      </x:c>
      <x:c r="R248" s="104" t="n">
        <x:f>IFERROR(P248/Q248,0)</x:f>
        <x:v>28.435014911365094</x:v>
      </x:c>
      <x:c r="S248" s="105" t="n">
        <x:f>ROUND(E248*XLOOKUP(C248,'Reference Tables'!$E$4:$E$12,'Reference Tables'!$G$4:$G$12,1),1)</x:f>
        <x:v>7.3</x:v>
      </x:c>
      <x:c r="T248" s="106" t="str">
        <x:f>IF(R248&gt;='Inputs &amp; Guide'!$B$9,"HIGH",IF(R248&gt;=0.45,"WATCH","NORMAL"))</x:f>
        <x:v>HIGH</x:v>
      </x:c>
    </x:row>
    <x:row r="249">
      <x:c r="A249" s="95" t="n">
        <x:v>1961</x:v>
      </x:c>
      <x:c r="B249" s="96" t="n">
        <x:v>45373.4375</x:v>
      </x:c>
      <x:c r="C249" s="97" t="str">
        <x:v>Earthquake</x:v>
      </x:c>
      <x:c r="D249" s="97" t="str">
        <x:v>China</x:v>
      </x:c>
      <x:c r="E249" s="98" t="n">
        <x:v>4.765810759943479</x:v>
      </x:c>
      <x:c r="F249" s="99" t="n">
        <x:v>673.783324723355</x:v>
      </x:c>
      <x:c r="G249" s="100" t="str">
        <x:f>XLOOKUP(D249,'Reference Tables'!$A$4:$A$23,'Reference Tables'!$B$4:$B$23,"Other")</x:f>
        <x:v>Asia Pacific</x:v>
      </x:c>
      <x:c r="H249" s="100" t="str">
        <x:f>VLOOKUP(G249,'Reference Tables'!$I$4:$J$9,2,FALSE)</x:f>
        <x:v>High</x:v>
      </x:c>
      <x:c r="I249" s="101" t="n">
        <x:f>F249*'Inputs &amp; Guide'!$B$4*XLOOKUP(D249,'Reference Tables'!$A$4:$A$23,'Reference Tables'!$C$4:$C$23,0.75)</x:f>
        <x:v>116.42975851219576</x:v>
      </x:c>
      <x:c r="J249" s="102" t="n">
        <x:f>XLOOKUP(C249,'Reference Tables'!$E$4:$E$12,'Reference Tables'!$F$4:$F$12,0.05)</x:f>
        <x:v>0.14</x:v>
      </x:c>
      <x:c r="K249" s="103" t="n">
        <x:f>MIN(I249,F249*J249)</x:f>
        <x:v>94.32966546126971</x:v>
      </x:c>
      <x:c r="L249" s="103" t="n">
        <x:f>'Inputs &amp; Guide'!$B$5</x:f>
        <x:v>15</x:v>
      </x:c>
      <x:c r="M249" s="103" t="n">
        <x:f>I249*'Inputs &amp; Guide'!$B$6</x:f>
        <x:v>64.03636718170767</x:v>
      </x:c>
      <x:c r="N249" s="103" t="n">
        <x:f>MAX(0,MIN(K249-L249,M249))</x:f>
        <x:v>64.03636718170767</x:v>
      </x:c>
      <x:c r="O249" s="103" t="n">
        <x:f>MAX(0,N249-'Inputs &amp; Guide'!$B$7)</x:f>
        <x:v>4.036367181707675</x:v>
      </x:c>
      <x:c r="P249" s="103" t="n">
        <x:f>N249-O249</x:f>
        <x:v>60</x:v>
      </x:c>
      <x:c r="Q249" s="103" t="n">
        <x:f>I249*'Inputs &amp; Guide'!$B$8</x:f>
        <x:v>2.0957356532195237</x:v>
      </x:c>
      <x:c r="R249" s="104" t="n">
        <x:f>IFERROR(P249/Q249,0)</x:f>
        <x:v>28.629564949103404</x:v>
      </x:c>
      <x:c r="S249" s="105" t="n">
        <x:f>ROUND(E249*XLOOKUP(C249,'Reference Tables'!$E$4:$E$12,'Reference Tables'!$G$4:$G$12,1),1)</x:f>
        <x:v>7.1</x:v>
      </x:c>
      <x:c r="T249" s="106" t="str">
        <x:f>IF(R249&gt;='Inputs &amp; Guide'!$B$9,"HIGH",IF(R249&gt;=0.45,"WATCH","NORMAL"))</x:f>
        <x:v>HIGH</x:v>
      </x:c>
    </x:row>
    <x:row r="250">
      <x:c r="A250" s="95" t="n">
        <x:v>1969</x:v>
      </x:c>
      <x:c r="B250" s="96" t="n">
        <x:v>45374</x:v>
      </x:c>
      <x:c r="C250" s="97" t="str">
        <x:v>Earthquake</x:v>
      </x:c>
      <x:c r="D250" s="97" t="str">
        <x:v>Indonesia</x:v>
      </x:c>
      <x:c r="E250" s="98" t="n">
        <x:v>7.120671991077734</x:v>
      </x:c>
      <x:c r="F250" s="99" t="n">
        <x:v>765.0859731440703</x:v>
      </x:c>
      <x:c r="G250" s="100" t="str">
        <x:f>XLOOKUP(D250,'Reference Tables'!$A$4:$A$23,'Reference Tables'!$B$4:$B$23,"Other")</x:f>
        <x:v>Asia Pacific</x:v>
      </x:c>
      <x:c r="H250" s="100" t="str">
        <x:f>VLOOKUP(G250,'Reference Tables'!$I$4:$J$9,2,FALSE)</x:f>
        <x:v>High</x:v>
      </x:c>
      <x:c r="I250" s="101" t="n">
        <x:f>F250*'Inputs &amp; Guide'!$B$4*XLOOKUP(D250,'Reference Tables'!$A$4:$A$23,'Reference Tables'!$C$4:$C$23,0.75)</x:f>
        <x:v>126.08616837414279</x:v>
      </x:c>
      <x:c r="J250" s="102" t="n">
        <x:f>XLOOKUP(C250,'Reference Tables'!$E$4:$E$12,'Reference Tables'!$F$4:$F$12,0.05)</x:f>
        <x:v>0.14</x:v>
      </x:c>
      <x:c r="K250" s="103" t="n">
        <x:f>MIN(I250,F250*J250)</x:f>
        <x:v>107.11203624016986</x:v>
      </x:c>
      <x:c r="L250" s="103" t="n">
        <x:f>'Inputs &amp; Guide'!$B$5</x:f>
        <x:v>15</x:v>
      </x:c>
      <x:c r="M250" s="103" t="n">
        <x:f>I250*'Inputs &amp; Guide'!$B$6</x:f>
        <x:v>69.34739260577854</x:v>
      </x:c>
      <x:c r="N250" s="103" t="n">
        <x:f>MAX(0,MIN(K250-L250,M250))</x:f>
        <x:v>69.34739260577854</x:v>
      </x:c>
      <x:c r="O250" s="103" t="n">
        <x:f>MAX(0,N250-'Inputs &amp; Guide'!$B$7)</x:f>
        <x:v>9.347392605778538</x:v>
      </x:c>
      <x:c r="P250" s="103" t="n">
        <x:f>N250-O250</x:f>
        <x:v>60</x:v>
      </x:c>
      <x:c r="Q250" s="103" t="n">
        <x:f>I250*'Inputs &amp; Guide'!$B$8</x:f>
        <x:v>2.26955103073457</x:v>
      </x:c>
      <x:c r="R250" s="104" t="n">
        <x:f>IFERROR(P250/Q250,0)</x:f>
        <x:v>26.436946861943973</x:v>
      </x:c>
      <x:c r="S250" s="105" t="n">
        <x:f>ROUND(E250*XLOOKUP(C250,'Reference Tables'!$E$4:$E$12,'Reference Tables'!$G$4:$G$12,1),1)</x:f>
        <x:v>10.7</x:v>
      </x:c>
      <x:c r="T250" s="106" t="str">
        <x:f>IF(R250&gt;='Inputs &amp; Guide'!$B$9,"HIGH",IF(R250&gt;=0.45,"WATCH","NORMAL"))</x:f>
        <x:v>HIGH</x:v>
      </x:c>
    </x:row>
    <x:row r="251">
      <x:c r="A251" s="95" t="n">
        <x:v>1977</x:v>
      </x:c>
      <x:c r="B251" s="96" t="n">
        <x:v>45374.104166666664</x:v>
      </x:c>
      <x:c r="C251" s="97" t="str">
        <x:v>Earthquake</x:v>
      </x:c>
      <x:c r="D251" s="97" t="str">
        <x:v>Japan</x:v>
      </x:c>
      <x:c r="E251" s="98" t="n">
        <x:v>2.8700560490569114</x:v>
      </x:c>
      <x:c r="F251" s="99" t="n">
        <x:v>233.79491120207533</x:v>
      </x:c>
      <x:c r="G251" s="100" t="str">
        <x:f>XLOOKUP(D251,'Reference Tables'!$A$4:$A$23,'Reference Tables'!$B$4:$B$23,"Other")</x:f>
        <x:v>Asia Pacific</x:v>
      </x:c>
      <x:c r="H251" s="100" t="str">
        <x:f>VLOOKUP(G251,'Reference Tables'!$I$4:$J$9,2,FALSE)</x:f>
        <x:v>High</x:v>
      </x:c>
      <x:c r="I251" s="101" t="n">
        <x:f>F251*'Inputs &amp; Guide'!$B$4*XLOOKUP(D251,'Reference Tables'!$A$4:$A$23,'Reference Tables'!$C$4:$C$23,0.75)</x:f>
        <x:v>44.14047923495182</x:v>
      </x:c>
      <x:c r="J251" s="102" t="n">
        <x:f>XLOOKUP(C251,'Reference Tables'!$E$4:$E$12,'Reference Tables'!$F$4:$F$12,0.05)</x:f>
        <x:v>0.14</x:v>
      </x:c>
      <x:c r="K251" s="103" t="n">
        <x:f>MIN(I251,F251*J251)</x:f>
        <x:v>32.73128756829055</x:v>
      </x:c>
      <x:c r="L251" s="103" t="n">
        <x:f>'Inputs &amp; Guide'!$B$5</x:f>
        <x:v>15</x:v>
      </x:c>
      <x:c r="M251" s="103" t="n">
        <x:f>I251*'Inputs &amp; Guide'!$B$6</x:f>
        <x:v>24.2772635792235</x:v>
      </x:c>
      <x:c r="N251" s="103" t="n">
        <x:f>MAX(0,MIN(K251-L251,M251))</x:f>
        <x:v>17.731287568290547</x:v>
      </x:c>
      <x:c r="O251" s="103" t="n">
        <x:f>MAX(0,N251-'Inputs &amp; Guide'!$B$7)</x:f>
        <x:v>0</x:v>
      </x:c>
      <x:c r="P251" s="103" t="n">
        <x:f>N251-O251</x:f>
        <x:v>17.731287568290547</x:v>
      </x:c>
      <x:c r="Q251" s="103" t="n">
        <x:f>I251*'Inputs &amp; Guide'!$B$8</x:f>
        <x:v>0.7945286262291327</x:v>
      </x:c>
      <x:c r="R251" s="104" t="n">
        <x:f>IFERROR(P251/Q251,0)</x:f>
        <x:v>22.31673848234268</x:v>
      </x:c>
      <x:c r="S251" s="105" t="n">
        <x:f>ROUND(E251*XLOOKUP(C251,'Reference Tables'!$E$4:$E$12,'Reference Tables'!$G$4:$G$12,1),1)</x:f>
        <x:v>4.3</x:v>
      </x:c>
      <x:c r="T251" s="106" t="str">
        <x:f>IF(R251&gt;='Inputs &amp; Guide'!$B$9,"HIGH",IF(R251&gt;=0.45,"WATCH","NORMAL"))</x:f>
        <x:v>HIGH</x:v>
      </x:c>
    </x:row>
    <x:row r="252">
      <x:c r="A252" s="95" t="n">
        <x:v>1985</x:v>
      </x:c>
      <x:c r="B252" s="96" t="n">
        <x:v>45374.4375</x:v>
      </x:c>
      <x:c r="C252" s="97" t="str">
        <x:v>Hurricane</x:v>
      </x:c>
      <x:c r="D252" s="97" t="str">
        <x:v>India</x:v>
      </x:c>
      <x:c r="E252" s="98" t="n">
        <x:v>3.7000857914977354</x:v>
      </x:c>
      <x:c r="F252" s="99" t="n">
        <x:v>641.6519630052326</x:v>
      </x:c>
      <x:c r="G252" s="100" t="str">
        <x:f>XLOOKUP(D252,'Reference Tables'!$A$4:$A$23,'Reference Tables'!$B$4:$B$23,"Other")</x:f>
        <x:v>Asia Pacific</x:v>
      </x:c>
      <x:c r="H252" s="100" t="str">
        <x:f>VLOOKUP(G252,'Reference Tables'!$I$4:$J$9,2,FALSE)</x:f>
        <x:v>High</x:v>
      </x:c>
      <x:c r="I252" s="101" t="n">
        <x:f>F252*'Inputs &amp; Guide'!$B$4*XLOOKUP(D252,'Reference Tables'!$A$4:$A$23,'Reference Tables'!$C$4:$C$23,0.75)</x:f>
        <x:v>93.42452581356187</x:v>
      </x:c>
      <x:c r="J252" s="102" t="n">
        <x:f>XLOOKUP(C252,'Reference Tables'!$E$4:$E$12,'Reference Tables'!$F$4:$F$12,0.05)</x:f>
        <x:v>0.18</x:v>
      </x:c>
      <x:c r="K252" s="103" t="n">
        <x:f>MIN(I252,F252*J252)</x:f>
        <x:v>93.42452581356187</x:v>
      </x:c>
      <x:c r="L252" s="103" t="n">
        <x:f>'Inputs &amp; Guide'!$B$5</x:f>
        <x:v>15</x:v>
      </x:c>
      <x:c r="M252" s="103" t="n">
        <x:f>I252*'Inputs &amp; Guide'!$B$6</x:f>
        <x:v>51.383489197459035</x:v>
      </x:c>
      <x:c r="N252" s="103" t="n">
        <x:f>MAX(0,MIN(K252-L252,M252))</x:f>
        <x:v>51.383489197459035</x:v>
      </x:c>
      <x:c r="O252" s="103" t="n">
        <x:f>MAX(0,N252-'Inputs &amp; Guide'!$B$7)</x:f>
        <x:v>0</x:v>
      </x:c>
      <x:c r="P252" s="103" t="n">
        <x:f>N252-O252</x:f>
        <x:v>51.383489197459035</x:v>
      </x:c>
      <x:c r="Q252" s="103" t="n">
        <x:f>I252*'Inputs &amp; Guide'!$B$8</x:f>
        <x:v>1.6816414646441136</x:v>
      </x:c>
      <x:c r="R252" s="104" t="n">
        <x:f>IFERROR(P252/Q252,0)</x:f>
        <x:v>30.55555555555556</x:v>
      </x:c>
      <x:c r="S252" s="105" t="n">
        <x:f>ROUND(E252*XLOOKUP(C252,'Reference Tables'!$E$4:$E$12,'Reference Tables'!$G$4:$G$12,1),1)</x:f>
        <x:v>5.2</x:v>
      </x:c>
      <x:c r="T252" s="106" t="str">
        <x:f>IF(R252&gt;='Inputs &amp; Guide'!$B$9,"HIGH",IF(R252&gt;=0.45,"WATCH","NORMAL"))</x:f>
        <x:v>HIGH</x:v>
      </x:c>
    </x:row>
    <x:row r="253">
      <x:c r="A253" s="95" t="n">
        <x:v>1993</x:v>
      </x:c>
      <x:c r="B253" s="96" t="n">
        <x:v>45375</x:v>
      </x:c>
      <x:c r="C253" s="97" t="str">
        <x:v>Wildfire</x:v>
      </x:c>
      <x:c r="D253" s="97" t="str">
        <x:v>Japan</x:v>
      </x:c>
      <x:c r="E253" s="98" t="n">
        <x:v>8.780604782815484</x:v>
      </x:c>
      <x:c r="F253" s="99" t="n">
        <x:v>620.8510734050168</x:v>
      </x:c>
      <x:c r="G253" s="100" t="str">
        <x:f>XLOOKUP(D253,'Reference Tables'!$A$4:$A$23,'Reference Tables'!$B$4:$B$23,"Other")</x:f>
        <x:v>Asia Pacific</x:v>
      </x:c>
      <x:c r="H253" s="100" t="str">
        <x:f>VLOOKUP(G253,'Reference Tables'!$I$4:$J$9,2,FALSE)</x:f>
        <x:v>High</x:v>
      </x:c>
      <x:c r="I253" s="101" t="n">
        <x:f>F253*'Inputs &amp; Guide'!$B$4*XLOOKUP(D253,'Reference Tables'!$A$4:$A$23,'Reference Tables'!$C$4:$C$23,0.75)</x:f>
        <x:v>117.21668265886716</x:v>
      </x:c>
      <x:c r="J253" s="102" t="n">
        <x:f>XLOOKUP(C253,'Reference Tables'!$E$4:$E$12,'Reference Tables'!$F$4:$F$12,0.05)</x:f>
        <x:v>0.1</x:v>
      </x:c>
      <x:c r="K253" s="103" t="n">
        <x:f>MIN(I253,F253*J253)</x:f>
        <x:v>62.08510734050168</x:v>
      </x:c>
      <x:c r="L253" s="103" t="n">
        <x:f>'Inputs &amp; Guide'!$B$5</x:f>
        <x:v>15</x:v>
      </x:c>
      <x:c r="M253" s="103" t="n">
        <x:f>I253*'Inputs &amp; Guide'!$B$6</x:f>
        <x:v>64.46917546237694</x:v>
      </x:c>
      <x:c r="N253" s="103" t="n">
        <x:f>MAX(0,MIN(K253-L253,M253))</x:f>
        <x:v>47.08510734050168</x:v>
      </x:c>
      <x:c r="O253" s="103" t="n">
        <x:f>MAX(0,N253-'Inputs &amp; Guide'!$B$7)</x:f>
        <x:v>0</x:v>
      </x:c>
      <x:c r="P253" s="103" t="n">
        <x:f>N253-O253</x:f>
        <x:v>47.08510734050168</x:v>
      </x:c>
      <x:c r="Q253" s="103" t="n">
        <x:f>I253*'Inputs &amp; Guide'!$B$8</x:f>
        <x:v>2.1099002878596087</x:v>
      </x:c>
      <x:c r="R253" s="104" t="n">
        <x:f>IFERROR(P253/Q253,0)</x:f>
        <x:v>22.31627134771721</x:v>
      </x:c>
      <x:c r="S253" s="105" t="n">
        <x:f>ROUND(E253*XLOOKUP(C253,'Reference Tables'!$E$4:$E$12,'Reference Tables'!$G$4:$G$12,1),1)</x:f>
        <x:v>10.1</x:v>
      </x:c>
      <x:c r="T253" s="106" t="str">
        <x:f>IF(R253&gt;='Inputs &amp; Guide'!$B$9,"HIGH",IF(R253&gt;=0.45,"WATCH","NORMAL"))</x:f>
        <x:v>HIGH</x:v>
      </x:c>
    </x:row>
    <x:row r="254">
      <x:c r="A254" s="95" t="n">
        <x:v>2001</x:v>
      </x:c>
      <x:c r="B254" s="96" t="n">
        <x:v>45375.104166666664</x:v>
      </x:c>
      <x:c r="C254" s="97" t="str">
        <x:v>Tornado</x:v>
      </x:c>
      <x:c r="D254" s="97" t="str">
        <x:v>Brazil</x:v>
      </x:c>
      <x:c r="E254" s="98" t="n">
        <x:v>1.5092157220622355</x:v>
      </x:c>
      <x:c r="F254" s="99" t="n">
        <x:v>377.8261135446486</x:v>
      </x:c>
      <x:c r="G254" s="100" t="str">
        <x:f>XLOOKUP(D254,'Reference Tables'!$A$4:$A$23,'Reference Tables'!$B$4:$B$23,"Other")</x:f>
        <x:v>Latin America</x:v>
      </x:c>
      <x:c r="H254" s="100" t="str">
        <x:f>VLOOKUP(G254,'Reference Tables'!$I$4:$J$9,2,FALSE)</x:f>
        <x:v>Moderate</x:v>
      </x:c>
      <x:c r="I254" s="101" t="n">
        <x:f>F254*'Inputs &amp; Guide'!$B$4*XLOOKUP(D254,'Reference Tables'!$A$4:$A$23,'Reference Tables'!$C$4:$C$23,0.75)</x:f>
        <x:v>49.5707860970579</x:v>
      </x:c>
      <x:c r="J254" s="102" t="n">
        <x:f>XLOOKUP(C254,'Reference Tables'!$E$4:$E$12,'Reference Tables'!$F$4:$F$12,0.05)</x:f>
        <x:v>0.09</x:v>
      </x:c>
      <x:c r="K254" s="103" t="n">
        <x:f>MIN(I254,F254*J254)</x:f>
        <x:v>34.00435021901837</x:v>
      </x:c>
      <x:c r="L254" s="103" t="n">
        <x:f>'Inputs &amp; Guide'!$B$5</x:f>
        <x:v>15</x:v>
      </x:c>
      <x:c r="M254" s="103" t="n">
        <x:f>I254*'Inputs &amp; Guide'!$B$6</x:f>
        <x:v>27.263932353381847</x:v>
      </x:c>
      <x:c r="N254" s="103" t="n">
        <x:f>MAX(0,MIN(K254-L254,M254))</x:f>
        <x:v>19.00435021901837</x:v>
      </x:c>
      <x:c r="O254" s="103" t="n">
        <x:f>MAX(0,N254-'Inputs &amp; Guide'!$B$7)</x:f>
        <x:v>0</x:v>
      </x:c>
      <x:c r="P254" s="103" t="n">
        <x:f>N254-O254</x:f>
        <x:v>19.00435021901837</x:v>
      </x:c>
      <x:c r="Q254" s="103" t="n">
        <x:f>I254*'Inputs &amp; Guide'!$B$8</x:f>
        <x:v>0.8922741497470421</x:v>
      </x:c>
      <x:c r="R254" s="104" t="n">
        <x:f>IFERROR(P254/Q254,0)</x:f>
        <x:v>21.298779331897112</x:v>
      </x:c>
      <x:c r="S254" s="105" t="n">
        <x:f>ROUND(E254*XLOOKUP(C254,'Reference Tables'!$E$4:$E$12,'Reference Tables'!$G$4:$G$12,1),1)</x:f>
        <x:v>1.6</x:v>
      </x:c>
      <x:c r="T254" s="106" t="str">
        <x:f>IF(R254&gt;='Inputs &amp; Guide'!$B$9,"HIGH",IF(R254&gt;=0.45,"WATCH","NORMAL"))</x:f>
        <x:v>HIGH</x:v>
      </x:c>
    </x:row>
    <x:row r="255">
      <x:c r="A255" s="95" t="n">
        <x:v>2009</x:v>
      </x:c>
      <x:c r="B255" s="96" t="n">
        <x:v>45375.4375</x:v>
      </x:c>
      <x:c r="C255" s="97" t="str">
        <x:v>Earthquake</x:v>
      </x:c>
      <x:c r="D255" s="97" t="str">
        <x:v>Japan</x:v>
      </x:c>
      <x:c r="E255" s="98" t="n">
        <x:v>1.2383525887715978</x:v>
      </x:c>
      <x:c r="F255" s="99" t="n">
        <x:v>113.14516536526956</x:v>
      </x:c>
      <x:c r="G255" s="100" t="str">
        <x:f>XLOOKUP(D255,'Reference Tables'!$A$4:$A$23,'Reference Tables'!$B$4:$B$23,"Other")</x:f>
        <x:v>Asia Pacific</x:v>
      </x:c>
      <x:c r="H255" s="100" t="str">
        <x:f>VLOOKUP(G255,'Reference Tables'!$I$4:$J$9,2,FALSE)</x:f>
        <x:v>High</x:v>
      </x:c>
      <x:c r="I255" s="101" t="n">
        <x:f>F255*'Inputs &amp; Guide'!$B$4*XLOOKUP(D255,'Reference Tables'!$A$4:$A$23,'Reference Tables'!$C$4:$C$23,0.75)</x:f>
        <x:v>21.361807220962895</x:v>
      </x:c>
      <x:c r="J255" s="102" t="n">
        <x:f>XLOOKUP(C255,'Reference Tables'!$E$4:$E$12,'Reference Tables'!$F$4:$F$12,0.05)</x:f>
        <x:v>0.14</x:v>
      </x:c>
      <x:c r="K255" s="103" t="n">
        <x:f>MIN(I255,F255*J255)</x:f>
        <x:v>15.84032315113774</x:v>
      </x:c>
      <x:c r="L255" s="103" t="n">
        <x:f>'Inputs &amp; Guide'!$B$5</x:f>
        <x:v>15</x:v>
      </x:c>
      <x:c r="M255" s="103" t="n">
        <x:f>I255*'Inputs &amp; Guide'!$B$6</x:f>
        <x:v>11.748993971529593</x:v>
      </x:c>
      <x:c r="N255" s="103" t="n">
        <x:f>MAX(0,MIN(K255-L255,M255))</x:f>
        <x:v>0.8403231511377403</x:v>
      </x:c>
      <x:c r="O255" s="103" t="n">
        <x:f>MAX(0,N255-'Inputs &amp; Guide'!$B$7)</x:f>
        <x:v>0</x:v>
      </x:c>
      <x:c r="P255" s="103" t="n">
        <x:f>N255-O255</x:f>
        <x:v>0.8403231511377403</x:v>
      </x:c>
      <x:c r="Q255" s="103" t="n">
        <x:f>I255*'Inputs &amp; Guide'!$B$8</x:f>
        <x:v>0.3845125299773321</x:v>
      </x:c>
      <x:c r="R255" s="104" t="n">
        <x:f>IFERROR(P255/Q255,0)</x:f>
        <x:v>2.185424623710648</x:v>
      </x:c>
      <x:c r="S255" s="105" t="n">
        <x:f>ROUND(E255*XLOOKUP(C255,'Reference Tables'!$E$4:$E$12,'Reference Tables'!$G$4:$G$12,1),1)</x:f>
        <x:v>1.9</x:v>
      </x:c>
      <x:c r="T255" s="106" t="str">
        <x:f>IF(R255&gt;='Inputs &amp; Guide'!$B$9,"HIGH",IF(R255&gt;=0.45,"WATCH","NORMAL"))</x:f>
        <x:v>HIGH</x:v>
      </x:c>
    </x:row>
    <x:row r="256">
      <x:c r="A256" s="95" t="n">
        <x:v>2017</x:v>
      </x:c>
      <x:c r="B256" s="96" t="n">
        <x:v>45376</x:v>
      </x:c>
      <x:c r="C256" s="97" t="str">
        <x:v>Earthquake</x:v>
      </x:c>
      <x:c r="D256" s="97" t="str">
        <x:v>Indonesia</x:v>
      </x:c>
      <x:c r="E256" s="98" t="n">
        <x:v>1.5019387368324524</x:v>
      </x:c>
      <x:c r="F256" s="99" t="n">
        <x:v>804.9626583554399</x:v>
      </x:c>
      <x:c r="G256" s="100" t="str">
        <x:f>XLOOKUP(D256,'Reference Tables'!$A$4:$A$23,'Reference Tables'!$B$4:$B$23,"Other")</x:f>
        <x:v>Asia Pacific</x:v>
      </x:c>
      <x:c r="H256" s="100" t="str">
        <x:f>VLOOKUP(G256,'Reference Tables'!$I$4:$J$9,2,FALSE)</x:f>
        <x:v>High</x:v>
      </x:c>
      <x:c r="I256" s="101" t="n">
        <x:f>F256*'Inputs &amp; Guide'!$B$4*XLOOKUP(D256,'Reference Tables'!$A$4:$A$23,'Reference Tables'!$C$4:$C$23,0.75)</x:f>
        <x:v>132.6578460969765</x:v>
      </x:c>
      <x:c r="J256" s="102" t="n">
        <x:f>XLOOKUP(C256,'Reference Tables'!$E$4:$E$12,'Reference Tables'!$F$4:$F$12,0.05)</x:f>
        <x:v>0.14</x:v>
      </x:c>
      <x:c r="K256" s="103" t="n">
        <x:f>MIN(I256,F256*J256)</x:f>
        <x:v>112.69477216976159</x:v>
      </x:c>
      <x:c r="L256" s="103" t="n">
        <x:f>'Inputs &amp; Guide'!$B$5</x:f>
        <x:v>15</x:v>
      </x:c>
      <x:c r="M256" s="103" t="n">
        <x:f>I256*'Inputs &amp; Guide'!$B$6</x:f>
        <x:v>72.96181535333709</x:v>
      </x:c>
      <x:c r="N256" s="103" t="n">
        <x:f>MAX(0,MIN(K256-L256,M256))</x:f>
        <x:v>72.96181535333709</x:v>
      </x:c>
      <x:c r="O256" s="103" t="n">
        <x:f>MAX(0,N256-'Inputs &amp; Guide'!$B$7)</x:f>
        <x:v>12.961815353337087</x:v>
      </x:c>
      <x:c r="P256" s="103" t="n">
        <x:f>N256-O256</x:f>
        <x:v>60</x:v>
      </x:c>
      <x:c r="Q256" s="103" t="n">
        <x:f>I256*'Inputs &amp; Guide'!$B$8</x:f>
        <x:v>2.3878412297455767</x:v>
      </x:c>
      <x:c r="R256" s="104" t="n">
        <x:f>IFERROR(P256/Q256,0)</x:f>
        <x:v>25.12729877203476</x:v>
      </x:c>
      <x:c r="S256" s="105" t="n">
        <x:f>ROUND(E256*XLOOKUP(C256,'Reference Tables'!$E$4:$E$12,'Reference Tables'!$G$4:$G$12,1),1)</x:f>
        <x:v>2.3</x:v>
      </x:c>
      <x:c r="T256" s="106" t="str">
        <x:f>IF(R256&gt;='Inputs &amp; Guide'!$B$9,"HIGH",IF(R256&gt;=0.45,"WATCH","NORMAL"))</x:f>
        <x:v>HIGH</x:v>
      </x:c>
    </x:row>
    <x:row r="257">
      <x:c r="A257" s="95" t="n">
        <x:v>2025</x:v>
      </x:c>
      <x:c r="B257" s="96" t="n">
        <x:v>45376.104166666664</x:v>
      </x:c>
      <x:c r="C257" s="97" t="str">
        <x:v>Earthquake</x:v>
      </x:c>
      <x:c r="D257" s="97" t="str">
        <x:v>India</x:v>
      </x:c>
      <x:c r="E257" s="98" t="n">
        <x:v>8.289061519326113</x:v>
      </x:c>
      <x:c r="F257" s="99" t="n">
        <x:v>444.6316744866525</x:v>
      </x:c>
      <x:c r="G257" s="100" t="str">
        <x:f>XLOOKUP(D257,'Reference Tables'!$A$4:$A$23,'Reference Tables'!$B$4:$B$23,"Other")</x:f>
        <x:v>Asia Pacific</x:v>
      </x:c>
      <x:c r="H257" s="100" t="str">
        <x:f>VLOOKUP(G257,'Reference Tables'!$I$4:$J$9,2,FALSE)</x:f>
        <x:v>High</x:v>
      </x:c>
      <x:c r="I257" s="101" t="n">
        <x:f>F257*'Inputs &amp; Guide'!$B$4*XLOOKUP(D257,'Reference Tables'!$A$4:$A$23,'Reference Tables'!$C$4:$C$23,0.75)</x:f>
        <x:v>64.7383718052566</x:v>
      </x:c>
      <x:c r="J257" s="102" t="n">
        <x:f>XLOOKUP(C257,'Reference Tables'!$E$4:$E$12,'Reference Tables'!$F$4:$F$12,0.05)</x:f>
        <x:v>0.14</x:v>
      </x:c>
      <x:c r="K257" s="103" t="n">
        <x:f>MIN(I257,F257*J257)</x:f>
        <x:v>62.24843442813136</x:v>
      </x:c>
      <x:c r="L257" s="103" t="n">
        <x:f>'Inputs &amp; Guide'!$B$5</x:f>
        <x:v>15</x:v>
      </x:c>
      <x:c r="M257" s="103" t="n">
        <x:f>I257*'Inputs &amp; Guide'!$B$6</x:f>
        <x:v>35.606104492891134</x:v>
      </x:c>
      <x:c r="N257" s="103" t="n">
        <x:f>MAX(0,MIN(K257-L257,M257))</x:f>
        <x:v>35.606104492891134</x:v>
      </x:c>
      <x:c r="O257" s="103" t="n">
        <x:f>MAX(0,N257-'Inputs &amp; Guide'!$B$7)</x:f>
        <x:v>0</x:v>
      </x:c>
      <x:c r="P257" s="103" t="n">
        <x:f>N257-O257</x:f>
        <x:v>35.606104492891134</x:v>
      </x:c>
      <x:c r="Q257" s="103" t="n">
        <x:f>I257*'Inputs &amp; Guide'!$B$8</x:f>
        <x:v>1.1652906924946187</x:v>
      </x:c>
      <x:c r="R257" s="104" t="n">
        <x:f>IFERROR(P257/Q257,0)</x:f>
        <x:v>30.55555555555556</x:v>
      </x:c>
      <x:c r="S257" s="105" t="n">
        <x:f>ROUND(E257*XLOOKUP(C257,'Reference Tables'!$E$4:$E$12,'Reference Tables'!$G$4:$G$12,1),1)</x:f>
        <x:v>12.4</x:v>
      </x:c>
      <x:c r="T257" s="106" t="str">
        <x:f>IF(R257&gt;='Inputs &amp; Guide'!$B$9,"HIGH",IF(R257&gt;=0.45,"WATCH","NORMAL"))</x:f>
        <x:v>HIGH</x:v>
      </x:c>
    </x:row>
    <x:row r="258">
      <x:c r="A258" s="95" t="n">
        <x:v>2033</x:v>
      </x:c>
      <x:c r="B258" s="96" t="n">
        <x:v>45376.4375</x:v>
      </x:c>
      <x:c r="C258" s="97" t="str">
        <x:v>Earthquake</x:v>
      </x:c>
      <x:c r="D258" s="97" t="str">
        <x:v>Japan</x:v>
      </x:c>
      <x:c r="E258" s="98" t="n">
        <x:v>1.9590758545742584</x:v>
      </x:c>
      <x:c r="F258" s="99" t="n">
        <x:v>966.7344426759713</x:v>
      </x:c>
      <x:c r="G258" s="100" t="str">
        <x:f>XLOOKUP(D258,'Reference Tables'!$A$4:$A$23,'Reference Tables'!$B$4:$B$23,"Other")</x:f>
        <x:v>Asia Pacific</x:v>
      </x:c>
      <x:c r="H258" s="100" t="str">
        <x:f>VLOOKUP(G258,'Reference Tables'!$I$4:$J$9,2,FALSE)</x:f>
        <x:v>High</x:v>
      </x:c>
      <x:c r="I258" s="101" t="n">
        <x:f>F258*'Inputs &amp; Guide'!$B$4*XLOOKUP(D258,'Reference Tables'!$A$4:$A$23,'Reference Tables'!$C$4:$C$23,0.75)</x:f>
        <x:v>182.5194627772234</x:v>
      </x:c>
      <x:c r="J258" s="102" t="n">
        <x:f>XLOOKUP(C258,'Reference Tables'!$E$4:$E$12,'Reference Tables'!$F$4:$F$12,0.05)</x:f>
        <x:v>0.14</x:v>
      </x:c>
      <x:c r="K258" s="103" t="n">
        <x:f>MIN(I258,F258*J258)</x:f>
        <x:v>135.342821974636</x:v>
      </x:c>
      <x:c r="L258" s="103" t="n">
        <x:f>'Inputs &amp; Guide'!$B$5</x:f>
        <x:v>15</x:v>
      </x:c>
      <x:c r="M258" s="103" t="n">
        <x:f>I258*'Inputs &amp; Guide'!$B$6</x:f>
        <x:v>100.38570452747288</x:v>
      </x:c>
      <x:c r="N258" s="103" t="n">
        <x:f>MAX(0,MIN(K258-L258,M258))</x:f>
        <x:v>100.38570452747288</x:v>
      </x:c>
      <x:c r="O258" s="103" t="n">
        <x:f>MAX(0,N258-'Inputs &amp; Guide'!$B$7)</x:f>
        <x:v>40.38570452747288</x:v>
      </x:c>
      <x:c r="P258" s="103" t="n">
        <x:f>N258-O258</x:f>
        <x:v>60</x:v>
      </x:c>
      <x:c r="Q258" s="103" t="n">
        <x:f>I258*'Inputs &amp; Guide'!$B$8</x:f>
        <x:v>3.285350329990021</x:v>
      </x:c>
      <x:c r="R258" s="104" t="n">
        <x:f>IFERROR(P258/Q258,0)</x:f>
        <x:v>18.26289252999763</x:v>
      </x:c>
      <x:c r="S258" s="105" t="n">
        <x:f>ROUND(E258*XLOOKUP(C258,'Reference Tables'!$E$4:$E$12,'Reference Tables'!$G$4:$G$12,1),1)</x:f>
        <x:v>2.9</x:v>
      </x:c>
      <x:c r="T258" s="106" t="str">
        <x:f>IF(R258&gt;='Inputs &amp; Guide'!$B$9,"HIGH",IF(R258&gt;=0.45,"WATCH","NORMAL"))</x:f>
        <x:v>HIGH</x:v>
      </x:c>
    </x:row>
    <x:row r="259">
      <x:c r="A259" s="95" t="n">
        <x:v>2041</x:v>
      </x:c>
      <x:c r="B259" s="96" t="n">
        <x:v>45377</x:v>
      </x:c>
      <x:c r="C259" s="97" t="str">
        <x:v>Flood</x:v>
      </x:c>
      <x:c r="D259" s="97" t="str">
        <x:v>India</x:v>
      </x:c>
      <x:c r="E259" s="98" t="n">
        <x:v>2.4463560316913515</x:v>
      </x:c>
      <x:c r="F259" s="99" t="n">
        <x:v>619.1022348874885</x:v>
      </x:c>
      <x:c r="G259" s="100" t="str">
        <x:f>XLOOKUP(D259,'Reference Tables'!$A$4:$A$23,'Reference Tables'!$B$4:$B$23,"Other")</x:f>
        <x:v>Asia Pacific</x:v>
      </x:c>
      <x:c r="H259" s="100" t="str">
        <x:f>VLOOKUP(G259,'Reference Tables'!$I$4:$J$9,2,FALSE)</x:f>
        <x:v>High</x:v>
      </x:c>
      <x:c r="I259" s="101" t="n">
        <x:f>F259*'Inputs &amp; Guide'!$B$4*XLOOKUP(D259,'Reference Tables'!$A$4:$A$23,'Reference Tables'!$C$4:$C$23,0.75)</x:f>
        <x:v>90.14128539961834</x:v>
      </x:c>
      <x:c r="J259" s="102" t="n">
        <x:f>XLOOKUP(C259,'Reference Tables'!$E$4:$E$12,'Reference Tables'!$F$4:$F$12,0.05)</x:f>
        <x:v>0.12</x:v>
      </x:c>
      <x:c r="K259" s="103" t="n">
        <x:f>MIN(I259,F259*J259)</x:f>
        <x:v>74.29226818649862</x:v>
      </x:c>
      <x:c r="L259" s="103" t="n">
        <x:f>'Inputs &amp; Guide'!$B$5</x:f>
        <x:v>15</x:v>
      </x:c>
      <x:c r="M259" s="103" t="n">
        <x:f>I259*'Inputs &amp; Guide'!$B$6</x:f>
        <x:v>49.57770696979009</x:v>
      </x:c>
      <x:c r="N259" s="103" t="n">
        <x:f>MAX(0,MIN(K259-L259,M259))</x:f>
        <x:v>49.57770696979009</x:v>
      </x:c>
      <x:c r="O259" s="103" t="n">
        <x:f>MAX(0,N259-'Inputs &amp; Guide'!$B$7)</x:f>
        <x:v>0</x:v>
      </x:c>
      <x:c r="P259" s="103" t="n">
        <x:f>N259-O259</x:f>
        <x:v>49.57770696979009</x:v>
      </x:c>
      <x:c r="Q259" s="103" t="n">
        <x:f>I259*'Inputs &amp; Guide'!$B$8</x:f>
        <x:v>1.62254313719313</x:v>
      </x:c>
      <x:c r="R259" s="104" t="n">
        <x:f>IFERROR(P259/Q259,0)</x:f>
        <x:v>30.55555555555556</x:v>
      </x:c>
      <x:c r="S259" s="105" t="n">
        <x:f>ROUND(E259*XLOOKUP(C259,'Reference Tables'!$E$4:$E$12,'Reference Tables'!$G$4:$G$12,1),1)</x:f>
        <x:v>3.1</x:v>
      </x:c>
      <x:c r="T259" s="106" t="str">
        <x:f>IF(R259&gt;='Inputs &amp; Guide'!$B$9,"HIGH",IF(R259&gt;=0.45,"WATCH","NORMAL"))</x:f>
        <x:v>HIGH</x:v>
      </x:c>
    </x:row>
    <x:row r="260">
      <x:c r="A260" s="95" t="n">
        <x:v>2049</x:v>
      </x:c>
      <x:c r="B260" s="96" t="n">
        <x:v>45377.104166666664</x:v>
      </x:c>
      <x:c r="C260" s="97" t="str">
        <x:v>Wildfire</x:v>
      </x:c>
      <x:c r="D260" s="97" t="str">
        <x:v>Brazil</x:v>
      </x:c>
      <x:c r="E260" s="98" t="n">
        <x:v>3.4724269359678193</x:v>
      </x:c>
      <x:c r="F260" s="99" t="n">
        <x:v>729.5040041222501</x:v>
      </x:c>
      <x:c r="G260" s="100" t="str">
        <x:f>XLOOKUP(D260,'Reference Tables'!$A$4:$A$23,'Reference Tables'!$B$4:$B$23,"Other")</x:f>
        <x:v>Latin America</x:v>
      </x:c>
      <x:c r="H260" s="100" t="str">
        <x:f>VLOOKUP(G260,'Reference Tables'!$I$4:$J$9,2,FALSE)</x:f>
        <x:v>Moderate</x:v>
      </x:c>
      <x:c r="I260" s="101" t="n">
        <x:f>F260*'Inputs &amp; Guide'!$B$4*XLOOKUP(D260,'Reference Tables'!$A$4:$A$23,'Reference Tables'!$C$4:$C$23,0.75)</x:f>
        <x:v>95.71092534083921</x:v>
      </x:c>
      <x:c r="J260" s="102" t="n">
        <x:f>XLOOKUP(C260,'Reference Tables'!$E$4:$E$12,'Reference Tables'!$F$4:$F$12,0.05)</x:f>
        <x:v>0.1</x:v>
      </x:c>
      <x:c r="K260" s="103" t="n">
        <x:f>MIN(I260,F260*J260)</x:f>
        <x:v>72.95040041222501</x:v>
      </x:c>
      <x:c r="L260" s="103" t="n">
        <x:f>'Inputs &amp; Guide'!$B$5</x:f>
        <x:v>15</x:v>
      </x:c>
      <x:c r="M260" s="103" t="n">
        <x:f>I260*'Inputs &amp; Guide'!$B$6</x:f>
        <x:v>52.64100893746157</x:v>
      </x:c>
      <x:c r="N260" s="103" t="n">
        <x:f>MAX(0,MIN(K260-L260,M260))</x:f>
        <x:v>52.64100893746157</x:v>
      </x:c>
      <x:c r="O260" s="103" t="n">
        <x:f>MAX(0,N260-'Inputs &amp; Guide'!$B$7)</x:f>
        <x:v>0</x:v>
      </x:c>
      <x:c r="P260" s="103" t="n">
        <x:f>N260-O260</x:f>
        <x:v>52.64100893746157</x:v>
      </x:c>
      <x:c r="Q260" s="103" t="n">
        <x:f>I260*'Inputs &amp; Guide'!$B$8</x:f>
        <x:v>1.7227966561351056</x:v>
      </x:c>
      <x:c r="R260" s="104" t="n">
        <x:f>IFERROR(P260/Q260,0)</x:f>
        <x:v>30.55555555555556</x:v>
      </x:c>
      <x:c r="S260" s="105" t="n">
        <x:f>ROUND(E260*XLOOKUP(C260,'Reference Tables'!$E$4:$E$12,'Reference Tables'!$G$4:$G$12,1),1)</x:f>
        <x:v>4</x:v>
      </x:c>
      <x:c r="T260" s="106" t="str">
        <x:f>IF(R260&gt;='Inputs &amp; Guide'!$B$9,"HIGH",IF(R260&gt;=0.45,"WATCH","NORMAL"))</x:f>
        <x:v>HIGH</x:v>
      </x:c>
    </x:row>
    <x:row r="261">
      <x:c r="A261" s="95" t="n">
        <x:v>2057</x:v>
      </x:c>
      <x:c r="B261" s="96" t="n">
        <x:v>45377.4375</x:v>
      </x:c>
      <x:c r="C261" s="97" t="str">
        <x:v>Earthquake</x:v>
      </x:c>
      <x:c r="D261" s="97" t="str">
        <x:v>USA</x:v>
      </x:c>
      <x:c r="E261" s="98" t="n">
        <x:v>4.939792518557781</x:v>
      </x:c>
      <x:c r="F261" s="99" t="n">
        <x:v>686.5500937505846</x:v>
      </x:c>
      <x:c r="G261" s="100" t="str">
        <x:f>XLOOKUP(D261,'Reference Tables'!$A$4:$A$23,'Reference Tables'!$B$4:$B$23,"Other")</x:f>
        <x:v>Other</x:v>
      </x:c>
      <x:c r="H261" s="100" t="str">
        <x:f>VLOOKUP(G261,'Reference Tables'!$I$4:$J$9,2,FALSE)</x:f>
        <x:v>Moderate</x:v>
      </x:c>
      <x:c r="I261" s="101" t="n">
        <x:f>F261*'Inputs &amp; Guide'!$B$4*XLOOKUP(D261,'Reference Tables'!$A$4:$A$23,'Reference Tables'!$C$4:$C$23,0.75)</x:f>
        <x:v>82.38601125007014</x:v>
      </x:c>
      <x:c r="J261" s="102" t="n">
        <x:f>XLOOKUP(C261,'Reference Tables'!$E$4:$E$12,'Reference Tables'!$F$4:$F$12,0.05)</x:f>
        <x:v>0.14</x:v>
      </x:c>
      <x:c r="K261" s="103" t="n">
        <x:f>MIN(I261,F261*J261)</x:f>
        <x:v>82.38601125007014</x:v>
      </x:c>
      <x:c r="L261" s="103" t="n">
        <x:f>'Inputs &amp; Guide'!$B$5</x:f>
        <x:v>15</x:v>
      </x:c>
      <x:c r="M261" s="103" t="n">
        <x:f>I261*'Inputs &amp; Guide'!$B$6</x:f>
        <x:v>45.31230618753858</x:v>
      </x:c>
      <x:c r="N261" s="103" t="n">
        <x:f>MAX(0,MIN(K261-L261,M261))</x:f>
        <x:v>45.31230618753858</x:v>
      </x:c>
      <x:c r="O261" s="103" t="n">
        <x:f>MAX(0,N261-'Inputs &amp; Guide'!$B$7)</x:f>
        <x:v>0</x:v>
      </x:c>
      <x:c r="P261" s="103" t="n">
        <x:f>N261-O261</x:f>
        <x:v>45.31230618753858</x:v>
      </x:c>
      <x:c r="Q261" s="103" t="n">
        <x:f>I261*'Inputs &amp; Guide'!$B$8</x:f>
        <x:v>1.4829482025012624</x:v>
      </x:c>
      <x:c r="R261" s="104" t="n">
        <x:f>IFERROR(P261/Q261,0)</x:f>
        <x:v>30.55555555555556</x:v>
      </x:c>
      <x:c r="S261" s="105" t="n">
        <x:f>ROUND(E261*XLOOKUP(C261,'Reference Tables'!$E$4:$E$12,'Reference Tables'!$G$4:$G$12,1),1)</x:f>
        <x:v>7.4</x:v>
      </x:c>
      <x:c r="T261" s="106" t="str">
        <x:f>IF(R261&gt;='Inputs &amp; Guide'!$B$9,"HIGH",IF(R261&gt;=0.45,"WATCH","NORMAL"))</x:f>
        <x:v>HIGH</x:v>
      </x:c>
    </x:row>
    <x:row r="262">
      <x:c r="A262" s="95" t="n">
        <x:v>2065</x:v>
      </x:c>
      <x:c r="B262" s="96" t="n">
        <x:v>45378</x:v>
      </x:c>
      <x:c r="C262" s="97" t="str">
        <x:v>Wildfire</x:v>
      </x:c>
      <x:c r="D262" s="97" t="str">
        <x:v>Japan</x:v>
      </x:c>
      <x:c r="E262" s="98" t="n">
        <x:v>4.319415407247645</x:v>
      </x:c>
      <x:c r="F262" s="99" t="n">
        <x:v>818.3449649921215</x:v>
      </x:c>
      <x:c r="G262" s="100" t="str">
        <x:f>XLOOKUP(D262,'Reference Tables'!$A$4:$A$23,'Reference Tables'!$B$4:$B$23,"Other")</x:f>
        <x:v>Asia Pacific</x:v>
      </x:c>
      <x:c r="H262" s="100" t="str">
        <x:f>VLOOKUP(G262,'Reference Tables'!$I$4:$J$9,2,FALSE)</x:f>
        <x:v>High</x:v>
      </x:c>
      <x:c r="I262" s="101" t="n">
        <x:f>F262*'Inputs &amp; Guide'!$B$4*XLOOKUP(D262,'Reference Tables'!$A$4:$A$23,'Reference Tables'!$C$4:$C$23,0.75)</x:f>
        <x:v>154.50352939051254</x:v>
      </x:c>
      <x:c r="J262" s="102" t="n">
        <x:f>XLOOKUP(C262,'Reference Tables'!$E$4:$E$12,'Reference Tables'!$F$4:$F$12,0.05)</x:f>
        <x:v>0.1</x:v>
      </x:c>
      <x:c r="K262" s="103" t="n">
        <x:f>MIN(I262,F262*J262)</x:f>
        <x:v>81.83449649921215</x:v>
      </x:c>
      <x:c r="L262" s="103" t="n">
        <x:f>'Inputs &amp; Guide'!$B$5</x:f>
        <x:v>15</x:v>
      </x:c>
      <x:c r="M262" s="103" t="n">
        <x:f>I262*'Inputs &amp; Guide'!$B$6</x:f>
        <x:v>84.9769411647819</x:v>
      </x:c>
      <x:c r="N262" s="103" t="n">
        <x:f>MAX(0,MIN(K262-L262,M262))</x:f>
        <x:v>66.83449649921215</x:v>
      </x:c>
      <x:c r="O262" s="103" t="n">
        <x:f>MAX(0,N262-'Inputs &amp; Guide'!$B$7)</x:f>
        <x:v>6.83449649921215</x:v>
      </x:c>
      <x:c r="P262" s="103" t="n">
        <x:f>N262-O262</x:f>
        <x:v>60</x:v>
      </x:c>
      <x:c r="Q262" s="103" t="n">
        <x:f>I262*'Inputs &amp; Guide'!$B$8</x:f>
        <x:v>2.7810635290292254</x:v>
      </x:c>
      <x:c r="R262" s="104" t="n">
        <x:f>IFERROR(P262/Q262,0)</x:f>
        <x:v>21.574480184903923</x:v>
      </x:c>
      <x:c r="S262" s="105" t="n">
        <x:f>ROUND(E262*XLOOKUP(C262,'Reference Tables'!$E$4:$E$12,'Reference Tables'!$G$4:$G$12,1),1)</x:f>
        <x:v>5</x:v>
      </x:c>
      <x:c r="T262" s="106" t="str">
        <x:f>IF(R262&gt;='Inputs &amp; Guide'!$B$9,"HIGH",IF(R262&gt;=0.45,"WATCH","NORMAL"))</x:f>
        <x:v>HIGH</x:v>
      </x:c>
    </x:row>
    <x:row r="263">
      <x:c r="A263" s="95" t="n">
        <x:v>2073</x:v>
      </x:c>
      <x:c r="B263" s="96" t="n">
        <x:v>45378.104166666664</x:v>
      </x:c>
      <x:c r="C263" s="97" t="str">
        <x:v>Wildfire</x:v>
      </x:c>
      <x:c r="D263" s="97" t="str">
        <x:v>India</x:v>
      </x:c>
      <x:c r="E263" s="98" t="n">
        <x:v>6.525499696031804</x:v>
      </x:c>
      <x:c r="F263" s="99" t="n">
        <x:v>961.6098418452918</x:v>
      </x:c>
      <x:c r="G263" s="100" t="str">
        <x:f>XLOOKUP(D263,'Reference Tables'!$A$4:$A$23,'Reference Tables'!$B$4:$B$23,"Other")</x:f>
        <x:v>Asia Pacific</x:v>
      </x:c>
      <x:c r="H263" s="100" t="str">
        <x:f>VLOOKUP(G263,'Reference Tables'!$I$4:$J$9,2,FALSE)</x:f>
        <x:v>High</x:v>
      </x:c>
      <x:c r="I263" s="101" t="n">
        <x:f>F263*'Inputs &amp; Guide'!$B$4*XLOOKUP(D263,'Reference Tables'!$A$4:$A$23,'Reference Tables'!$C$4:$C$23,0.75)</x:f>
        <x:v>140.0103929726745</x:v>
      </x:c>
      <x:c r="J263" s="102" t="n">
        <x:f>XLOOKUP(C263,'Reference Tables'!$E$4:$E$12,'Reference Tables'!$F$4:$F$12,0.05)</x:f>
        <x:v>0.1</x:v>
      </x:c>
      <x:c r="K263" s="103" t="n">
        <x:f>MIN(I263,F263*J263)</x:f>
        <x:v>96.16098418452918</x:v>
      </x:c>
      <x:c r="L263" s="103" t="n">
        <x:f>'Inputs &amp; Guide'!$B$5</x:f>
        <x:v>15</x:v>
      </x:c>
      <x:c r="M263" s="103" t="n">
        <x:f>I263*'Inputs &amp; Guide'!$B$6</x:f>
        <x:v>77.00571613497098</x:v>
      </x:c>
      <x:c r="N263" s="103" t="n">
        <x:f>MAX(0,MIN(K263-L263,M263))</x:f>
        <x:v>77.00571613497098</x:v>
      </x:c>
      <x:c r="O263" s="103" t="n">
        <x:f>MAX(0,N263-'Inputs &amp; Guide'!$B$7)</x:f>
        <x:v>17.00571613497098</x:v>
      </x:c>
      <x:c r="P263" s="103" t="n">
        <x:f>N263-O263</x:f>
        <x:v>60</x:v>
      </x:c>
      <x:c r="Q263" s="103" t="n">
        <x:f>I263*'Inputs &amp; Guide'!$B$8</x:f>
        <x:v>2.520187073508141</x:v>
      </x:c>
      <x:c r="R263" s="104" t="n">
        <x:f>IFERROR(P263/Q263,0)</x:f>
        <x:v>23.80775642836666</x:v>
      </x:c>
      <x:c r="S263" s="105" t="n">
        <x:f>ROUND(E263*XLOOKUP(C263,'Reference Tables'!$E$4:$E$12,'Reference Tables'!$G$4:$G$12,1),1)</x:f>
        <x:v>7.5</x:v>
      </x:c>
      <x:c r="T263" s="106" t="str">
        <x:f>IF(R263&gt;='Inputs &amp; Guide'!$B$9,"HIGH",IF(R263&gt;=0.45,"WATCH","NORMAL"))</x:f>
        <x:v>HIGH</x:v>
      </x:c>
    </x:row>
    <x:row r="264">
      <x:c r="A264" s="95" t="n">
        <x:v>2081</x:v>
      </x:c>
      <x:c r="B264" s="96" t="n">
        <x:v>45378.4375</x:v>
      </x:c>
      <x:c r="C264" s="97" t="str">
        <x:v>Earthquake</x:v>
      </x:c>
      <x:c r="D264" s="97" t="str">
        <x:v>Indonesia</x:v>
      </x:c>
      <x:c r="E264" s="98" t="n">
        <x:v>9.719919364072975</x:v>
      </x:c>
      <x:c r="F264" s="99" t="n">
        <x:v>821.1791471504076</x:v>
      </x:c>
      <x:c r="G264" s="100" t="str">
        <x:f>XLOOKUP(D264,'Reference Tables'!$A$4:$A$23,'Reference Tables'!$B$4:$B$23,"Other")</x:f>
        <x:v>Asia Pacific</x:v>
      </x:c>
      <x:c r="H264" s="100" t="str">
        <x:f>VLOOKUP(G264,'Reference Tables'!$I$4:$J$9,2,FALSE)</x:f>
        <x:v>High</x:v>
      </x:c>
      <x:c r="I264" s="101" t="n">
        <x:f>F264*'Inputs &amp; Guide'!$B$4*XLOOKUP(D264,'Reference Tables'!$A$4:$A$23,'Reference Tables'!$C$4:$C$23,0.75)</x:f>
        <x:v>135.3303234503872</x:v>
      </x:c>
      <x:c r="J264" s="102" t="n">
        <x:f>XLOOKUP(C264,'Reference Tables'!$E$4:$E$12,'Reference Tables'!$F$4:$F$12,0.05)</x:f>
        <x:v>0.14</x:v>
      </x:c>
      <x:c r="K264" s="103" t="n">
        <x:f>MIN(I264,F264*J264)</x:f>
        <x:v>114.96508060105708</x:v>
      </x:c>
      <x:c r="L264" s="103" t="n">
        <x:f>'Inputs &amp; Guide'!$B$5</x:f>
        <x:v>15</x:v>
      </x:c>
      <x:c r="M264" s="103" t="n">
        <x:f>I264*'Inputs &amp; Guide'!$B$6</x:f>
        <x:v>74.43167789771296</x:v>
      </x:c>
      <x:c r="N264" s="103" t="n">
        <x:f>MAX(0,MIN(K264-L264,M264))</x:f>
        <x:v>74.43167789771296</x:v>
      </x:c>
      <x:c r="O264" s="103" t="n">
        <x:f>MAX(0,N264-'Inputs &amp; Guide'!$B$7)</x:f>
        <x:v>14.431677897712959</x:v>
      </x:c>
      <x:c r="P264" s="103" t="n">
        <x:f>N264-O264</x:f>
        <x:v>60</x:v>
      </x:c>
      <x:c r="Q264" s="103" t="n">
        <x:f>I264*'Inputs &amp; Guide'!$B$8</x:f>
        <x:v>2.4359458221069694</x:v>
      </x:c>
      <x:c r="R264" s="104" t="n">
        <x:f>IFERROR(P264/Q264,0)</x:f>
        <x:v>24.631089680025415</x:v>
      </x:c>
      <x:c r="S264" s="105" t="n">
        <x:f>ROUND(E264*XLOOKUP(C264,'Reference Tables'!$E$4:$E$12,'Reference Tables'!$G$4:$G$12,1),1)</x:f>
        <x:v>14.6</x:v>
      </x:c>
      <x:c r="T264" s="106" t="str">
        <x:f>IF(R264&gt;='Inputs &amp; Guide'!$B$9,"HIGH",IF(R264&gt;=0.45,"WATCH","NORMAL"))</x:f>
        <x:v>HIGH</x:v>
      </x:c>
    </x:row>
    <x:row r="265">
      <x:c r="A265" s="95" t="n">
        <x:v>2089</x:v>
      </x:c>
      <x:c r="B265" s="96" t="n">
        <x:v>45379</x:v>
      </x:c>
      <x:c r="C265" s="97" t="str">
        <x:v>Tornado</x:v>
      </x:c>
      <x:c r="D265" s="97" t="str">
        <x:v>Brazil</x:v>
      </x:c>
      <x:c r="E265" s="98" t="n">
        <x:v>2.914500816504811</x:v>
      </x:c>
      <x:c r="F265" s="99" t="n">
        <x:v>154.098197000965</x:v>
      </x:c>
      <x:c r="G265" s="100" t="str">
        <x:f>XLOOKUP(D265,'Reference Tables'!$A$4:$A$23,'Reference Tables'!$B$4:$B$23,"Other")</x:f>
        <x:v>Latin America</x:v>
      </x:c>
      <x:c r="H265" s="100" t="str">
        <x:f>VLOOKUP(G265,'Reference Tables'!$I$4:$J$9,2,FALSE)</x:f>
        <x:v>Moderate</x:v>
      </x:c>
      <x:c r="I265" s="101" t="n">
        <x:f>F265*'Inputs &amp; Guide'!$B$4*XLOOKUP(D265,'Reference Tables'!$A$4:$A$23,'Reference Tables'!$C$4:$C$23,0.75)</x:f>
        <x:v>20.217683446526607</x:v>
      </x:c>
      <x:c r="J265" s="102" t="n">
        <x:f>XLOOKUP(C265,'Reference Tables'!$E$4:$E$12,'Reference Tables'!$F$4:$F$12,0.05)</x:f>
        <x:v>0.09</x:v>
      </x:c>
      <x:c r="K265" s="103" t="n">
        <x:f>MIN(I265,F265*J265)</x:f>
        <x:v>13.868837730086849</x:v>
      </x:c>
      <x:c r="L265" s="103" t="n">
        <x:f>'Inputs &amp; Guide'!$B$5</x:f>
        <x:v>15</x:v>
      </x:c>
      <x:c r="M265" s="103" t="n">
        <x:f>I265*'Inputs &amp; Guide'!$B$6</x:f>
        <x:v>11.119725895589635</x:v>
      </x:c>
      <x:c r="N265" s="103" t="n">
        <x:f>MAX(0,MIN(K265-L265,M265))</x:f>
        <x:v>0</x:v>
      </x:c>
      <x:c r="O265" s="103" t="n">
        <x:f>MAX(0,N265-'Inputs &amp; Guide'!$B$7)</x:f>
        <x:v>0</x:v>
      </x:c>
      <x:c r="P265" s="103" t="n">
        <x:f>N265-O265</x:f>
        <x:v>0</x:v>
      </x:c>
      <x:c r="Q265" s="103" t="n">
        <x:f>I265*'Inputs &amp; Guide'!$B$8</x:f>
        <x:v>0.3639183020374789</x:v>
      </x:c>
      <x:c r="R265" s="104" t="n">
        <x:f>IFERROR(P265/Q265,0)</x:f>
        <x:v>0</x:v>
      </x:c>
      <x:c r="S265" s="105" t="n">
        <x:f>ROUND(E265*XLOOKUP(C265,'Reference Tables'!$E$4:$E$12,'Reference Tables'!$G$4:$G$12,1),1)</x:f>
        <x:v>3.1</x:v>
      </x:c>
      <x:c r="T265" s="106" t="str">
        <x:f>IF(R265&gt;='Inputs &amp; Guide'!$B$9,"HIGH",IF(R265&gt;=0.45,"WATCH","NORMAL"))</x:f>
        <x:v>NORMAL</x:v>
      </x:c>
    </x:row>
    <x:row r="266">
      <x:c r="A266" s="95" t="n">
        <x:v>2097</x:v>
      </x:c>
      <x:c r="B266" s="96" t="n">
        <x:v>45379.104166666664</x:v>
      </x:c>
      <x:c r="C266" s="97" t="str">
        <x:v>Wildfire</x:v>
      </x:c>
      <x:c r="D266" s="97" t="str">
        <x:v>China</x:v>
      </x:c>
      <x:c r="E266" s="98" t="n">
        <x:v>8.562057060662958</x:v>
      </x:c>
      <x:c r="F266" s="99" t="n">
        <x:v>133.8224909740191</x:v>
      </x:c>
      <x:c r="G266" s="100" t="str">
        <x:f>XLOOKUP(D266,'Reference Tables'!$A$4:$A$23,'Reference Tables'!$B$4:$B$23,"Other")</x:f>
        <x:v>Asia Pacific</x:v>
      </x:c>
      <x:c r="H266" s="100" t="str">
        <x:f>VLOOKUP(G266,'Reference Tables'!$I$4:$J$9,2,FALSE)</x:f>
        <x:v>High</x:v>
      </x:c>
      <x:c r="I266" s="101" t="n">
        <x:f>F266*'Inputs &amp; Guide'!$B$4*XLOOKUP(D266,'Reference Tables'!$A$4:$A$23,'Reference Tables'!$C$4:$C$23,0.75)</x:f>
        <x:v>23.124526440310504</x:v>
      </x:c>
      <x:c r="J266" s="102" t="n">
        <x:f>XLOOKUP(C266,'Reference Tables'!$E$4:$E$12,'Reference Tables'!$F$4:$F$12,0.05)</x:f>
        <x:v>0.1</x:v>
      </x:c>
      <x:c r="K266" s="103" t="n">
        <x:f>MIN(I266,F266*J266)</x:f>
        <x:v>13.38224909740191</x:v>
      </x:c>
      <x:c r="L266" s="103" t="n">
        <x:f>'Inputs &amp; Guide'!$B$5</x:f>
        <x:v>15</x:v>
      </x:c>
      <x:c r="M266" s="103" t="n">
        <x:f>I266*'Inputs &amp; Guide'!$B$6</x:f>
        <x:v>12.718489542170778</x:v>
      </x:c>
      <x:c r="N266" s="103" t="n">
        <x:f>MAX(0,MIN(K266-L266,M266))</x:f>
        <x:v>0</x:v>
      </x:c>
      <x:c r="O266" s="103" t="n">
        <x:f>MAX(0,N266-'Inputs &amp; Guide'!$B$7)</x:f>
        <x:v>0</x:v>
      </x:c>
      <x:c r="P266" s="103" t="n">
        <x:f>N266-O266</x:f>
        <x:v>0</x:v>
      </x:c>
      <x:c r="Q266" s="103" t="n">
        <x:f>I266*'Inputs &amp; Guide'!$B$8</x:f>
        <x:v>0.416241475925589</x:v>
      </x:c>
      <x:c r="R266" s="104" t="n">
        <x:f>IFERROR(P266/Q266,0)</x:f>
        <x:v>0</x:v>
      </x:c>
      <x:c r="S266" s="105" t="n">
        <x:f>ROUND(E266*XLOOKUP(C266,'Reference Tables'!$E$4:$E$12,'Reference Tables'!$G$4:$G$12,1),1)</x:f>
        <x:v>9.8</x:v>
      </x:c>
      <x:c r="T266" s="106" t="str">
        <x:f>IF(R266&gt;='Inputs &amp; Guide'!$B$9,"HIGH",IF(R266&gt;=0.45,"WATCH","NORMAL"))</x:f>
        <x:v>NORMAL</x:v>
      </x:c>
    </x:row>
    <x:row r="267">
      <x:c r="A267" s="95" t="n">
        <x:v>2105</x:v>
      </x:c>
      <x:c r="B267" s="96" t="n">
        <x:v>45379.4375</x:v>
      </x:c>
      <x:c r="C267" s="97" t="str">
        <x:v>Hurricane</x:v>
      </x:c>
      <x:c r="D267" s="97" t="str">
        <x:v>Japan</x:v>
      </x:c>
      <x:c r="E267" s="98" t="n">
        <x:v>8.351183026541278</x:v>
      </x:c>
      <x:c r="F267" s="99" t="n">
        <x:v>72.9853766761566</x:v>
      </x:c>
      <x:c r="G267" s="100" t="str">
        <x:f>XLOOKUP(D267,'Reference Tables'!$A$4:$A$23,'Reference Tables'!$B$4:$B$23,"Other")</x:f>
        <x:v>Asia Pacific</x:v>
      </x:c>
      <x:c r="H267" s="100" t="str">
        <x:f>VLOOKUP(G267,'Reference Tables'!$I$4:$J$9,2,FALSE)</x:f>
        <x:v>High</x:v>
      </x:c>
      <x:c r="I267" s="101" t="n">
        <x:f>F267*'Inputs &amp; Guide'!$B$4*XLOOKUP(D267,'Reference Tables'!$A$4:$A$23,'Reference Tables'!$C$4:$C$23,0.75)</x:f>
        <x:v>13.779639116458368</x:v>
      </x:c>
      <x:c r="J267" s="102" t="n">
        <x:f>XLOOKUP(C267,'Reference Tables'!$E$4:$E$12,'Reference Tables'!$F$4:$F$12,0.05)</x:f>
        <x:v>0.18</x:v>
      </x:c>
      <x:c r="K267" s="103" t="n">
        <x:f>MIN(I267,F267*J267)</x:f>
        <x:v>13.137367801708189</x:v>
      </x:c>
      <x:c r="L267" s="103" t="n">
        <x:f>'Inputs &amp; Guide'!$B$5</x:f>
        <x:v>15</x:v>
      </x:c>
      <x:c r="M267" s="103" t="n">
        <x:f>I267*'Inputs &amp; Guide'!$B$6</x:f>
        <x:v>7.578801514052103</x:v>
      </x:c>
      <x:c r="N267" s="103" t="n">
        <x:f>MAX(0,MIN(K267-L267,M267))</x:f>
        <x:v>0</x:v>
      </x:c>
      <x:c r="O267" s="103" t="n">
        <x:f>MAX(0,N267-'Inputs &amp; Guide'!$B$7)</x:f>
        <x:v>0</x:v>
      </x:c>
      <x:c r="P267" s="103" t="n">
        <x:f>N267-O267</x:f>
        <x:v>0</x:v>
      </x:c>
      <x:c r="Q267" s="103" t="n">
        <x:f>I267*'Inputs &amp; Guide'!$B$8</x:f>
        <x:v>0.2480335040962506</x:v>
      </x:c>
      <x:c r="R267" s="104" t="n">
        <x:f>IFERROR(P267/Q267,0)</x:f>
        <x:v>0</x:v>
      </x:c>
      <x:c r="S267" s="105" t="n">
        <x:f>ROUND(E267*XLOOKUP(C267,'Reference Tables'!$E$4:$E$12,'Reference Tables'!$G$4:$G$12,1),1)</x:f>
        <x:v>11.7</x:v>
      </x:c>
      <x:c r="T267" s="106" t="str">
        <x:f>IF(R267&gt;='Inputs &amp; Guide'!$B$9,"HIGH",IF(R267&gt;=0.45,"WATCH","NORMAL"))</x:f>
        <x:v>NORMAL</x:v>
      </x:c>
    </x:row>
    <x:row r="268">
      <x:c r="A268" s="95" t="n">
        <x:v>2113</x:v>
      </x:c>
      <x:c r="B268" s="96" t="n">
        <x:v>45380</x:v>
      </x:c>
      <x:c r="C268" s="97" t="str">
        <x:v>Flood</x:v>
      </x:c>
      <x:c r="D268" s="97" t="str">
        <x:v>India</x:v>
      </x:c>
      <x:c r="E268" s="98" t="n">
        <x:v>4.81390386100907</x:v>
      </x:c>
      <x:c r="F268" s="99" t="n">
        <x:v>582.9374149531485</x:v>
      </x:c>
      <x:c r="G268" s="100" t="str">
        <x:f>XLOOKUP(D268,'Reference Tables'!$A$4:$A$23,'Reference Tables'!$B$4:$B$23,"Other")</x:f>
        <x:v>Asia Pacific</x:v>
      </x:c>
      <x:c r="H268" s="100" t="str">
        <x:f>VLOOKUP(G268,'Reference Tables'!$I$4:$J$9,2,FALSE)</x:f>
        <x:v>High</x:v>
      </x:c>
      <x:c r="I268" s="101" t="n">
        <x:f>F268*'Inputs &amp; Guide'!$B$4*XLOOKUP(D268,'Reference Tables'!$A$4:$A$23,'Reference Tables'!$C$4:$C$23,0.75)</x:f>
        <x:v>84.87568761717843</x:v>
      </x:c>
      <x:c r="J268" s="102" t="n">
        <x:f>XLOOKUP(C268,'Reference Tables'!$E$4:$E$12,'Reference Tables'!$F$4:$F$12,0.05)</x:f>
        <x:v>0.12</x:v>
      </x:c>
      <x:c r="K268" s="103" t="n">
        <x:f>MIN(I268,F268*J268)</x:f>
        <x:v>69.95248979437781</x:v>
      </x:c>
      <x:c r="L268" s="103" t="n">
        <x:f>'Inputs &amp; Guide'!$B$5</x:f>
        <x:v>15</x:v>
      </x:c>
      <x:c r="M268" s="103" t="n">
        <x:f>I268*'Inputs &amp; Guide'!$B$6</x:f>
        <x:v>46.68162818944814</x:v>
      </x:c>
      <x:c r="N268" s="103" t="n">
        <x:f>MAX(0,MIN(K268-L268,M268))</x:f>
        <x:v>46.68162818944814</x:v>
      </x:c>
      <x:c r="O268" s="103" t="n">
        <x:f>MAX(0,N268-'Inputs &amp; Guide'!$B$7)</x:f>
        <x:v>0</x:v>
      </x:c>
      <x:c r="P268" s="103" t="n">
        <x:f>N268-O268</x:f>
        <x:v>46.68162818944814</x:v>
      </x:c>
      <x:c r="Q268" s="103" t="n">
        <x:f>I268*'Inputs &amp; Guide'!$B$8</x:f>
        <x:v>1.5277623771092117</x:v>
      </x:c>
      <x:c r="R268" s="104" t="n">
        <x:f>IFERROR(P268/Q268,0)</x:f>
        <x:v>30.55555555555556</x:v>
      </x:c>
      <x:c r="S268" s="105" t="n">
        <x:f>ROUND(E268*XLOOKUP(C268,'Reference Tables'!$E$4:$E$12,'Reference Tables'!$G$4:$G$12,1),1)</x:f>
        <x:v>6</x:v>
      </x:c>
      <x:c r="T268" s="106" t="str">
        <x:f>IF(R268&gt;='Inputs &amp; Guide'!$B$9,"HIGH",IF(R268&gt;=0.45,"WATCH","NORMAL"))</x:f>
        <x:v>HIGH</x:v>
      </x:c>
    </x:row>
    <x:row r="269">
      <x:c r="A269" s="95" t="n">
        <x:v>2121</x:v>
      </x:c>
      <x:c r="B269" s="96" t="n">
        <x:v>45380.104166666664</x:v>
      </x:c>
      <x:c r="C269" s="97" t="str">
        <x:v>Flood</x:v>
      </x:c>
      <x:c r="D269" s="97" t="str">
        <x:v>Indonesia</x:v>
      </x:c>
      <x:c r="E269" s="98" t="n">
        <x:v>6.836346521508634</x:v>
      </x:c>
      <x:c r="F269" s="99" t="n">
        <x:v>75.34860968526324</x:v>
      </x:c>
      <x:c r="G269" s="100" t="str">
        <x:f>XLOOKUP(D269,'Reference Tables'!$A$4:$A$23,'Reference Tables'!$B$4:$B$23,"Other")</x:f>
        <x:v>Asia Pacific</x:v>
      </x:c>
      <x:c r="H269" s="100" t="str">
        <x:f>VLOOKUP(G269,'Reference Tables'!$I$4:$J$9,2,FALSE)</x:f>
        <x:v>High</x:v>
      </x:c>
      <x:c r="I269" s="101" t="n">
        <x:f>F269*'Inputs &amp; Guide'!$B$4*XLOOKUP(D269,'Reference Tables'!$A$4:$A$23,'Reference Tables'!$C$4:$C$23,0.75)</x:f>
        <x:v>12.417450876131383</x:v>
      </x:c>
      <x:c r="J269" s="102" t="n">
        <x:f>XLOOKUP(C269,'Reference Tables'!$E$4:$E$12,'Reference Tables'!$F$4:$F$12,0.05)</x:f>
        <x:v>0.12</x:v>
      </x:c>
      <x:c r="K269" s="103" t="n">
        <x:f>MIN(I269,F269*J269)</x:f>
        <x:v>9.041833162231589</x:v>
      </x:c>
      <x:c r="L269" s="103" t="n">
        <x:f>'Inputs &amp; Guide'!$B$5</x:f>
        <x:v>15</x:v>
      </x:c>
      <x:c r="M269" s="103" t="n">
        <x:f>I269*'Inputs &amp; Guide'!$B$6</x:f>
        <x:v>6.829597981872261</x:v>
      </x:c>
      <x:c r="N269" s="103" t="n">
        <x:f>MAX(0,MIN(K269-L269,M269))</x:f>
        <x:v>0</x:v>
      </x:c>
      <x:c r="O269" s="103" t="n">
        <x:f>MAX(0,N269-'Inputs &amp; Guide'!$B$7)</x:f>
        <x:v>0</x:v>
      </x:c>
      <x:c r="P269" s="103" t="n">
        <x:f>N269-O269</x:f>
        <x:v>0</x:v>
      </x:c>
      <x:c r="Q269" s="103" t="n">
        <x:f>I269*'Inputs &amp; Guide'!$B$8</x:f>
        <x:v>0.22351411577036487</x:v>
      </x:c>
      <x:c r="R269" s="104" t="n">
        <x:f>IFERROR(P269/Q269,0)</x:f>
        <x:v>0</x:v>
      </x:c>
      <x:c r="S269" s="105" t="n">
        <x:f>ROUND(E269*XLOOKUP(C269,'Reference Tables'!$E$4:$E$12,'Reference Tables'!$G$4:$G$12,1),1)</x:f>
        <x:v>8.5</x:v>
      </x:c>
      <x:c r="T269" s="106" t="str">
        <x:f>IF(R269&gt;='Inputs &amp; Guide'!$B$9,"HIGH",IF(R269&gt;=0.45,"WATCH","NORMAL"))</x:f>
        <x:v>NORMAL</x:v>
      </x:c>
    </x:row>
    <x:row r="270">
      <x:c r="A270" s="95" t="n">
        <x:v>2129</x:v>
      </x:c>
      <x:c r="B270" s="96" t="n">
        <x:v>45380.4375</x:v>
      </x:c>
      <x:c r="C270" s="97" t="str">
        <x:v>Wildfire</x:v>
      </x:c>
      <x:c r="D270" s="97" t="str">
        <x:v>USA</x:v>
      </x:c>
      <x:c r="E270" s="98" t="n">
        <x:v>8.838729116543112</x:v>
      </x:c>
      <x:c r="F270" s="99" t="n">
        <x:v>702.6076778964762</x:v>
      </x:c>
      <x:c r="G270" s="100" t="str">
        <x:f>XLOOKUP(D270,'Reference Tables'!$A$4:$A$23,'Reference Tables'!$B$4:$B$23,"Other")</x:f>
        <x:v>Other</x:v>
      </x:c>
      <x:c r="H270" s="100" t="str">
        <x:f>VLOOKUP(G270,'Reference Tables'!$I$4:$J$9,2,FALSE)</x:f>
        <x:v>Moderate</x:v>
      </x:c>
      <x:c r="I270" s="101" t="n">
        <x:f>F270*'Inputs &amp; Guide'!$B$4*XLOOKUP(D270,'Reference Tables'!$A$4:$A$23,'Reference Tables'!$C$4:$C$23,0.75)</x:f>
        <x:v>84.31292134757715</x:v>
      </x:c>
      <x:c r="J270" s="102" t="n">
        <x:f>XLOOKUP(C270,'Reference Tables'!$E$4:$E$12,'Reference Tables'!$F$4:$F$12,0.05)</x:f>
        <x:v>0.1</x:v>
      </x:c>
      <x:c r="K270" s="103" t="n">
        <x:f>MIN(I270,F270*J270)</x:f>
        <x:v>70.26076778964762</x:v>
      </x:c>
      <x:c r="L270" s="103" t="n">
        <x:f>'Inputs &amp; Guide'!$B$5</x:f>
        <x:v>15</x:v>
      </x:c>
      <x:c r="M270" s="103" t="n">
        <x:f>I270*'Inputs &amp; Guide'!$B$6</x:f>
        <x:v>46.372106741167435</x:v>
      </x:c>
      <x:c r="N270" s="103" t="n">
        <x:f>MAX(0,MIN(K270-L270,M270))</x:f>
        <x:v>46.372106741167435</x:v>
      </x:c>
      <x:c r="O270" s="103" t="n">
        <x:f>MAX(0,N270-'Inputs &amp; Guide'!$B$7)</x:f>
        <x:v>0</x:v>
      </x:c>
      <x:c r="P270" s="103" t="n">
        <x:f>N270-O270</x:f>
        <x:v>46.372106741167435</x:v>
      </x:c>
      <x:c r="Q270" s="103" t="n">
        <x:f>I270*'Inputs &amp; Guide'!$B$8</x:f>
        <x:v>1.5176325842563885</x:v>
      </x:c>
      <x:c r="R270" s="104" t="n">
        <x:f>IFERROR(P270/Q270,0)</x:f>
        <x:v>30.55555555555556</x:v>
      </x:c>
      <x:c r="S270" s="105" t="n">
        <x:f>ROUND(E270*XLOOKUP(C270,'Reference Tables'!$E$4:$E$12,'Reference Tables'!$G$4:$G$12,1),1)</x:f>
        <x:v>10.2</x:v>
      </x:c>
      <x:c r="T270" s="106" t="str">
        <x:f>IF(R270&gt;='Inputs &amp; Guide'!$B$9,"HIGH",IF(R270&gt;=0.45,"WATCH","NORMAL"))</x:f>
        <x:v>HIGH</x:v>
      </x:c>
    </x:row>
    <x:row r="271">
      <x:c r="A271" s="95" t="n">
        <x:v>2137</x:v>
      </x:c>
      <x:c r="B271" s="96" t="n">
        <x:v>45381</x:v>
      </x:c>
      <x:c r="C271" s="97" t="str">
        <x:v>Flood</x:v>
      </x:c>
      <x:c r="D271" s="97" t="str">
        <x:v>China</x:v>
      </x:c>
      <x:c r="E271" s="98" t="n">
        <x:v>8.765145560333867</x:v>
      </x:c>
      <x:c r="F271" s="99" t="n">
        <x:v>435.2490371227042</x:v>
      </x:c>
      <x:c r="G271" s="100" t="str">
        <x:f>XLOOKUP(D271,'Reference Tables'!$A$4:$A$23,'Reference Tables'!$B$4:$B$23,"Other")</x:f>
        <x:v>Asia Pacific</x:v>
      </x:c>
      <x:c r="H271" s="100" t="str">
        <x:f>VLOOKUP(G271,'Reference Tables'!$I$4:$J$9,2,FALSE)</x:f>
        <x:v>High</x:v>
      </x:c>
      <x:c r="I271" s="101" t="n">
        <x:f>F271*'Inputs &amp; Guide'!$B$4*XLOOKUP(D271,'Reference Tables'!$A$4:$A$23,'Reference Tables'!$C$4:$C$23,0.75)</x:f>
        <x:v>75.21103361480328</x:v>
      </x:c>
      <x:c r="J271" s="102" t="n">
        <x:f>XLOOKUP(C271,'Reference Tables'!$E$4:$E$12,'Reference Tables'!$F$4:$F$12,0.05)</x:f>
        <x:v>0.12</x:v>
      </x:c>
      <x:c r="K271" s="103" t="n">
        <x:f>MIN(I271,F271*J271)</x:f>
        <x:v>52.2298844547245</x:v>
      </x:c>
      <x:c r="L271" s="103" t="n">
        <x:f>'Inputs &amp; Guide'!$B$5</x:f>
        <x:v>15</x:v>
      </x:c>
      <x:c r="M271" s="103" t="n">
        <x:f>I271*'Inputs &amp; Guide'!$B$6</x:f>
        <x:v>41.366068488141806</x:v>
      </x:c>
      <x:c r="N271" s="103" t="n">
        <x:f>MAX(0,MIN(K271-L271,M271))</x:f>
        <x:v>37.2298844547245</x:v>
      </x:c>
      <x:c r="O271" s="103" t="n">
        <x:f>MAX(0,N271-'Inputs &amp; Guide'!$B$7)</x:f>
        <x:v>0</x:v>
      </x:c>
      <x:c r="P271" s="103" t="n">
        <x:f>N271-O271</x:f>
        <x:v>37.2298844547245</x:v>
      </x:c>
      <x:c r="Q271" s="103" t="n">
        <x:f>I271*'Inputs &amp; Guide'!$B$8</x:f>
        <x:v>1.353798605066459</x:v>
      </x:c>
      <x:c r="R271" s="104" t="n">
        <x:f>IFERROR(P271/Q271,0)</x:f>
        <x:v>27.500312317796233</x:v>
      </x:c>
      <x:c r="S271" s="105" t="n">
        <x:f>ROUND(E271*XLOOKUP(C271,'Reference Tables'!$E$4:$E$12,'Reference Tables'!$G$4:$G$12,1),1)</x:f>
        <x:v>11</x:v>
      </x:c>
      <x:c r="T271" s="106" t="str">
        <x:f>IF(R271&gt;='Inputs &amp; Guide'!$B$9,"HIGH",IF(R271&gt;=0.45,"WATCH","NORMAL"))</x:f>
        <x:v>HIGH</x:v>
      </x:c>
    </x:row>
    <x:row r="272">
      <x:c r="A272" s="95" t="n">
        <x:v>2145</x:v>
      </x:c>
      <x:c r="B272" s="96" t="n">
        <x:v>45381.104166666664</x:v>
      </x:c>
      <x:c r="C272" s="97" t="str">
        <x:v>Earthquake</x:v>
      </x:c>
      <x:c r="D272" s="97" t="str">
        <x:v>USA</x:v>
      </x:c>
      <x:c r="E272" s="98" t="n">
        <x:v>9.00729031806243</x:v>
      </x:c>
      <x:c r="F272" s="99" t="n">
        <x:v>696.7477001327571</x:v>
      </x:c>
      <x:c r="G272" s="100" t="str">
        <x:f>XLOOKUP(D272,'Reference Tables'!$A$4:$A$23,'Reference Tables'!$B$4:$B$23,"Other")</x:f>
        <x:v>Other</x:v>
      </x:c>
      <x:c r="H272" s="100" t="str">
        <x:f>VLOOKUP(G272,'Reference Tables'!$I$4:$J$9,2,FALSE)</x:f>
        <x:v>Moderate</x:v>
      </x:c>
      <x:c r="I272" s="101" t="n">
        <x:f>F272*'Inputs &amp; Guide'!$B$4*XLOOKUP(D272,'Reference Tables'!$A$4:$A$23,'Reference Tables'!$C$4:$C$23,0.75)</x:f>
        <x:v>83.60972401593085</x:v>
      </x:c>
      <x:c r="J272" s="102" t="n">
        <x:f>XLOOKUP(C272,'Reference Tables'!$E$4:$E$12,'Reference Tables'!$F$4:$F$12,0.05)</x:f>
        <x:v>0.14</x:v>
      </x:c>
      <x:c r="K272" s="103" t="n">
        <x:f>MIN(I272,F272*J272)</x:f>
        <x:v>83.60972401593085</x:v>
      </x:c>
      <x:c r="L272" s="103" t="n">
        <x:f>'Inputs &amp; Guide'!$B$5</x:f>
        <x:v>15</x:v>
      </x:c>
      <x:c r="M272" s="103" t="n">
        <x:f>I272*'Inputs &amp; Guide'!$B$6</x:f>
        <x:v>45.98534820876197</x:v>
      </x:c>
      <x:c r="N272" s="103" t="n">
        <x:f>MAX(0,MIN(K272-L272,M272))</x:f>
        <x:v>45.98534820876197</x:v>
      </x:c>
      <x:c r="O272" s="103" t="n">
        <x:f>MAX(0,N272-'Inputs &amp; Guide'!$B$7)</x:f>
        <x:v>0</x:v>
      </x:c>
      <x:c r="P272" s="103" t="n">
        <x:f>N272-O272</x:f>
        <x:v>45.98534820876197</x:v>
      </x:c>
      <x:c r="Q272" s="103" t="n">
        <x:f>I272*'Inputs &amp; Guide'!$B$8</x:f>
        <x:v>1.5049750322867552</x:v>
      </x:c>
      <x:c r="R272" s="104" t="n">
        <x:f>IFERROR(P272/Q272,0)</x:f>
        <x:v>30.555555555555557</x:v>
      </x:c>
      <x:c r="S272" s="105" t="n">
        <x:f>ROUND(E272*XLOOKUP(C272,'Reference Tables'!$E$4:$E$12,'Reference Tables'!$G$4:$G$12,1),1)</x:f>
        <x:v>13.5</x:v>
      </x:c>
      <x:c r="T272" s="106" t="str">
        <x:f>IF(R272&gt;='Inputs &amp; Guide'!$B$9,"HIGH",IF(R272&gt;=0.45,"WATCH","NORMAL"))</x:f>
        <x:v>HIGH</x:v>
      </x:c>
    </x:row>
    <x:row r="273">
      <x:c r="A273" s="95" t="n">
        <x:v>2153</x:v>
      </x:c>
      <x:c r="B273" s="96" t="n">
        <x:v>45381.4375</x:v>
      </x:c>
      <x:c r="C273" s="97" t="str">
        <x:v>Earthquake</x:v>
      </x:c>
      <x:c r="D273" s="97" t="str">
        <x:v>Japan</x:v>
      </x:c>
      <x:c r="E273" s="98" t="n">
        <x:v>9.53639974361126</x:v>
      </x:c>
      <x:c r="F273" s="99" t="n">
        <x:v>964.7993131375149</x:v>
      </x:c>
      <x:c r="G273" s="100" t="str">
        <x:f>XLOOKUP(D273,'Reference Tables'!$A$4:$A$23,'Reference Tables'!$B$4:$B$23,"Other")</x:f>
        <x:v>Asia Pacific</x:v>
      </x:c>
      <x:c r="H273" s="100" t="str">
        <x:f>VLOOKUP(G273,'Reference Tables'!$I$4:$J$9,2,FALSE)</x:f>
        <x:v>High</x:v>
      </x:c>
      <x:c r="I273" s="101" t="n">
        <x:f>F273*'Inputs &amp; Guide'!$B$4*XLOOKUP(D273,'Reference Tables'!$A$4:$A$23,'Reference Tables'!$C$4:$C$23,0.75)</x:f>
        <x:v>182.1541103203628</x:v>
      </x:c>
      <x:c r="J273" s="102" t="n">
        <x:f>XLOOKUP(C273,'Reference Tables'!$E$4:$E$12,'Reference Tables'!$F$4:$F$12,0.05)</x:f>
        <x:v>0.14</x:v>
      </x:c>
      <x:c r="K273" s="103" t="n">
        <x:f>MIN(I273,F273*J273)</x:f>
        <x:v>135.0719038392521</x:v>
      </x:c>
      <x:c r="L273" s="103" t="n">
        <x:f>'Inputs &amp; Guide'!$B$5</x:f>
        <x:v>15</x:v>
      </x:c>
      <x:c r="M273" s="103" t="n">
        <x:f>I273*'Inputs &amp; Guide'!$B$6</x:f>
        <x:v>100.18476067619955</x:v>
      </x:c>
      <x:c r="N273" s="103" t="n">
        <x:f>MAX(0,MIN(K273-L273,M273))</x:f>
        <x:v>100.18476067619955</x:v>
      </x:c>
      <x:c r="O273" s="103" t="n">
        <x:f>MAX(0,N273-'Inputs &amp; Guide'!$B$7)</x:f>
        <x:v>40.184760676199545</x:v>
      </x:c>
      <x:c r="P273" s="103" t="n">
        <x:f>N273-O273</x:f>
        <x:v>60</x:v>
      </x:c>
      <x:c r="Q273" s="103" t="n">
        <x:f>I273*'Inputs &amp; Guide'!$B$8</x:f>
        <x:v>3.2787739857665303</x:v>
      </x:c>
      <x:c r="R273" s="104" t="n">
        <x:f>IFERROR(P273/Q273,0)</x:f>
        <x:v>18.299523010877145</x:v>
      </x:c>
      <x:c r="S273" s="105" t="n">
        <x:f>ROUND(E273*XLOOKUP(C273,'Reference Tables'!$E$4:$E$12,'Reference Tables'!$G$4:$G$12,1),1)</x:f>
        <x:v>14.3</x:v>
      </x:c>
      <x:c r="T273" s="106" t="str">
        <x:f>IF(R273&gt;='Inputs &amp; Guide'!$B$9,"HIGH",IF(R273&gt;=0.45,"WATCH","NORMAL"))</x:f>
        <x:v>HIGH</x:v>
      </x:c>
    </x:row>
    <x:row r="274">
      <x:c r="A274" s="95" t="n">
        <x:v>2161</x:v>
      </x:c>
      <x:c r="B274" s="96" t="n">
        <x:v>45382</x:v>
      </x:c>
      <x:c r="C274" s="97" t="str">
        <x:v>Earthquake</x:v>
      </x:c>
      <x:c r="D274" s="97" t="str">
        <x:v>China</x:v>
      </x:c>
      <x:c r="E274" s="98" t="n">
        <x:v>3.6352510544341197</x:v>
      </x:c>
      <x:c r="F274" s="99" t="n">
        <x:v>665.3991942334973</x:v>
      </x:c>
      <x:c r="G274" s="100" t="str">
        <x:f>XLOOKUP(D274,'Reference Tables'!$A$4:$A$23,'Reference Tables'!$B$4:$B$23,"Other")</x:f>
        <x:v>Asia Pacific</x:v>
      </x:c>
      <x:c r="H274" s="100" t="str">
        <x:f>VLOOKUP(G274,'Reference Tables'!$I$4:$J$9,2,FALSE)</x:f>
        <x:v>High</x:v>
      </x:c>
      <x:c r="I274" s="101" t="n">
        <x:f>F274*'Inputs &amp; Guide'!$B$4*XLOOKUP(D274,'Reference Tables'!$A$4:$A$23,'Reference Tables'!$C$4:$C$23,0.75)</x:f>
        <x:v>114.98098076354835</x:v>
      </x:c>
      <x:c r="J274" s="102" t="n">
        <x:f>XLOOKUP(C274,'Reference Tables'!$E$4:$E$12,'Reference Tables'!$F$4:$F$12,0.05)</x:f>
        <x:v>0.14</x:v>
      </x:c>
      <x:c r="K274" s="103" t="n">
        <x:f>MIN(I274,F274*J274)</x:f>
        <x:v>93.15588719268963</x:v>
      </x:c>
      <x:c r="L274" s="103" t="n">
        <x:f>'Inputs &amp; Guide'!$B$5</x:f>
        <x:v>15</x:v>
      </x:c>
      <x:c r="M274" s="103" t="n">
        <x:f>I274*'Inputs &amp; Guide'!$B$6</x:f>
        <x:v>63.2395394199516</x:v>
      </x:c>
      <x:c r="N274" s="103" t="n">
        <x:f>MAX(0,MIN(K274-L274,M274))</x:f>
        <x:v>63.2395394199516</x:v>
      </x:c>
      <x:c r="O274" s="103" t="n">
        <x:f>MAX(0,N274-'Inputs &amp; Guide'!$B$7)</x:f>
        <x:v>3.2395394199515977</x:v>
      </x:c>
      <x:c r="P274" s="103" t="n">
        <x:f>N274-O274</x:f>
        <x:v>60</x:v>
      </x:c>
      <x:c r="Q274" s="103" t="n">
        <x:f>I274*'Inputs &amp; Guide'!$B$8</x:f>
        <x:v>2.06965765374387</x:v>
      </x:c>
      <x:c r="R274" s="104" t="n">
        <x:f>IFERROR(P274/Q274,0)</x:f>
        <x:v>28.990301797721994</x:v>
      </x:c>
      <x:c r="S274" s="105" t="n">
        <x:f>ROUND(E274*XLOOKUP(C274,'Reference Tables'!$E$4:$E$12,'Reference Tables'!$G$4:$G$12,1),1)</x:f>
        <x:v>5.5</x:v>
      </x:c>
      <x:c r="T274" s="106" t="str">
        <x:f>IF(R274&gt;='Inputs &amp; Guide'!$B$9,"HIGH",IF(R274&gt;=0.45,"WATCH","NORMAL"))</x:f>
        <x:v>HIGH</x:v>
      </x:c>
    </x:row>
    <x:row r="275">
      <x:c r="A275" s="95" t="n">
        <x:v>2169</x:v>
      </x:c>
      <x:c r="B275" s="96" t="n">
        <x:v>45382.104166666664</x:v>
      </x:c>
      <x:c r="C275" s="97" t="str">
        <x:v>Earthquake</x:v>
      </x:c>
      <x:c r="D275" s="97" t="str">
        <x:v>Japan</x:v>
      </x:c>
      <x:c r="E275" s="98" t="n">
        <x:v>7.555756272020252</x:v>
      </x:c>
      <x:c r="F275" s="99" t="n">
        <x:v>319.42245199820854</x:v>
      </x:c>
      <x:c r="G275" s="100" t="str">
        <x:f>XLOOKUP(D275,'Reference Tables'!$A$4:$A$23,'Reference Tables'!$B$4:$B$23,"Other")</x:f>
        <x:v>Asia Pacific</x:v>
      </x:c>
      <x:c r="H275" s="100" t="str">
        <x:f>VLOOKUP(G275,'Reference Tables'!$I$4:$J$9,2,FALSE)</x:f>
        <x:v>High</x:v>
      </x:c>
      <x:c r="I275" s="101" t="n">
        <x:f>F275*'Inputs &amp; Guide'!$B$4*XLOOKUP(D275,'Reference Tables'!$A$4:$A$23,'Reference Tables'!$C$4:$C$23,0.75)</x:f>
        <x:v>60.306958937261776</x:v>
      </x:c>
      <x:c r="J275" s="102" t="n">
        <x:f>XLOOKUP(C275,'Reference Tables'!$E$4:$E$12,'Reference Tables'!$F$4:$F$12,0.05)</x:f>
        <x:v>0.14</x:v>
      </x:c>
      <x:c r="K275" s="103" t="n">
        <x:f>MIN(I275,F275*J275)</x:f>
        <x:v>44.7191432797492</x:v>
      </x:c>
      <x:c r="L275" s="103" t="n">
        <x:f>'Inputs &amp; Guide'!$B$5</x:f>
        <x:v>15</x:v>
      </x:c>
      <x:c r="M275" s="103" t="n">
        <x:f>I275*'Inputs &amp; Guide'!$B$6</x:f>
        <x:v>33.16882741549398</x:v>
      </x:c>
      <x:c r="N275" s="103" t="n">
        <x:f>MAX(0,MIN(K275-L275,M275))</x:f>
        <x:v>29.719143279749197</x:v>
      </x:c>
      <x:c r="O275" s="103" t="n">
        <x:f>MAX(0,N275-'Inputs &amp; Guide'!$B$7)</x:f>
        <x:v>0</x:v>
      </x:c>
      <x:c r="P275" s="103" t="n">
        <x:f>N275-O275</x:f>
        <x:v>29.719143279749197</x:v>
      </x:c>
      <x:c r="Q275" s="103" t="n">
        <x:f>I275*'Inputs &amp; Guide'!$B$8</x:f>
        <x:v>1.0855252608707118</x:v>
      </x:c>
      <x:c r="R275" s="104" t="n">
        <x:f>IFERROR(P275/Q275,0)</x:f>
        <x:v>27.377661627064438</x:v>
      </x:c>
      <x:c r="S275" s="105" t="n">
        <x:f>ROUND(E275*XLOOKUP(C275,'Reference Tables'!$E$4:$E$12,'Reference Tables'!$G$4:$G$12,1),1)</x:f>
        <x:v>11.3</x:v>
      </x:c>
      <x:c r="T275" s="106" t="str">
        <x:f>IF(R275&gt;='Inputs &amp; Guide'!$B$9,"HIGH",IF(R275&gt;=0.45,"WATCH","NORMAL"))</x:f>
        <x:v>HIGH</x:v>
      </x:c>
    </x:row>
    <x:row r="276">
      <x:c r="A276" s="95" t="n">
        <x:v>2177</x:v>
      </x:c>
      <x:c r="B276" s="96" t="n">
        <x:v>45382.4375</x:v>
      </x:c>
      <x:c r="C276" s="97" t="str">
        <x:v>Flood</x:v>
      </x:c>
      <x:c r="D276" s="97" t="str">
        <x:v>Brazil</x:v>
      </x:c>
      <x:c r="E276" s="98" t="n">
        <x:v>3.482142117559454</x:v>
      </x:c>
      <x:c r="F276" s="99" t="n">
        <x:v>72.36558712790162</x:v>
      </x:c>
      <x:c r="G276" s="100" t="str">
        <x:f>XLOOKUP(D276,'Reference Tables'!$A$4:$A$23,'Reference Tables'!$B$4:$B$23,"Other")</x:f>
        <x:v>Latin America</x:v>
      </x:c>
      <x:c r="H276" s="100" t="str">
        <x:f>VLOOKUP(G276,'Reference Tables'!$I$4:$J$9,2,FALSE)</x:f>
        <x:v>Moderate</x:v>
      </x:c>
      <x:c r="I276" s="101" t="n">
        <x:f>F276*'Inputs &amp; Guide'!$B$4*XLOOKUP(D276,'Reference Tables'!$A$4:$A$23,'Reference Tables'!$C$4:$C$23,0.75)</x:f>
        <x:v>9.494365031180692</x:v>
      </x:c>
      <x:c r="J276" s="102" t="n">
        <x:f>XLOOKUP(C276,'Reference Tables'!$E$4:$E$12,'Reference Tables'!$F$4:$F$12,0.05)</x:f>
        <x:v>0.12</x:v>
      </x:c>
      <x:c r="K276" s="103" t="n">
        <x:f>MIN(I276,F276*J276)</x:f>
        <x:v>8.683870455348194</x:v>
      </x:c>
      <x:c r="L276" s="103" t="n">
        <x:f>'Inputs &amp; Guide'!$B$5</x:f>
        <x:v>15</x:v>
      </x:c>
      <x:c r="M276" s="103" t="n">
        <x:f>I276*'Inputs &amp; Guide'!$B$6</x:f>
        <x:v>5.221900767149381</x:v>
      </x:c>
      <x:c r="N276" s="103" t="n">
        <x:f>MAX(0,MIN(K276-L276,M276))</x:f>
        <x:v>0</x:v>
      </x:c>
      <x:c r="O276" s="103" t="n">
        <x:f>MAX(0,N276-'Inputs &amp; Guide'!$B$7)</x:f>
        <x:v>0</x:v>
      </x:c>
      <x:c r="P276" s="103" t="n">
        <x:f>N276-O276</x:f>
        <x:v>0</x:v>
      </x:c>
      <x:c r="Q276" s="103" t="n">
        <x:f>I276*'Inputs &amp; Guide'!$B$8</x:f>
        <x:v>0.17089857056125243</x:v>
      </x:c>
      <x:c r="R276" s="104" t="n">
        <x:f>IFERROR(P276/Q276,0)</x:f>
        <x:v>0</x:v>
      </x:c>
      <x:c r="S276" s="105" t="n">
        <x:f>ROUND(E276*XLOOKUP(C276,'Reference Tables'!$E$4:$E$12,'Reference Tables'!$G$4:$G$12,1),1)</x:f>
        <x:v>4.4</x:v>
      </x:c>
      <x:c r="T276" s="106" t="str">
        <x:f>IF(R276&gt;='Inputs &amp; Guide'!$B$9,"HIGH",IF(R276&gt;=0.45,"WATCH","NORMAL"))</x:f>
        <x:v>NORMAL</x:v>
      </x:c>
    </x:row>
    <x:row r="277">
      <x:c r="A277" s="95" t="n">
        <x:v>2185</x:v>
      </x:c>
      <x:c r="B277" s="96" t="n">
        <x:v>45383</x:v>
      </x:c>
      <x:c r="C277" s="97" t="str">
        <x:v>Flood</x:v>
      </x:c>
      <x:c r="D277" s="97" t="str">
        <x:v>Japan</x:v>
      </x:c>
      <x:c r="E277" s="98" t="n">
        <x:v>5.20751228086417</x:v>
      </x:c>
      <x:c r="F277" s="99" t="n">
        <x:v>294.30595319899044</x:v>
      </x:c>
      <x:c r="G277" s="100" t="str">
        <x:f>XLOOKUP(D277,'Reference Tables'!$A$4:$A$23,'Reference Tables'!$B$4:$B$23,"Other")</x:f>
        <x:v>Asia Pacific</x:v>
      </x:c>
      <x:c r="H277" s="100" t="str">
        <x:f>VLOOKUP(G277,'Reference Tables'!$I$4:$J$9,2,FALSE)</x:f>
        <x:v>High</x:v>
      </x:c>
      <x:c r="I277" s="101" t="n">
        <x:f>F277*'Inputs &amp; Guide'!$B$4*XLOOKUP(D277,'Reference Tables'!$A$4:$A$23,'Reference Tables'!$C$4:$C$23,0.75)</x:f>
        <x:v>55.56496396396939</x:v>
      </x:c>
      <x:c r="J277" s="102" t="n">
        <x:f>XLOOKUP(C277,'Reference Tables'!$E$4:$E$12,'Reference Tables'!$F$4:$F$12,0.05)</x:f>
        <x:v>0.12</x:v>
      </x:c>
      <x:c r="K277" s="103" t="n">
        <x:f>MIN(I277,F277*J277)</x:f>
        <x:v>35.31671438387885</x:v>
      </x:c>
      <x:c r="L277" s="103" t="n">
        <x:f>'Inputs &amp; Guide'!$B$5</x:f>
        <x:v>15</x:v>
      </x:c>
      <x:c r="M277" s="103" t="n">
        <x:f>I277*'Inputs &amp; Guide'!$B$6</x:f>
        <x:v>30.560730180183167</x:v>
      </x:c>
      <x:c r="N277" s="103" t="n">
        <x:f>MAX(0,MIN(K277-L277,M277))</x:f>
        <x:v>20.316714383878853</x:v>
      </x:c>
      <x:c r="O277" s="103" t="n">
        <x:f>MAX(0,N277-'Inputs &amp; Guide'!$B$7)</x:f>
        <x:v>0</x:v>
      </x:c>
      <x:c r="P277" s="103" t="n">
        <x:f>N277-O277</x:f>
        <x:v>20.316714383878853</x:v>
      </x:c>
      <x:c r="Q277" s="103" t="n">
        <x:f>I277*'Inputs &amp; Guide'!$B$8</x:f>
        <x:v>1.000169351351449</x:v>
      </x:c>
      <x:c r="R277" s="104" t="n">
        <x:f>IFERROR(P277/Q277,0)</x:f>
        <x:v>20.313274303423217</x:v>
      </x:c>
      <x:c r="S277" s="105" t="n">
        <x:f>ROUND(E277*XLOOKUP(C277,'Reference Tables'!$E$4:$E$12,'Reference Tables'!$G$4:$G$12,1),1)</x:f>
        <x:v>6.5</x:v>
      </x:c>
      <x:c r="T277" s="106" t="str">
        <x:f>IF(R277&gt;='Inputs &amp; Guide'!$B$9,"HIGH",IF(R277&gt;=0.45,"WATCH","NORMAL"))</x:f>
        <x:v>HIGH</x:v>
      </x:c>
    </x:row>
    <x:row r="278">
      <x:c r="A278" s="95" t="n">
        <x:v>2193</x:v>
      </x:c>
      <x:c r="B278" s="96" t="n">
        <x:v>45383.104166666664</x:v>
      </x:c>
      <x:c r="C278" s="97" t="str">
        <x:v>Wildfire</x:v>
      </x:c>
      <x:c r="D278" s="97" t="str">
        <x:v>India</x:v>
      </x:c>
      <x:c r="E278" s="98" t="n">
        <x:v>5.5270497670205</x:v>
      </x:c>
      <x:c r="F278" s="99" t="n">
        <x:v>630.9158309266733</x:v>
      </x:c>
      <x:c r="G278" s="100" t="str">
        <x:f>XLOOKUP(D278,'Reference Tables'!$A$4:$A$23,'Reference Tables'!$B$4:$B$23,"Other")</x:f>
        <x:v>Asia Pacific</x:v>
      </x:c>
      <x:c r="H278" s="100" t="str">
        <x:f>VLOOKUP(G278,'Reference Tables'!$I$4:$J$9,2,FALSE)</x:f>
        <x:v>High</x:v>
      </x:c>
      <x:c r="I278" s="101" t="n">
        <x:f>F278*'Inputs &amp; Guide'!$B$4*XLOOKUP(D278,'Reference Tables'!$A$4:$A$23,'Reference Tables'!$C$4:$C$23,0.75)</x:f>
        <x:v>91.86134498292364</x:v>
      </x:c>
      <x:c r="J278" s="102" t="n">
        <x:f>XLOOKUP(C278,'Reference Tables'!$E$4:$E$12,'Reference Tables'!$F$4:$F$12,0.05)</x:f>
        <x:v>0.1</x:v>
      </x:c>
      <x:c r="K278" s="103" t="n">
        <x:f>MIN(I278,F278*J278)</x:f>
        <x:v>63.09158309266733</x:v>
      </x:c>
      <x:c r="L278" s="103" t="n">
        <x:f>'Inputs &amp; Guide'!$B$5</x:f>
        <x:v>15</x:v>
      </x:c>
      <x:c r="M278" s="103" t="n">
        <x:f>I278*'Inputs &amp; Guide'!$B$6</x:f>
        <x:v>50.52373974060801</x:v>
      </x:c>
      <x:c r="N278" s="103" t="n">
        <x:f>MAX(0,MIN(K278-L278,M278))</x:f>
        <x:v>48.09158309266733</x:v>
      </x:c>
      <x:c r="O278" s="103" t="n">
        <x:f>MAX(0,N278-'Inputs &amp; Guide'!$B$7)</x:f>
        <x:v>0</x:v>
      </x:c>
      <x:c r="P278" s="103" t="n">
        <x:f>N278-O278</x:f>
        <x:v>48.09158309266733</x:v>
      </x:c>
      <x:c r="Q278" s="103" t="n">
        <x:f>I278*'Inputs &amp; Guide'!$B$8</x:f>
        <x:v>1.6535042096926253</x:v>
      </x:c>
      <x:c r="R278" s="104" t="n">
        <x:f>IFERROR(P278/Q278,0)</x:f>
        <x:v>29.084645089356748</x:v>
      </x:c>
      <x:c r="S278" s="105" t="n">
        <x:f>ROUND(E278*XLOOKUP(C278,'Reference Tables'!$E$4:$E$12,'Reference Tables'!$G$4:$G$12,1),1)</x:f>
        <x:v>6.4</x:v>
      </x:c>
      <x:c r="T278" s="106" t="str">
        <x:f>IF(R278&gt;='Inputs &amp; Guide'!$B$9,"HIGH",IF(R278&gt;=0.45,"WATCH","NORMAL"))</x:f>
        <x:v>HIGH</x:v>
      </x:c>
    </x:row>
    <x:row r="279">
      <x:c r="A279" s="95" t="n">
        <x:v>2201</x:v>
      </x:c>
      <x:c r="B279" s="96" t="n">
        <x:v>45383.4375</x:v>
      </x:c>
      <x:c r="C279" s="97" t="str">
        <x:v>Wildfire</x:v>
      </x:c>
      <x:c r="D279" s="97" t="str">
        <x:v>Japan</x:v>
      </x:c>
      <x:c r="E279" s="98" t="n">
        <x:v>1.129014066861983</x:v>
      </x:c>
      <x:c r="F279" s="99" t="n">
        <x:v>61.58659430029603</x:v>
      </x:c>
      <x:c r="G279" s="100" t="str">
        <x:f>XLOOKUP(D279,'Reference Tables'!$A$4:$A$23,'Reference Tables'!$B$4:$B$23,"Other")</x:f>
        <x:v>Asia Pacific</x:v>
      </x:c>
      <x:c r="H279" s="100" t="str">
        <x:f>VLOOKUP(G279,'Reference Tables'!$I$4:$J$9,2,FALSE)</x:f>
        <x:v>High</x:v>
      </x:c>
      <x:c r="I279" s="101" t="n">
        <x:f>F279*'Inputs &amp; Guide'!$B$4*XLOOKUP(D279,'Reference Tables'!$A$4:$A$23,'Reference Tables'!$C$4:$C$23,0.75)</x:f>
        <x:v>11.62754900389589</x:v>
      </x:c>
      <x:c r="J279" s="102" t="n">
        <x:f>XLOOKUP(C279,'Reference Tables'!$E$4:$E$12,'Reference Tables'!$F$4:$F$12,0.05)</x:f>
        <x:v>0.1</x:v>
      </x:c>
      <x:c r="K279" s="103" t="n">
        <x:f>MIN(I279,F279*J279)</x:f>
        <x:v>6.158659430029603</x:v>
      </x:c>
      <x:c r="L279" s="103" t="n">
        <x:f>'Inputs &amp; Guide'!$B$5</x:f>
        <x:v>15</x:v>
      </x:c>
      <x:c r="M279" s="103" t="n">
        <x:f>I279*'Inputs &amp; Guide'!$B$6</x:f>
        <x:v>6.39515195214274</x:v>
      </x:c>
      <x:c r="N279" s="103" t="n">
        <x:f>MAX(0,MIN(K279-L279,M279))</x:f>
        <x:v>0</x:v>
      </x:c>
      <x:c r="O279" s="103" t="n">
        <x:f>MAX(0,N279-'Inputs &amp; Guide'!$B$7)</x:f>
        <x:v>0</x:v>
      </x:c>
      <x:c r="P279" s="103" t="n">
        <x:f>N279-O279</x:f>
        <x:v>0</x:v>
      </x:c>
      <x:c r="Q279" s="103" t="n">
        <x:f>I279*'Inputs &amp; Guide'!$B$8</x:f>
        <x:v>0.209295882070126</x:v>
      </x:c>
      <x:c r="R279" s="104" t="n">
        <x:f>IFERROR(P279/Q279,0)</x:f>
        <x:v>0</x:v>
      </x:c>
      <x:c r="S279" s="105" t="n">
        <x:f>ROUND(E279*XLOOKUP(C279,'Reference Tables'!$E$4:$E$12,'Reference Tables'!$G$4:$G$12,1),1)</x:f>
        <x:v>1.3</x:v>
      </x:c>
      <x:c r="T279" s="106" t="str">
        <x:f>IF(R279&gt;='Inputs &amp; Guide'!$B$9,"HIGH",IF(R279&gt;=0.45,"WATCH","NORMAL"))</x:f>
        <x:v>NORMAL</x:v>
      </x:c>
    </x:row>
    <x:row r="280">
      <x:c r="A280" s="95" t="n">
        <x:v>2209</x:v>
      </x:c>
      <x:c r="B280" s="96" t="n">
        <x:v>45384</x:v>
      </x:c>
      <x:c r="C280" s="97" t="str">
        <x:v>Wildfire</x:v>
      </x:c>
      <x:c r="D280" s="97" t="str">
        <x:v>China</x:v>
      </x:c>
      <x:c r="E280" s="98" t="n">
        <x:v>4.399769988831199</x:v>
      </x:c>
      <x:c r="F280" s="99" t="n">
        <x:v>10.38589535852249</x:v>
      </x:c>
      <x:c r="G280" s="100" t="str">
        <x:f>XLOOKUP(D280,'Reference Tables'!$A$4:$A$23,'Reference Tables'!$B$4:$B$23,"Other")</x:f>
        <x:v>Asia Pacific</x:v>
      </x:c>
      <x:c r="H280" s="100" t="str">
        <x:f>VLOOKUP(G280,'Reference Tables'!$I$4:$J$9,2,FALSE)</x:f>
        <x:v>High</x:v>
      </x:c>
      <x:c r="I280" s="101" t="n">
        <x:f>F280*'Inputs &amp; Guide'!$B$4*XLOOKUP(D280,'Reference Tables'!$A$4:$A$23,'Reference Tables'!$C$4:$C$23,0.75)</x:f>
        <x:v>1.7946827179526863</x:v>
      </x:c>
      <x:c r="J280" s="102" t="n">
        <x:f>XLOOKUP(C280,'Reference Tables'!$E$4:$E$12,'Reference Tables'!$F$4:$F$12,0.05)</x:f>
        <x:v>0.1</x:v>
      </x:c>
      <x:c r="K280" s="103" t="n">
        <x:f>MIN(I280,F280*J280)</x:f>
        <x:v>1.038589535852249</x:v>
      </x:c>
      <x:c r="L280" s="103" t="n">
        <x:f>'Inputs &amp; Guide'!$B$5</x:f>
        <x:v>15</x:v>
      </x:c>
      <x:c r="M280" s="103" t="n">
        <x:f>I280*'Inputs &amp; Guide'!$B$6</x:f>
        <x:v>0.9870754948739775</x:v>
      </x:c>
      <x:c r="N280" s="103" t="n">
        <x:f>MAX(0,MIN(K280-L280,M280))</x:f>
        <x:v>0</x:v>
      </x:c>
      <x:c r="O280" s="103" t="n">
        <x:f>MAX(0,N280-'Inputs &amp; Guide'!$B$7)</x:f>
        <x:v>0</x:v>
      </x:c>
      <x:c r="P280" s="103" t="n">
        <x:f>N280-O280</x:f>
        <x:v>0</x:v>
      </x:c>
      <x:c r="Q280" s="103" t="n">
        <x:f>I280*'Inputs &amp; Guide'!$B$8</x:f>
        <x:v>0.03230428892314835</x:v>
      </x:c>
      <x:c r="R280" s="104" t="n">
        <x:f>IFERROR(P280/Q280,0)</x:f>
        <x:v>0</x:v>
      </x:c>
      <x:c r="S280" s="105" t="n">
        <x:f>ROUND(E280*XLOOKUP(C280,'Reference Tables'!$E$4:$E$12,'Reference Tables'!$G$4:$G$12,1),1)</x:f>
        <x:v>5.1</x:v>
      </x:c>
      <x:c r="T280" s="106" t="str">
        <x:f>IF(R280&gt;='Inputs &amp; Guide'!$B$9,"HIGH",IF(R280&gt;=0.45,"WATCH","NORMAL"))</x:f>
        <x:v>NORMAL</x:v>
      </x:c>
    </x:row>
    <x:row r="281">
      <x:c r="A281" s="95" t="n">
        <x:v>2217</x:v>
      </x:c>
      <x:c r="B281" s="96" t="n">
        <x:v>45384.104166666664</x:v>
      </x:c>
      <x:c r="C281" s="97" t="str">
        <x:v>Hurricane</x:v>
      </x:c>
      <x:c r="D281" s="97" t="str">
        <x:v>Brazil</x:v>
      </x:c>
      <x:c r="E281" s="98" t="n">
        <x:v>7.436879022002837</x:v>
      </x:c>
      <x:c r="F281" s="99" t="n">
        <x:v>48.452238214873205</x:v>
      </x:c>
      <x:c r="G281" s="100" t="str">
        <x:f>XLOOKUP(D281,'Reference Tables'!$A$4:$A$23,'Reference Tables'!$B$4:$B$23,"Other")</x:f>
        <x:v>Latin America</x:v>
      </x:c>
      <x:c r="H281" s="100" t="str">
        <x:f>VLOOKUP(G281,'Reference Tables'!$I$4:$J$9,2,FALSE)</x:f>
        <x:v>Moderate</x:v>
      </x:c>
      <x:c r="I281" s="101" t="n">
        <x:f>F281*'Inputs &amp; Guide'!$B$4*XLOOKUP(D281,'Reference Tables'!$A$4:$A$23,'Reference Tables'!$C$4:$C$23,0.75)</x:f>
        <x:v>6.356933653791364</x:v>
      </x:c>
      <x:c r="J281" s="102" t="n">
        <x:f>XLOOKUP(C281,'Reference Tables'!$E$4:$E$12,'Reference Tables'!$F$4:$F$12,0.05)</x:f>
        <x:v>0.18</x:v>
      </x:c>
      <x:c r="K281" s="103" t="n">
        <x:f>MIN(I281,F281*J281)</x:f>
        <x:v>6.356933653791364</x:v>
      </x:c>
      <x:c r="L281" s="103" t="n">
        <x:f>'Inputs &amp; Guide'!$B$5</x:f>
        <x:v>15</x:v>
      </x:c>
      <x:c r="M281" s="103" t="n">
        <x:f>I281*'Inputs &amp; Guide'!$B$6</x:f>
        <x:v>3.4963135095852502</x:v>
      </x:c>
      <x:c r="N281" s="103" t="n">
        <x:f>MAX(0,MIN(K281-L281,M281))</x:f>
        <x:v>0</x:v>
      </x:c>
      <x:c r="O281" s="103" t="n">
        <x:f>MAX(0,N281-'Inputs &amp; Guide'!$B$7)</x:f>
        <x:v>0</x:v>
      </x:c>
      <x:c r="P281" s="103" t="n">
        <x:f>N281-O281</x:f>
        <x:v>0</x:v>
      </x:c>
      <x:c r="Q281" s="103" t="n">
        <x:f>I281*'Inputs &amp; Guide'!$B$8</x:f>
        <x:v>0.11442480576824454</x:v>
      </x:c>
      <x:c r="R281" s="104" t="n">
        <x:f>IFERROR(P281/Q281,0)</x:f>
        <x:v>0</x:v>
      </x:c>
      <x:c r="S281" s="105" t="n">
        <x:f>ROUND(E281*XLOOKUP(C281,'Reference Tables'!$E$4:$E$12,'Reference Tables'!$G$4:$G$12,1),1)</x:f>
        <x:v>10.4</x:v>
      </x:c>
      <x:c r="T281" s="106" t="str">
        <x:f>IF(R281&gt;='Inputs &amp; Guide'!$B$9,"HIGH",IF(R281&gt;=0.45,"WATCH","NORMAL"))</x:f>
        <x:v>NORMAL</x:v>
      </x:c>
    </x:row>
    <x:row r="282">
      <x:c r="A282" s="95" t="n">
        <x:v>2225</x:v>
      </x:c>
      <x:c r="B282" s="96" t="n">
        <x:v>45384.4375</x:v>
      </x:c>
      <x:c r="C282" s="97" t="str">
        <x:v>Tornado</x:v>
      </x:c>
      <x:c r="D282" s="97" t="str">
        <x:v>India</x:v>
      </x:c>
      <x:c r="E282" s="98" t="n">
        <x:v>8.268762778325677</x:v>
      </x:c>
      <x:c r="F282" s="99" t="n">
        <x:v>833.6183904809865</x:v>
      </x:c>
      <x:c r="G282" s="100" t="str">
        <x:f>XLOOKUP(D282,'Reference Tables'!$A$4:$A$23,'Reference Tables'!$B$4:$B$23,"Other")</x:f>
        <x:v>Asia Pacific</x:v>
      </x:c>
      <x:c r="H282" s="100" t="str">
        <x:f>VLOOKUP(G282,'Reference Tables'!$I$4:$J$9,2,FALSE)</x:f>
        <x:v>High</x:v>
      </x:c>
      <x:c r="I282" s="101" t="n">
        <x:f>F282*'Inputs &amp; Guide'!$B$4*XLOOKUP(D282,'Reference Tables'!$A$4:$A$23,'Reference Tables'!$C$4:$C$23,0.75)</x:f>
        <x:v>121.37483765403164</x:v>
      </x:c>
      <x:c r="J282" s="102" t="n">
        <x:f>XLOOKUP(C282,'Reference Tables'!$E$4:$E$12,'Reference Tables'!$F$4:$F$12,0.05)</x:f>
        <x:v>0.09</x:v>
      </x:c>
      <x:c r="K282" s="103" t="n">
        <x:f>MIN(I282,F282*J282)</x:f>
        <x:v>75.02565514328877</x:v>
      </x:c>
      <x:c r="L282" s="103" t="n">
        <x:f>'Inputs &amp; Guide'!$B$5</x:f>
        <x:v>15</x:v>
      </x:c>
      <x:c r="M282" s="103" t="n">
        <x:f>I282*'Inputs &amp; Guide'!$B$6</x:f>
        <x:v>66.7561607097174</x:v>
      </x:c>
      <x:c r="N282" s="103" t="n">
        <x:f>MAX(0,MIN(K282-L282,M282))</x:f>
        <x:v>60.02565514328877</x:v>
      </x:c>
      <x:c r="O282" s="103" t="n">
        <x:f>MAX(0,N282-'Inputs &amp; Guide'!$B$7)</x:f>
        <x:v>0.025655143288773274</x:v>
      </x:c>
      <x:c r="P282" s="103" t="n">
        <x:f>N282-O282</x:f>
        <x:v>60</x:v>
      </x:c>
      <x:c r="Q282" s="103" t="n">
        <x:f>I282*'Inputs &amp; Guide'!$B$8</x:f>
        <x:v>2.1847470777725695</x:v>
      </x:c>
      <x:c r="R282" s="104" t="n">
        <x:f>IFERROR(P282/Q282,0)</x:f>
        <x:v>27.46313319762955</x:v>
      </x:c>
      <x:c r="S282" s="105" t="n">
        <x:f>ROUND(E282*XLOOKUP(C282,'Reference Tables'!$E$4:$E$12,'Reference Tables'!$G$4:$G$12,1),1)</x:f>
        <x:v>8.7</x:v>
      </x:c>
      <x:c r="T282" s="106" t="str">
        <x:f>IF(R282&gt;='Inputs &amp; Guide'!$B$9,"HIGH",IF(R282&gt;=0.45,"WATCH","NORMAL"))</x:f>
        <x:v>HIGH</x:v>
      </x:c>
    </x:row>
    <x:row r="283">
      <x:c r="A283" s="95" t="n">
        <x:v>2233</x:v>
      </x:c>
      <x:c r="B283" s="96" t="n">
        <x:v>45385</x:v>
      </x:c>
      <x:c r="C283" s="97" t="str">
        <x:v>Flood</x:v>
      </x:c>
      <x:c r="D283" s="97" t="str">
        <x:v>Brazil</x:v>
      </x:c>
      <x:c r="E283" s="98" t="n">
        <x:v>3.050469003536812</x:v>
      </x:c>
      <x:c r="F283" s="99" t="n">
        <x:v>523.0268842625384</x:v>
      </x:c>
      <x:c r="G283" s="100" t="str">
        <x:f>XLOOKUP(D283,'Reference Tables'!$A$4:$A$23,'Reference Tables'!$B$4:$B$23,"Other")</x:f>
        <x:v>Latin America</x:v>
      </x:c>
      <x:c r="H283" s="100" t="str">
        <x:f>VLOOKUP(G283,'Reference Tables'!$I$4:$J$9,2,FALSE)</x:f>
        <x:v>Moderate</x:v>
      </x:c>
      <x:c r="I283" s="101" t="n">
        <x:f>F283*'Inputs &amp; Guide'!$B$4*XLOOKUP(D283,'Reference Tables'!$A$4:$A$23,'Reference Tables'!$C$4:$C$23,0.75)</x:f>
        <x:v>68.62112721524504</x:v>
      </x:c>
      <x:c r="J283" s="102" t="n">
        <x:f>XLOOKUP(C283,'Reference Tables'!$E$4:$E$12,'Reference Tables'!$F$4:$F$12,0.05)</x:f>
        <x:v>0.12</x:v>
      </x:c>
      <x:c r="K283" s="103" t="n">
        <x:f>MIN(I283,F283*J283)</x:f>
        <x:v>62.7632261115046</x:v>
      </x:c>
      <x:c r="L283" s="103" t="n">
        <x:f>'Inputs &amp; Guide'!$B$5</x:f>
        <x:v>15</x:v>
      </x:c>
      <x:c r="M283" s="103" t="n">
        <x:f>I283*'Inputs &amp; Guide'!$B$6</x:f>
        <x:v>37.741619968384775</x:v>
      </x:c>
      <x:c r="N283" s="103" t="n">
        <x:f>MAX(0,MIN(K283-L283,M283))</x:f>
        <x:v>37.741619968384775</x:v>
      </x:c>
      <x:c r="O283" s="103" t="n">
        <x:f>MAX(0,N283-'Inputs &amp; Guide'!$B$7)</x:f>
        <x:v>0</x:v>
      </x:c>
      <x:c r="P283" s="103" t="n">
        <x:f>N283-O283</x:f>
        <x:v>37.741619968384775</x:v>
      </x:c>
      <x:c r="Q283" s="103" t="n">
        <x:f>I283*'Inputs &amp; Guide'!$B$8</x:f>
        <x:v>1.2351802898744106</x:v>
      </x:c>
      <x:c r="R283" s="104" t="n">
        <x:f>IFERROR(P283/Q283,0)</x:f>
        <x:v>30.55555555555556</x:v>
      </x:c>
      <x:c r="S283" s="105" t="n">
        <x:f>ROUND(E283*XLOOKUP(C283,'Reference Tables'!$E$4:$E$12,'Reference Tables'!$G$4:$G$12,1),1)</x:f>
        <x:v>3.8</x:v>
      </x:c>
      <x:c r="T283" s="106" t="str">
        <x:f>IF(R283&gt;='Inputs &amp; Guide'!$B$9,"HIGH",IF(R283&gt;=0.45,"WATCH","NORMAL"))</x:f>
        <x:v>HIGH</x:v>
      </x:c>
    </x:row>
    <x:row r="284">
      <x:c r="A284" s="95" t="n">
        <x:v>2241</x:v>
      </x:c>
      <x:c r="B284" s="96" t="n">
        <x:v>45385.104166666664</x:v>
      </x:c>
      <x:c r="C284" s="97" t="str">
        <x:v>Earthquake</x:v>
      </x:c>
      <x:c r="D284" s="97" t="str">
        <x:v>China</x:v>
      </x:c>
      <x:c r="E284" s="98" t="n">
        <x:v>2.6730159146367423</x:v>
      </x:c>
      <x:c r="F284" s="99" t="n">
        <x:v>378.58234398888345</x:v>
      </x:c>
      <x:c r="G284" s="100" t="str">
        <x:f>XLOOKUP(D284,'Reference Tables'!$A$4:$A$23,'Reference Tables'!$B$4:$B$23,"Other")</x:f>
        <x:v>Asia Pacific</x:v>
      </x:c>
      <x:c r="H284" s="100" t="str">
        <x:f>VLOOKUP(G284,'Reference Tables'!$I$4:$J$9,2,FALSE)</x:f>
        <x:v>High</x:v>
      </x:c>
      <x:c r="I284" s="101" t="n">
        <x:f>F284*'Inputs &amp; Guide'!$B$4*XLOOKUP(D284,'Reference Tables'!$A$4:$A$23,'Reference Tables'!$C$4:$C$23,0.75)</x:f>
        <x:v>65.41902904127906</x:v>
      </x:c>
      <x:c r="J284" s="102" t="n">
        <x:f>XLOOKUP(C284,'Reference Tables'!$E$4:$E$12,'Reference Tables'!$F$4:$F$12,0.05)</x:f>
        <x:v>0.14</x:v>
      </x:c>
      <x:c r="K284" s="103" t="n">
        <x:f>MIN(I284,F284*J284)</x:f>
        <x:v>53.00152815844369</x:v>
      </x:c>
      <x:c r="L284" s="103" t="n">
        <x:f>'Inputs &amp; Guide'!$B$5</x:f>
        <x:v>15</x:v>
      </x:c>
      <x:c r="M284" s="103" t="n">
        <x:f>I284*'Inputs &amp; Guide'!$B$6</x:f>
        <x:v>35.980465972703485</x:v>
      </x:c>
      <x:c r="N284" s="103" t="n">
        <x:f>MAX(0,MIN(K284-L284,M284))</x:f>
        <x:v>35.980465972703485</x:v>
      </x:c>
      <x:c r="O284" s="103" t="n">
        <x:f>MAX(0,N284-'Inputs &amp; Guide'!$B$7)</x:f>
        <x:v>0</x:v>
      </x:c>
      <x:c r="P284" s="103" t="n">
        <x:f>N284-O284</x:f>
        <x:v>35.980465972703485</x:v>
      </x:c>
      <x:c r="Q284" s="103" t="n">
        <x:f>I284*'Inputs &amp; Guide'!$B$8</x:f>
        <x:v>1.177542522743023</x:v>
      </x:c>
      <x:c r="R284" s="104" t="n">
        <x:f>IFERROR(P284/Q284,0)</x:f>
        <x:v>30.55555555555556</x:v>
      </x:c>
      <x:c r="S284" s="105" t="n">
        <x:f>ROUND(E284*XLOOKUP(C284,'Reference Tables'!$E$4:$E$12,'Reference Tables'!$G$4:$G$12,1),1)</x:f>
        <x:v>4</x:v>
      </x:c>
      <x:c r="T284" s="106" t="str">
        <x:f>IF(R284&gt;='Inputs &amp; Guide'!$B$9,"HIGH",IF(R284&gt;=0.45,"WATCH","NORMAL"))</x:f>
        <x:v>HIGH</x:v>
      </x:c>
    </x:row>
    <x:row r="285">
      <x:c r="A285" s="95" t="n">
        <x:v>2249</x:v>
      </x:c>
      <x:c r="B285" s="96" t="n">
        <x:v>45385.4375</x:v>
      </x:c>
      <x:c r="C285" s="97" t="str">
        <x:v>Flood</x:v>
      </x:c>
      <x:c r="D285" s="97" t="str">
        <x:v>India</x:v>
      </x:c>
      <x:c r="E285" s="98" t="n">
        <x:v>8.019347578976207</x:v>
      </x:c>
      <x:c r="F285" s="99" t="n">
        <x:v>929.0992029297279</x:v>
      </x:c>
      <x:c r="G285" s="100" t="str">
        <x:f>XLOOKUP(D285,'Reference Tables'!$A$4:$A$23,'Reference Tables'!$B$4:$B$23,"Other")</x:f>
        <x:v>Asia Pacific</x:v>
      </x:c>
      <x:c r="H285" s="100" t="str">
        <x:f>VLOOKUP(G285,'Reference Tables'!$I$4:$J$9,2,FALSE)</x:f>
        <x:v>High</x:v>
      </x:c>
      <x:c r="I285" s="101" t="n">
        <x:f>F285*'Inputs &amp; Guide'!$B$4*XLOOKUP(D285,'Reference Tables'!$A$4:$A$23,'Reference Tables'!$C$4:$C$23,0.75)</x:f>
        <x:v>135.2768439465684</x:v>
      </x:c>
      <x:c r="J285" s="102" t="n">
        <x:f>XLOOKUP(C285,'Reference Tables'!$E$4:$E$12,'Reference Tables'!$F$4:$F$12,0.05)</x:f>
        <x:v>0.12</x:v>
      </x:c>
      <x:c r="K285" s="103" t="n">
        <x:f>MIN(I285,F285*J285)</x:f>
        <x:v>111.49190435156734</x:v>
      </x:c>
      <x:c r="L285" s="103" t="n">
        <x:f>'Inputs &amp; Guide'!$B$5</x:f>
        <x:v>15</x:v>
      </x:c>
      <x:c r="M285" s="103" t="n">
        <x:f>I285*'Inputs &amp; Guide'!$B$6</x:f>
        <x:v>74.40226417061263</x:v>
      </x:c>
      <x:c r="N285" s="103" t="n">
        <x:f>MAX(0,MIN(K285-L285,M285))</x:f>
        <x:v>74.40226417061263</x:v>
      </x:c>
      <x:c r="O285" s="103" t="n">
        <x:f>MAX(0,N285-'Inputs &amp; Guide'!$B$7)</x:f>
        <x:v>14.402264170612625</x:v>
      </x:c>
      <x:c r="P285" s="103" t="n">
        <x:f>N285-O285</x:f>
        <x:v>60</x:v>
      </x:c>
      <x:c r="Q285" s="103" t="n">
        <x:f>I285*'Inputs &amp; Guide'!$B$8</x:f>
        <x:v>2.434983191038231</x:v>
      </x:c>
      <x:c r="R285" s="104" t="n">
        <x:f>IFERROR(P285/Q285,0)</x:f>
        <x:v>24.64082718140536</x:v>
      </x:c>
      <x:c r="S285" s="105" t="n">
        <x:f>ROUND(E285*XLOOKUP(C285,'Reference Tables'!$E$4:$E$12,'Reference Tables'!$G$4:$G$12,1),1)</x:f>
        <x:v>10</x:v>
      </x:c>
      <x:c r="T285" s="106" t="str">
        <x:f>IF(R285&gt;='Inputs &amp; Guide'!$B$9,"HIGH",IF(R285&gt;=0.45,"WATCH","NORMAL"))</x:f>
        <x:v>HIGH</x:v>
      </x:c>
    </x:row>
    <x:row r="286">
      <x:c r="A286" s="95" t="n">
        <x:v>2257</x:v>
      </x:c>
      <x:c r="B286" s="96" t="n">
        <x:v>45386</x:v>
      </x:c>
      <x:c r="C286" s="97" t="str">
        <x:v>Earthquake</x:v>
      </x:c>
      <x:c r="D286" s="97" t="str">
        <x:v>Indonesia</x:v>
      </x:c>
      <x:c r="E286" s="98" t="n">
        <x:v>5.223299435049221</x:v>
      </x:c>
      <x:c r="F286" s="99" t="n">
        <x:v>496.9960090632723</x:v>
      </x:c>
      <x:c r="G286" s="100" t="str">
        <x:f>XLOOKUP(D286,'Reference Tables'!$A$4:$A$23,'Reference Tables'!$B$4:$B$23,"Other")</x:f>
        <x:v>Asia Pacific</x:v>
      </x:c>
      <x:c r="H286" s="100" t="str">
        <x:f>VLOOKUP(G286,'Reference Tables'!$I$4:$J$9,2,FALSE)</x:f>
        <x:v>High</x:v>
      </x:c>
      <x:c r="I286" s="101" t="n">
        <x:f>F286*'Inputs &amp; Guide'!$B$4*XLOOKUP(D286,'Reference Tables'!$A$4:$A$23,'Reference Tables'!$C$4:$C$23,0.75)</x:f>
        <x:v>81.90494229362727</x:v>
      </x:c>
      <x:c r="J286" s="102" t="n">
        <x:f>XLOOKUP(C286,'Reference Tables'!$E$4:$E$12,'Reference Tables'!$F$4:$F$12,0.05)</x:f>
        <x:v>0.14</x:v>
      </x:c>
      <x:c r="K286" s="103" t="n">
        <x:f>MIN(I286,F286*J286)</x:f>
        <x:v>69.57944126885813</x:v>
      </x:c>
      <x:c r="L286" s="103" t="n">
        <x:f>'Inputs &amp; Guide'!$B$5</x:f>
        <x:v>15</x:v>
      </x:c>
      <x:c r="M286" s="103" t="n">
        <x:f>I286*'Inputs &amp; Guide'!$B$6</x:f>
        <x:v>45.04771826149501</x:v>
      </x:c>
      <x:c r="N286" s="103" t="n">
        <x:f>MAX(0,MIN(K286-L286,M286))</x:f>
        <x:v>45.04771826149501</x:v>
      </x:c>
      <x:c r="O286" s="103" t="n">
        <x:f>MAX(0,N286-'Inputs &amp; Guide'!$B$7)</x:f>
        <x:v>0</x:v>
      </x:c>
      <x:c r="P286" s="103" t="n">
        <x:f>N286-O286</x:f>
        <x:v>45.04771826149501</x:v>
      </x:c>
      <x:c r="Q286" s="103" t="n">
        <x:f>I286*'Inputs &amp; Guide'!$B$8</x:f>
        <x:v>1.4742889612852907</x:v>
      </x:c>
      <x:c r="R286" s="104" t="n">
        <x:f>IFERROR(P286/Q286,0)</x:f>
        <x:v>30.555555555555564</x:v>
      </x:c>
      <x:c r="S286" s="105" t="n">
        <x:f>ROUND(E286*XLOOKUP(C286,'Reference Tables'!$E$4:$E$12,'Reference Tables'!$G$4:$G$12,1),1)</x:f>
        <x:v>7.8</x:v>
      </x:c>
      <x:c r="T286" s="106" t="str">
        <x:f>IF(R286&gt;='Inputs &amp; Guide'!$B$9,"HIGH",IF(R286&gt;=0.45,"WATCH","NORMAL"))</x:f>
        <x:v>HIGH</x:v>
      </x:c>
    </x:row>
    <x:row r="287">
      <x:c r="A287" s="95" t="n">
        <x:v>2265</x:v>
      </x:c>
      <x:c r="B287" s="96" t="n">
        <x:v>45386.104166666664</x:v>
      </x:c>
      <x:c r="C287" s="97" t="str">
        <x:v>Hurricane</x:v>
      </x:c>
      <x:c r="D287" s="97" t="str">
        <x:v>Brazil</x:v>
      </x:c>
      <x:c r="E287" s="98" t="n">
        <x:v>6.405011652722749</x:v>
      </x:c>
      <x:c r="F287" s="99" t="n">
        <x:v>486.1298288114153</x:v>
      </x:c>
      <x:c r="G287" s="100" t="str">
        <x:f>XLOOKUP(D287,'Reference Tables'!$A$4:$A$23,'Reference Tables'!$B$4:$B$23,"Other")</x:f>
        <x:v>Latin America</x:v>
      </x:c>
      <x:c r="H287" s="100" t="str">
        <x:f>VLOOKUP(G287,'Reference Tables'!$I$4:$J$9,2,FALSE)</x:f>
        <x:v>Moderate</x:v>
      </x:c>
      <x:c r="I287" s="101" t="n">
        <x:f>F287*'Inputs &amp; Guide'!$B$4*XLOOKUP(D287,'Reference Tables'!$A$4:$A$23,'Reference Tables'!$C$4:$C$23,0.75)</x:f>
        <x:v>63.78023354005768</x:v>
      </x:c>
      <x:c r="J287" s="102" t="n">
        <x:f>XLOOKUP(C287,'Reference Tables'!$E$4:$E$12,'Reference Tables'!$F$4:$F$12,0.05)</x:f>
        <x:v>0.18</x:v>
      </x:c>
      <x:c r="K287" s="103" t="n">
        <x:f>MIN(I287,F287*J287)</x:f>
        <x:v>63.78023354005768</x:v>
      </x:c>
      <x:c r="L287" s="103" t="n">
        <x:f>'Inputs &amp; Guide'!$B$5</x:f>
        <x:v>15</x:v>
      </x:c>
      <x:c r="M287" s="103" t="n">
        <x:f>I287*'Inputs &amp; Guide'!$B$6</x:f>
        <x:v>35.07912844703173</x:v>
      </x:c>
      <x:c r="N287" s="103" t="n">
        <x:f>MAX(0,MIN(K287-L287,M287))</x:f>
        <x:v>35.07912844703173</x:v>
      </x:c>
      <x:c r="O287" s="103" t="n">
        <x:f>MAX(0,N287-'Inputs &amp; Guide'!$B$7)</x:f>
        <x:v>0</x:v>
      </x:c>
      <x:c r="P287" s="103" t="n">
        <x:f>N287-O287</x:f>
        <x:v>35.07912844703173</x:v>
      </x:c>
      <x:c r="Q287" s="103" t="n">
        <x:f>I287*'Inputs &amp; Guide'!$B$8</x:f>
        <x:v>1.148044203721038</x:v>
      </x:c>
      <x:c r="R287" s="104" t="n">
        <x:f>IFERROR(P287/Q287,0)</x:f>
        <x:v>30.555555555555564</x:v>
      </x:c>
      <x:c r="S287" s="105" t="n">
        <x:f>ROUND(E287*XLOOKUP(C287,'Reference Tables'!$E$4:$E$12,'Reference Tables'!$G$4:$G$12,1),1)</x:f>
        <x:v>9</x:v>
      </x:c>
      <x:c r="T287" s="106" t="str">
        <x:f>IF(R287&gt;='Inputs &amp; Guide'!$B$9,"HIGH",IF(R287&gt;=0.45,"WATCH","NORMAL"))</x:f>
        <x:v>HIGH</x:v>
      </x:c>
    </x:row>
    <x:row r="288">
      <x:c r="A288" s="95" t="n">
        <x:v>2273</x:v>
      </x:c>
      <x:c r="B288" s="96" t="n">
        <x:v>45386.4375</x:v>
      </x:c>
      <x:c r="C288" s="97" t="str">
        <x:v>Earthquake</x:v>
      </x:c>
      <x:c r="D288" s="97" t="str">
        <x:v>China</x:v>
      </x:c>
      <x:c r="E288" s="98" t="n">
        <x:v>7.4118840285784255</x:v>
      </x:c>
      <x:c r="F288" s="99" t="n">
        <x:v>448.51360388257496</x:v>
      </x:c>
      <x:c r="G288" s="100" t="str">
        <x:f>XLOOKUP(D288,'Reference Tables'!$A$4:$A$23,'Reference Tables'!$B$4:$B$23,"Other")</x:f>
        <x:v>Asia Pacific</x:v>
      </x:c>
      <x:c r="H288" s="100" t="str">
        <x:f>VLOOKUP(G288,'Reference Tables'!$I$4:$J$9,2,FALSE)</x:f>
        <x:v>High</x:v>
      </x:c>
      <x:c r="I288" s="101" t="n">
        <x:f>F288*'Inputs &amp; Guide'!$B$4*XLOOKUP(D288,'Reference Tables'!$A$4:$A$23,'Reference Tables'!$C$4:$C$23,0.75)</x:f>
        <x:v>77.50315075090896</x:v>
      </x:c>
      <x:c r="J288" s="102" t="n">
        <x:f>XLOOKUP(C288,'Reference Tables'!$E$4:$E$12,'Reference Tables'!$F$4:$F$12,0.05)</x:f>
        <x:v>0.14</x:v>
      </x:c>
      <x:c r="K288" s="103" t="n">
        <x:f>MIN(I288,F288*J288)</x:f>
        <x:v>62.7919045435605</x:v>
      </x:c>
      <x:c r="L288" s="103" t="n">
        <x:f>'Inputs &amp; Guide'!$B$5</x:f>
        <x:v>15</x:v>
      </x:c>
      <x:c r="M288" s="103" t="n">
        <x:f>I288*'Inputs &amp; Guide'!$B$6</x:f>
        <x:v>42.62673291299993</x:v>
      </x:c>
      <x:c r="N288" s="103" t="n">
        <x:f>MAX(0,MIN(K288-L288,M288))</x:f>
        <x:v>42.62673291299993</x:v>
      </x:c>
      <x:c r="O288" s="103" t="n">
        <x:f>MAX(0,N288-'Inputs &amp; Guide'!$B$7)</x:f>
        <x:v>0</x:v>
      </x:c>
      <x:c r="P288" s="103" t="n">
        <x:f>N288-O288</x:f>
        <x:v>42.62673291299993</x:v>
      </x:c>
      <x:c r="Q288" s="103" t="n">
        <x:f>I288*'Inputs &amp; Guide'!$B$8</x:f>
        <x:v>1.3950567135163612</x:v>
      </x:c>
      <x:c r="R288" s="104" t="n">
        <x:f>IFERROR(P288/Q288,0)</x:f>
        <x:v>30.555555555555557</x:v>
      </x:c>
      <x:c r="S288" s="105" t="n">
        <x:f>ROUND(E288*XLOOKUP(C288,'Reference Tables'!$E$4:$E$12,'Reference Tables'!$G$4:$G$12,1),1)</x:f>
        <x:v>11.1</x:v>
      </x:c>
      <x:c r="T288" s="106" t="str">
        <x:f>IF(R288&gt;='Inputs &amp; Guide'!$B$9,"HIGH",IF(R288&gt;=0.45,"WATCH","NORMAL"))</x:f>
        <x:v>HIGH</x:v>
      </x:c>
    </x:row>
    <x:row r="289">
      <x:c r="A289" s="95" t="n">
        <x:v>2281</x:v>
      </x:c>
      <x:c r="B289" s="96" t="n">
        <x:v>45387</x:v>
      </x:c>
      <x:c r="C289" s="97" t="str">
        <x:v>Hurricane</x:v>
      </x:c>
      <x:c r="D289" s="97" t="str">
        <x:v>Indonesia</x:v>
      </x:c>
      <x:c r="E289" s="98" t="n">
        <x:v>8.032450527253513</x:v>
      </x:c>
      <x:c r="F289" s="99" t="n">
        <x:v>598.8818297642003</x:v>
      </x:c>
      <x:c r="G289" s="100" t="str">
        <x:f>XLOOKUP(D289,'Reference Tables'!$A$4:$A$23,'Reference Tables'!$B$4:$B$23,"Other")</x:f>
        <x:v>Asia Pacific</x:v>
      </x:c>
      <x:c r="H289" s="100" t="str">
        <x:f>VLOOKUP(G289,'Reference Tables'!$I$4:$J$9,2,FALSE)</x:f>
        <x:v>High</x:v>
      </x:c>
      <x:c r="I289" s="101" t="n">
        <x:f>F289*'Inputs &amp; Guide'!$B$4*XLOOKUP(D289,'Reference Tables'!$A$4:$A$23,'Reference Tables'!$C$4:$C$23,0.75)</x:f>
        <x:v>98.69572554514022</x:v>
      </x:c>
      <x:c r="J289" s="102" t="n">
        <x:f>XLOOKUP(C289,'Reference Tables'!$E$4:$E$12,'Reference Tables'!$F$4:$F$12,0.05)</x:f>
        <x:v>0.18</x:v>
      </x:c>
      <x:c r="K289" s="103" t="n">
        <x:f>MIN(I289,F289*J289)</x:f>
        <x:v>98.69572554514022</x:v>
      </x:c>
      <x:c r="L289" s="103" t="n">
        <x:f>'Inputs &amp; Guide'!$B$5</x:f>
        <x:v>15</x:v>
      </x:c>
      <x:c r="M289" s="103" t="n">
        <x:f>I289*'Inputs &amp; Guide'!$B$6</x:f>
        <x:v>54.28264904982713</x:v>
      </x:c>
      <x:c r="N289" s="103" t="n">
        <x:f>MAX(0,MIN(K289-L289,M289))</x:f>
        <x:v>54.28264904982713</x:v>
      </x:c>
      <x:c r="O289" s="103" t="n">
        <x:f>MAX(0,N289-'Inputs &amp; Guide'!$B$7)</x:f>
        <x:v>0</x:v>
      </x:c>
      <x:c r="P289" s="103" t="n">
        <x:f>N289-O289</x:f>
        <x:v>54.28264904982713</x:v>
      </x:c>
      <x:c r="Q289" s="103" t="n">
        <x:f>I289*'Inputs &amp; Guide'!$B$8</x:f>
        <x:v>1.776523059812524</x:v>
      </x:c>
      <x:c r="R289" s="104" t="n">
        <x:f>IFERROR(P289/Q289,0)</x:f>
        <x:v>30.55555555555556</x:v>
      </x:c>
      <x:c r="S289" s="105" t="n">
        <x:f>ROUND(E289*XLOOKUP(C289,'Reference Tables'!$E$4:$E$12,'Reference Tables'!$G$4:$G$12,1),1)</x:f>
        <x:v>11.2</x:v>
      </x:c>
      <x:c r="T289" s="106" t="str">
        <x:f>IF(R289&gt;='Inputs &amp; Guide'!$B$9,"HIGH",IF(R289&gt;=0.45,"WATCH","NORMAL"))</x:f>
        <x:v>HIGH</x:v>
      </x:c>
    </x:row>
    <x:row r="290">
      <x:c r="A290" s="95" t="n">
        <x:v>2289</x:v>
      </x:c>
      <x:c r="B290" s="96" t="n">
        <x:v>45387.104166666664</x:v>
      </x:c>
      <x:c r="C290" s="97" t="str">
        <x:v>Flood</x:v>
      </x:c>
      <x:c r="D290" s="97" t="str">
        <x:v>India</x:v>
      </x:c>
      <x:c r="E290" s="98" t="n">
        <x:v>5.171065242125041</x:v>
      </x:c>
      <x:c r="F290" s="99" t="n">
        <x:v>67.79580314582516</x:v>
      </x:c>
      <x:c r="G290" s="100" t="str">
        <x:f>XLOOKUP(D290,'Reference Tables'!$A$4:$A$23,'Reference Tables'!$B$4:$B$23,"Other")</x:f>
        <x:v>Asia Pacific</x:v>
      </x:c>
      <x:c r="H290" s="100" t="str">
        <x:f>VLOOKUP(G290,'Reference Tables'!$I$4:$J$9,2,FALSE)</x:f>
        <x:v>High</x:v>
      </x:c>
      <x:c r="I290" s="101" t="n">
        <x:f>F290*'Inputs &amp; Guide'!$B$4*XLOOKUP(D290,'Reference Tables'!$A$4:$A$23,'Reference Tables'!$C$4:$C$23,0.75)</x:f>
        <x:v>9.871068938032144</x:v>
      </x:c>
      <x:c r="J290" s="102" t="n">
        <x:f>XLOOKUP(C290,'Reference Tables'!$E$4:$E$12,'Reference Tables'!$F$4:$F$12,0.05)</x:f>
        <x:v>0.12</x:v>
      </x:c>
      <x:c r="K290" s="103" t="n">
        <x:f>MIN(I290,F290*J290)</x:f>
        <x:v>8.135496377499019</x:v>
      </x:c>
      <x:c r="L290" s="103" t="n">
        <x:f>'Inputs &amp; Guide'!$B$5</x:f>
        <x:v>15</x:v>
      </x:c>
      <x:c r="M290" s="103" t="n">
        <x:f>I290*'Inputs &amp; Guide'!$B$6</x:f>
        <x:v>5.4290879159176795</x:v>
      </x:c>
      <x:c r="N290" s="103" t="n">
        <x:f>MAX(0,MIN(K290-L290,M290))</x:f>
        <x:v>0</x:v>
      </x:c>
      <x:c r="O290" s="103" t="n">
        <x:f>MAX(0,N290-'Inputs &amp; Guide'!$B$7)</x:f>
        <x:v>0</x:v>
      </x:c>
      <x:c r="P290" s="103" t="n">
        <x:f>N290-O290</x:f>
        <x:v>0</x:v>
      </x:c>
      <x:c r="Q290" s="103" t="n">
        <x:f>I290*'Inputs &amp; Guide'!$B$8</x:f>
        <x:v>0.17767924088457857</x:v>
      </x:c>
      <x:c r="R290" s="104" t="n">
        <x:f>IFERROR(P290/Q290,0)</x:f>
        <x:v>0</x:v>
      </x:c>
      <x:c r="S290" s="105" t="n">
        <x:f>ROUND(E290*XLOOKUP(C290,'Reference Tables'!$E$4:$E$12,'Reference Tables'!$G$4:$G$12,1),1)</x:f>
        <x:v>6.5</x:v>
      </x:c>
      <x:c r="T290" s="106" t="str">
        <x:f>IF(R290&gt;='Inputs &amp; Guide'!$B$9,"HIGH",IF(R290&gt;=0.45,"WATCH","NORMAL"))</x:f>
        <x:v>NORMAL</x:v>
      </x:c>
    </x:row>
    <x:row r="291">
      <x:c r="A291" s="95" t="n">
        <x:v>2297</x:v>
      </x:c>
      <x:c r="B291" s="96" t="n">
        <x:v>45387.4375</x:v>
      </x:c>
      <x:c r="C291" s="97" t="str">
        <x:v>Tornado</x:v>
      </x:c>
      <x:c r="D291" s="97" t="str">
        <x:v>USA</x:v>
      </x:c>
      <x:c r="E291" s="98" t="n">
        <x:v>3.755295458562321</x:v>
      </x:c>
      <x:c r="F291" s="99" t="n">
        <x:v>743.5027822476018</x:v>
      </x:c>
      <x:c r="G291" s="100" t="str">
        <x:f>XLOOKUP(D291,'Reference Tables'!$A$4:$A$23,'Reference Tables'!$B$4:$B$23,"Other")</x:f>
        <x:v>Other</x:v>
      </x:c>
      <x:c r="H291" s="100" t="str">
        <x:f>VLOOKUP(G291,'Reference Tables'!$I$4:$J$9,2,FALSE)</x:f>
        <x:v>Moderate</x:v>
      </x:c>
      <x:c r="I291" s="101" t="n">
        <x:f>F291*'Inputs &amp; Guide'!$B$4*XLOOKUP(D291,'Reference Tables'!$A$4:$A$23,'Reference Tables'!$C$4:$C$23,0.75)</x:f>
        <x:v>89.22033386971222</x:v>
      </x:c>
      <x:c r="J291" s="102" t="n">
        <x:f>XLOOKUP(C291,'Reference Tables'!$E$4:$E$12,'Reference Tables'!$F$4:$F$12,0.05)</x:f>
        <x:v>0.09</x:v>
      </x:c>
      <x:c r="K291" s="103" t="n">
        <x:f>MIN(I291,F291*J291)</x:f>
        <x:v>66.91525040228416</x:v>
      </x:c>
      <x:c r="L291" s="103" t="n">
        <x:f>'Inputs &amp; Guide'!$B$5</x:f>
        <x:v>15</x:v>
      </x:c>
      <x:c r="M291" s="103" t="n">
        <x:f>I291*'Inputs &amp; Guide'!$B$6</x:f>
        <x:v>49.07118362834173</x:v>
      </x:c>
      <x:c r="N291" s="103" t="n">
        <x:f>MAX(0,MIN(K291-L291,M291))</x:f>
        <x:v>49.07118362834173</x:v>
      </x:c>
      <x:c r="O291" s="103" t="n">
        <x:f>MAX(0,N291-'Inputs &amp; Guide'!$B$7)</x:f>
        <x:v>0</x:v>
      </x:c>
      <x:c r="P291" s="103" t="n">
        <x:f>N291-O291</x:f>
        <x:v>49.07118362834173</x:v>
      </x:c>
      <x:c r="Q291" s="103" t="n">
        <x:f>I291*'Inputs &amp; Guide'!$B$8</x:f>
        <x:v>1.6059660096548198</x:v>
      </x:c>
      <x:c r="R291" s="104" t="n">
        <x:f>IFERROR(P291/Q291,0)</x:f>
        <x:v>30.555555555555564</x:v>
      </x:c>
      <x:c r="S291" s="105" t="n">
        <x:f>ROUND(E291*XLOOKUP(C291,'Reference Tables'!$E$4:$E$12,'Reference Tables'!$G$4:$G$12,1),1)</x:f>
        <x:v>3.9</x:v>
      </x:c>
      <x:c r="T291" s="106" t="str">
        <x:f>IF(R291&gt;='Inputs &amp; Guide'!$B$9,"HIGH",IF(R291&gt;=0.45,"WATCH","NORMAL"))</x:f>
        <x:v>HIGH</x:v>
      </x:c>
    </x:row>
    <x:row r="292">
      <x:c r="A292" s="95" t="n">
        <x:v>2305</x:v>
      </x:c>
      <x:c r="B292" s="96" t="n">
        <x:v>45388</x:v>
      </x:c>
      <x:c r="C292" s="97" t="str">
        <x:v>Hurricane</x:v>
      </x:c>
      <x:c r="D292" s="97" t="str">
        <x:v>Brazil</x:v>
      </x:c>
      <x:c r="E292" s="98" t="n">
        <x:v>9.037709331182704</x:v>
      </x:c>
      <x:c r="F292" s="99" t="n">
        <x:v>588.3230785907311</x:v>
      </x:c>
      <x:c r="G292" s="100" t="str">
        <x:f>XLOOKUP(D292,'Reference Tables'!$A$4:$A$23,'Reference Tables'!$B$4:$B$23,"Other")</x:f>
        <x:v>Latin America</x:v>
      </x:c>
      <x:c r="H292" s="100" t="str">
        <x:f>VLOOKUP(G292,'Reference Tables'!$I$4:$J$9,2,FALSE)</x:f>
        <x:v>Moderate</x:v>
      </x:c>
      <x:c r="I292" s="101" t="n">
        <x:f>F292*'Inputs &amp; Guide'!$B$4*XLOOKUP(D292,'Reference Tables'!$A$4:$A$23,'Reference Tables'!$C$4:$C$23,0.75)</x:f>
        <x:v>77.18798791110393</x:v>
      </x:c>
      <x:c r="J292" s="102" t="n">
        <x:f>XLOOKUP(C292,'Reference Tables'!$E$4:$E$12,'Reference Tables'!$F$4:$F$12,0.05)</x:f>
        <x:v>0.18</x:v>
      </x:c>
      <x:c r="K292" s="103" t="n">
        <x:f>MIN(I292,F292*J292)</x:f>
        <x:v>77.18798791110393</x:v>
      </x:c>
      <x:c r="L292" s="103" t="n">
        <x:f>'Inputs &amp; Guide'!$B$5</x:f>
        <x:v>15</x:v>
      </x:c>
      <x:c r="M292" s="103" t="n">
        <x:f>I292*'Inputs &amp; Guide'!$B$6</x:f>
        <x:v>42.45339335110717</x:v>
      </x:c>
      <x:c r="N292" s="103" t="n">
        <x:f>MAX(0,MIN(K292-L292,M292))</x:f>
        <x:v>42.45339335110717</x:v>
      </x:c>
      <x:c r="O292" s="103" t="n">
        <x:f>MAX(0,N292-'Inputs &amp; Guide'!$B$7)</x:f>
        <x:v>0</x:v>
      </x:c>
      <x:c r="P292" s="103" t="n">
        <x:f>N292-O292</x:f>
        <x:v>42.45339335110717</x:v>
      </x:c>
      <x:c r="Q292" s="103" t="n">
        <x:f>I292*'Inputs &amp; Guide'!$B$8</x:f>
        <x:v>1.3893837823998707</x:v>
      </x:c>
      <x:c r="R292" s="104" t="n">
        <x:f>IFERROR(P292/Q292,0)</x:f>
        <x:v>30.55555555555556</x:v>
      </x:c>
      <x:c r="S292" s="105" t="n">
        <x:f>ROUND(E292*XLOOKUP(C292,'Reference Tables'!$E$4:$E$12,'Reference Tables'!$G$4:$G$12,1),1)</x:f>
        <x:v>12.7</x:v>
      </x:c>
      <x:c r="T292" s="106" t="str">
        <x:f>IF(R292&gt;='Inputs &amp; Guide'!$B$9,"HIGH",IF(R292&gt;=0.45,"WATCH","NORMAL"))</x:f>
        <x:v>HIGH</x:v>
      </x:c>
    </x:row>
    <x:row r="293">
      <x:c r="A293" s="95" t="n">
        <x:v>2313</x:v>
      </x:c>
      <x:c r="B293" s="96" t="n">
        <x:v>45388.104166666664</x:v>
      </x:c>
      <x:c r="C293" s="97" t="str">
        <x:v>Hurricane</x:v>
      </x:c>
      <x:c r="D293" s="97" t="str">
        <x:v>India</x:v>
      </x:c>
      <x:c r="E293" s="98" t="n">
        <x:v>7.22245669876354</x:v>
      </x:c>
      <x:c r="F293" s="99" t="n">
        <x:v>938.623652494288</x:v>
      </x:c>
      <x:c r="G293" s="100" t="str">
        <x:f>XLOOKUP(D293,'Reference Tables'!$A$4:$A$23,'Reference Tables'!$B$4:$B$23,"Other")</x:f>
        <x:v>Asia Pacific</x:v>
      </x:c>
      <x:c r="H293" s="100" t="str">
        <x:f>VLOOKUP(G293,'Reference Tables'!$I$4:$J$9,2,FALSE)</x:f>
        <x:v>High</x:v>
      </x:c>
      <x:c r="I293" s="101" t="n">
        <x:f>F293*'Inputs &amp; Guide'!$B$4*XLOOKUP(D293,'Reference Tables'!$A$4:$A$23,'Reference Tables'!$C$4:$C$23,0.75)</x:f>
        <x:v>136.66360380316834</x:v>
      </x:c>
      <x:c r="J293" s="102" t="n">
        <x:f>XLOOKUP(C293,'Reference Tables'!$E$4:$E$12,'Reference Tables'!$F$4:$F$12,0.05)</x:f>
        <x:v>0.18</x:v>
      </x:c>
      <x:c r="K293" s="103" t="n">
        <x:f>MIN(I293,F293*J293)</x:f>
        <x:v>136.66360380316834</x:v>
      </x:c>
      <x:c r="L293" s="103" t="n">
        <x:f>'Inputs &amp; Guide'!$B$5</x:f>
        <x:v>15</x:v>
      </x:c>
      <x:c r="M293" s="103" t="n">
        <x:f>I293*'Inputs &amp; Guide'!$B$6</x:f>
        <x:v>75.1649820917426</x:v>
      </x:c>
      <x:c r="N293" s="103" t="n">
        <x:f>MAX(0,MIN(K293-L293,M293))</x:f>
        <x:v>75.1649820917426</x:v>
      </x:c>
      <x:c r="O293" s="103" t="n">
        <x:f>MAX(0,N293-'Inputs &amp; Guide'!$B$7)</x:f>
        <x:v>15.164982091742601</x:v>
      </x:c>
      <x:c r="P293" s="103" t="n">
        <x:f>N293-O293</x:f>
        <x:v>60</x:v>
      </x:c>
      <x:c r="Q293" s="103" t="n">
        <x:f>I293*'Inputs &amp; Guide'!$B$8</x:f>
        <x:v>2.45994486845703</x:v>
      </x:c>
      <x:c r="R293" s="104" t="n">
        <x:f>IFERROR(P293/Q293,0)</x:f>
        <x:v>24.390790529234202</x:v>
      </x:c>
      <x:c r="S293" s="105" t="n">
        <x:f>ROUND(E293*XLOOKUP(C293,'Reference Tables'!$E$4:$E$12,'Reference Tables'!$G$4:$G$12,1),1)</x:f>
        <x:v>10.1</x:v>
      </x:c>
      <x:c r="T293" s="106" t="str">
        <x:f>IF(R293&gt;='Inputs &amp; Guide'!$B$9,"HIGH",IF(R293&gt;=0.45,"WATCH","NORMAL"))</x:f>
        <x:v>HIGH</x:v>
      </x:c>
    </x:row>
    <x:row r="294">
      <x:c r="A294" s="95" t="n">
        <x:v>2321</x:v>
      </x:c>
      <x:c r="B294" s="96" t="n">
        <x:v>45388.4375</x:v>
      </x:c>
      <x:c r="C294" s="97" t="str">
        <x:v>Flood</x:v>
      </x:c>
      <x:c r="D294" s="97" t="str">
        <x:v>Brazil</x:v>
      </x:c>
      <x:c r="E294" s="98" t="n">
        <x:v>5.673303992791907</x:v>
      </x:c>
      <x:c r="F294" s="99" t="n">
        <x:v>307.2470382614225</x:v>
      </x:c>
      <x:c r="G294" s="100" t="str">
        <x:f>XLOOKUP(D294,'Reference Tables'!$A$4:$A$23,'Reference Tables'!$B$4:$B$23,"Other")</x:f>
        <x:v>Latin America</x:v>
      </x:c>
      <x:c r="H294" s="100" t="str">
        <x:f>VLOOKUP(G294,'Reference Tables'!$I$4:$J$9,2,FALSE)</x:f>
        <x:v>Moderate</x:v>
      </x:c>
      <x:c r="I294" s="101" t="n">
        <x:f>F294*'Inputs &amp; Guide'!$B$4*XLOOKUP(D294,'Reference Tables'!$A$4:$A$23,'Reference Tables'!$C$4:$C$23,0.75)</x:f>
        <x:v>40.310811419898634</x:v>
      </x:c>
      <x:c r="J294" s="102" t="n">
        <x:f>XLOOKUP(C294,'Reference Tables'!$E$4:$E$12,'Reference Tables'!$F$4:$F$12,0.05)</x:f>
        <x:v>0.12</x:v>
      </x:c>
      <x:c r="K294" s="103" t="n">
        <x:f>MIN(I294,F294*J294)</x:f>
        <x:v>36.8696445913707</x:v>
      </x:c>
      <x:c r="L294" s="103" t="n">
        <x:f>'Inputs &amp; Guide'!$B$5</x:f>
        <x:v>15</x:v>
      </x:c>
      <x:c r="M294" s="103" t="n">
        <x:f>I294*'Inputs &amp; Guide'!$B$6</x:f>
        <x:v>22.17094628094425</x:v>
      </x:c>
      <x:c r="N294" s="103" t="n">
        <x:f>MAX(0,MIN(K294-L294,M294))</x:f>
        <x:v>21.8696445913707</x:v>
      </x:c>
      <x:c r="O294" s="103" t="n">
        <x:f>MAX(0,N294-'Inputs &amp; Guide'!$B$7)</x:f>
        <x:v>0</x:v>
      </x:c>
      <x:c r="P294" s="103" t="n">
        <x:f>N294-O294</x:f>
        <x:v>21.8696445913707</x:v>
      </x:c>
      <x:c r="Q294" s="103" t="n">
        <x:f>I294*'Inputs &amp; Guide'!$B$8</x:f>
        <x:v>0.7255946055581753</x:v>
      </x:c>
      <x:c r="R294" s="104" t="n">
        <x:f>IFERROR(P294/Q294,0)</x:f>
        <x:v>30.140307582010102</x:v>
      </x:c>
      <x:c r="S294" s="105" t="n">
        <x:f>ROUND(E294*XLOOKUP(C294,'Reference Tables'!$E$4:$E$12,'Reference Tables'!$G$4:$G$12,1),1)</x:f>
        <x:v>7.1</x:v>
      </x:c>
      <x:c r="T294" s="106" t="str">
        <x:f>IF(R294&gt;='Inputs &amp; Guide'!$B$9,"HIGH",IF(R294&gt;=0.45,"WATCH","NORMAL"))</x:f>
        <x:v>HIGH</x:v>
      </x:c>
    </x:row>
    <x:row r="295">
      <x:c r="A295" s="95" t="n">
        <x:v>2329</x:v>
      </x:c>
      <x:c r="B295" s="96" t="n">
        <x:v>45389</x:v>
      </x:c>
      <x:c r="C295" s="97" t="str">
        <x:v>Earthquake</x:v>
      </x:c>
      <x:c r="D295" s="97" t="str">
        <x:v>India</x:v>
      </x:c>
      <x:c r="E295" s="98" t="n">
        <x:v>3.5606916762132683</x:v>
      </x:c>
      <x:c r="F295" s="99" t="n">
        <x:v>762.7161296742923</x:v>
      </x:c>
      <x:c r="G295" s="100" t="str">
        <x:f>XLOOKUP(D295,'Reference Tables'!$A$4:$A$23,'Reference Tables'!$B$4:$B$23,"Other")</x:f>
        <x:v>Asia Pacific</x:v>
      </x:c>
      <x:c r="H295" s="100" t="str">
        <x:f>VLOOKUP(G295,'Reference Tables'!$I$4:$J$9,2,FALSE)</x:f>
        <x:v>High</x:v>
      </x:c>
      <x:c r="I295" s="101" t="n">
        <x:f>F295*'Inputs &amp; Guide'!$B$4*XLOOKUP(D295,'Reference Tables'!$A$4:$A$23,'Reference Tables'!$C$4:$C$23,0.75)</x:f>
        <x:v>111.05146848057697</x:v>
      </x:c>
      <x:c r="J295" s="102" t="n">
        <x:f>XLOOKUP(C295,'Reference Tables'!$E$4:$E$12,'Reference Tables'!$F$4:$F$12,0.05)</x:f>
        <x:v>0.14</x:v>
      </x:c>
      <x:c r="K295" s="103" t="n">
        <x:f>MIN(I295,F295*J295)</x:f>
        <x:v>106.78025815440094</x:v>
      </x:c>
      <x:c r="L295" s="103" t="n">
        <x:f>'Inputs &amp; Guide'!$B$5</x:f>
        <x:v>15</x:v>
      </x:c>
      <x:c r="M295" s="103" t="n">
        <x:f>I295*'Inputs &amp; Guide'!$B$6</x:f>
        <x:v>61.078307664317336</x:v>
      </x:c>
      <x:c r="N295" s="103" t="n">
        <x:f>MAX(0,MIN(K295-L295,M295))</x:f>
        <x:v>61.078307664317336</x:v>
      </x:c>
      <x:c r="O295" s="103" t="n">
        <x:f>MAX(0,N295-'Inputs &amp; Guide'!$B$7)</x:f>
        <x:v>1.078307664317336</x:v>
      </x:c>
      <x:c r="P295" s="103" t="n">
        <x:f>N295-O295</x:f>
        <x:v>60</x:v>
      </x:c>
      <x:c r="Q295" s="103" t="n">
        <x:f>I295*'Inputs &amp; Guide'!$B$8</x:f>
        <x:v>1.9989264326503853</x:v>
      </x:c>
      <x:c r="R295" s="104" t="n">
        <x:f>IFERROR(P295/Q295,0)</x:f>
        <x:v>30.016112158988133</x:v>
      </x:c>
      <x:c r="S295" s="105" t="n">
        <x:f>ROUND(E295*XLOOKUP(C295,'Reference Tables'!$E$4:$E$12,'Reference Tables'!$G$4:$G$12,1),1)</x:f>
        <x:v>5.3</x:v>
      </x:c>
      <x:c r="T295" s="106" t="str">
        <x:f>IF(R295&gt;='Inputs &amp; Guide'!$B$9,"HIGH",IF(R295&gt;=0.45,"WATCH","NORMAL"))</x:f>
        <x:v>HIGH</x:v>
      </x:c>
    </x:row>
    <x:row r="296">
      <x:c r="A296" s="95" t="n">
        <x:v>2337</x:v>
      </x:c>
      <x:c r="B296" s="96" t="n">
        <x:v>45389.104166666664</x:v>
      </x:c>
      <x:c r="C296" s="97" t="str">
        <x:v>Tornado</x:v>
      </x:c>
      <x:c r="D296" s="97" t="str">
        <x:v>Brazil</x:v>
      </x:c>
      <x:c r="E296" s="98" t="n">
        <x:v>7.4194058326331245</x:v>
      </x:c>
      <x:c r="F296" s="99" t="n">
        <x:v>631.855948432438</x:v>
      </x:c>
      <x:c r="G296" s="100" t="str">
        <x:f>XLOOKUP(D296,'Reference Tables'!$A$4:$A$23,'Reference Tables'!$B$4:$B$23,"Other")</x:f>
        <x:v>Latin America</x:v>
      </x:c>
      <x:c r="H296" s="100" t="str">
        <x:f>VLOOKUP(G296,'Reference Tables'!$I$4:$J$9,2,FALSE)</x:f>
        <x:v>Moderate</x:v>
      </x:c>
      <x:c r="I296" s="101" t="n">
        <x:f>F296*'Inputs &amp; Guide'!$B$4*XLOOKUP(D296,'Reference Tables'!$A$4:$A$23,'Reference Tables'!$C$4:$C$23,0.75)</x:f>
        <x:v>82.89950043433586</x:v>
      </x:c>
      <x:c r="J296" s="102" t="n">
        <x:f>XLOOKUP(C296,'Reference Tables'!$E$4:$E$12,'Reference Tables'!$F$4:$F$12,0.05)</x:f>
        <x:v>0.09</x:v>
      </x:c>
      <x:c r="K296" s="103" t="n">
        <x:f>MIN(I296,F296*J296)</x:f>
        <x:v>56.86703535891942</x:v>
      </x:c>
      <x:c r="L296" s="103" t="n">
        <x:f>'Inputs &amp; Guide'!$B$5</x:f>
        <x:v>15</x:v>
      </x:c>
      <x:c r="M296" s="103" t="n">
        <x:f>I296*'Inputs &amp; Guide'!$B$6</x:f>
        <x:v>45.59472523888473</x:v>
      </x:c>
      <x:c r="N296" s="103" t="n">
        <x:f>MAX(0,MIN(K296-L296,M296))</x:f>
        <x:v>41.86703535891942</x:v>
      </x:c>
      <x:c r="O296" s="103" t="n">
        <x:f>MAX(0,N296-'Inputs &amp; Guide'!$B$7)</x:f>
        <x:v>0</x:v>
      </x:c>
      <x:c r="P296" s="103" t="n">
        <x:f>N296-O296</x:f>
        <x:v>41.86703535891942</x:v>
      </x:c>
      <x:c r="Q296" s="103" t="n">
        <x:f>I296*'Inputs &amp; Guide'!$B$8</x:f>
        <x:v>1.4921910078180454</x:v>
      </x:c>
      <x:c r="R296" s="104" t="n">
        <x:f>IFERROR(P296/Q296,0)</x:f>
        <x:v>28.05742370753155</x:v>
      </x:c>
      <x:c r="S296" s="105" t="n">
        <x:f>ROUND(E296*XLOOKUP(C296,'Reference Tables'!$E$4:$E$12,'Reference Tables'!$G$4:$G$12,1),1)</x:f>
        <x:v>7.8</x:v>
      </x:c>
      <x:c r="T296" s="106" t="str">
        <x:f>IF(R296&gt;='Inputs &amp; Guide'!$B$9,"HIGH",IF(R296&gt;=0.45,"WATCH","NORMAL"))</x:f>
        <x:v>HIGH</x:v>
      </x:c>
    </x:row>
    <x:row r="297">
      <x:c r="A297" s="95" t="n">
        <x:v>2345</x:v>
      </x:c>
      <x:c r="B297" s="96" t="n">
        <x:v>45389.4375</x:v>
      </x:c>
      <x:c r="C297" s="97" t="str">
        <x:v>Hurricane</x:v>
      </x:c>
      <x:c r="D297" s="97" t="str">
        <x:v>USA</x:v>
      </x:c>
      <x:c r="E297" s="98" t="n">
        <x:v>8.779098550825408</x:v>
      </x:c>
      <x:c r="F297" s="99" t="n">
        <x:v>874.8194173828315</x:v>
      </x:c>
      <x:c r="G297" s="100" t="str">
        <x:f>XLOOKUP(D297,'Reference Tables'!$A$4:$A$23,'Reference Tables'!$B$4:$B$23,"Other")</x:f>
        <x:v>Other</x:v>
      </x:c>
      <x:c r="H297" s="100" t="str">
        <x:f>VLOOKUP(G297,'Reference Tables'!$I$4:$J$9,2,FALSE)</x:f>
        <x:v>Moderate</x:v>
      </x:c>
      <x:c r="I297" s="101" t="n">
        <x:f>F297*'Inputs &amp; Guide'!$B$4*XLOOKUP(D297,'Reference Tables'!$A$4:$A$23,'Reference Tables'!$C$4:$C$23,0.75)</x:f>
        <x:v>104.97833008593977</x:v>
      </x:c>
      <x:c r="J297" s="102" t="n">
        <x:f>XLOOKUP(C297,'Reference Tables'!$E$4:$E$12,'Reference Tables'!$F$4:$F$12,0.05)</x:f>
        <x:v>0.18</x:v>
      </x:c>
      <x:c r="K297" s="103" t="n">
        <x:f>MIN(I297,F297*J297)</x:f>
        <x:v>104.97833008593977</x:v>
      </x:c>
      <x:c r="L297" s="103" t="n">
        <x:f>'Inputs &amp; Guide'!$B$5</x:f>
        <x:v>15</x:v>
      </x:c>
      <x:c r="M297" s="103" t="n">
        <x:f>I297*'Inputs &amp; Guide'!$B$6</x:f>
        <x:v>57.73808154726688</x:v>
      </x:c>
      <x:c r="N297" s="103" t="n">
        <x:f>MAX(0,MIN(K297-L297,M297))</x:f>
        <x:v>57.73808154726688</x:v>
      </x:c>
      <x:c r="O297" s="103" t="n">
        <x:f>MAX(0,N297-'Inputs &amp; Guide'!$B$7)</x:f>
        <x:v>0</x:v>
      </x:c>
      <x:c r="P297" s="103" t="n">
        <x:f>N297-O297</x:f>
        <x:v>57.73808154726688</x:v>
      </x:c>
      <x:c r="Q297" s="103" t="n">
        <x:f>I297*'Inputs &amp; Guide'!$B$8</x:f>
        <x:v>1.8896099415469159</x:v>
      </x:c>
      <x:c r="R297" s="104" t="n">
        <x:f>IFERROR(P297/Q297,0)</x:f>
        <x:v>30.55555555555556</x:v>
      </x:c>
      <x:c r="S297" s="105" t="n">
        <x:f>ROUND(E297*XLOOKUP(C297,'Reference Tables'!$E$4:$E$12,'Reference Tables'!$G$4:$G$12,1),1)</x:f>
        <x:v>12.3</x:v>
      </x:c>
      <x:c r="T297" s="106" t="str">
        <x:f>IF(R297&gt;='Inputs &amp; Guide'!$B$9,"HIGH",IF(R297&gt;=0.45,"WATCH","NORMAL"))</x:f>
        <x:v>HIGH</x:v>
      </x:c>
    </x:row>
    <x:row r="298">
      <x:c r="A298" s="95" t="n">
        <x:v>2353</x:v>
      </x:c>
      <x:c r="B298" s="96" t="n">
        <x:v>45390</x:v>
      </x:c>
      <x:c r="C298" s="97" t="str">
        <x:v>Tornado</x:v>
      </x:c>
      <x:c r="D298" s="97" t="str">
        <x:v>Brazil</x:v>
      </x:c>
      <x:c r="E298" s="98" t="n">
        <x:v>7.532381109427723</x:v>
      </x:c>
      <x:c r="F298" s="99" t="n">
        <x:v>271.44180929626174</x:v>
      </x:c>
      <x:c r="G298" s="100" t="str">
        <x:f>XLOOKUP(D298,'Reference Tables'!$A$4:$A$23,'Reference Tables'!$B$4:$B$23,"Other")</x:f>
        <x:v>Latin America</x:v>
      </x:c>
      <x:c r="H298" s="100" t="str">
        <x:f>VLOOKUP(G298,'Reference Tables'!$I$4:$J$9,2,FALSE)</x:f>
        <x:v>Moderate</x:v>
      </x:c>
      <x:c r="I298" s="101" t="n">
        <x:f>F298*'Inputs &amp; Guide'!$B$4*XLOOKUP(D298,'Reference Tables'!$A$4:$A$23,'Reference Tables'!$C$4:$C$23,0.75)</x:f>
        <x:v>35.61316537966954</x:v>
      </x:c>
      <x:c r="J298" s="102" t="n">
        <x:f>XLOOKUP(C298,'Reference Tables'!$E$4:$E$12,'Reference Tables'!$F$4:$F$12,0.05)</x:f>
        <x:v>0.09</x:v>
      </x:c>
      <x:c r="K298" s="103" t="n">
        <x:f>MIN(I298,F298*J298)</x:f>
        <x:v>24.429762836663556</x:v>
      </x:c>
      <x:c r="L298" s="103" t="n">
        <x:f>'Inputs &amp; Guide'!$B$5</x:f>
        <x:v>15</x:v>
      </x:c>
      <x:c r="M298" s="103" t="n">
        <x:f>I298*'Inputs &amp; Guide'!$B$6</x:f>
        <x:v>19.58724095881825</x:v>
      </x:c>
      <x:c r="N298" s="103" t="n">
        <x:f>MAX(0,MIN(K298-L298,M298))</x:f>
        <x:v>9.429762836663556</x:v>
      </x:c>
      <x:c r="O298" s="103" t="n">
        <x:f>MAX(0,N298-'Inputs &amp; Guide'!$B$7)</x:f>
        <x:v>0</x:v>
      </x:c>
      <x:c r="P298" s="103" t="n">
        <x:f>N298-O298</x:f>
        <x:v>9.429762836663556</x:v>
      </x:c>
      <x:c r="Q298" s="103" t="n">
        <x:f>I298*'Inputs &amp; Guide'!$B$8</x:f>
        <x:v>0.6410369768340517</x:v>
      </x:c>
      <x:c r="R298" s="104" t="n">
        <x:f>IFERROR(P298/Q298,0)</x:f>
        <x:v>14.710169892593706</x:v>
      </x:c>
      <x:c r="S298" s="105" t="n">
        <x:f>ROUND(E298*XLOOKUP(C298,'Reference Tables'!$E$4:$E$12,'Reference Tables'!$G$4:$G$12,1),1)</x:f>
        <x:v>7.9</x:v>
      </x:c>
      <x:c r="T298" s="106" t="str">
        <x:f>IF(R298&gt;='Inputs &amp; Guide'!$B$9,"HIGH",IF(R298&gt;=0.45,"WATCH","NORMAL"))</x:f>
        <x:v>HIGH</x:v>
      </x:c>
    </x:row>
    <x:row r="299">
      <x:c r="A299" s="95" t="n">
        <x:v>2361</x:v>
      </x:c>
      <x:c r="B299" s="96" t="n">
        <x:v>45390.104166666664</x:v>
      </x:c>
      <x:c r="C299" s="97" t="str">
        <x:v>Hurricane</x:v>
      </x:c>
      <x:c r="D299" s="97" t="str">
        <x:v>Brazil</x:v>
      </x:c>
      <x:c r="E299" s="98" t="n">
        <x:v>7.496488795913982</x:v>
      </x:c>
      <x:c r="F299" s="99" t="n">
        <x:v>646.653530882022</x:v>
      </x:c>
      <x:c r="G299" s="100" t="str">
        <x:f>XLOOKUP(D299,'Reference Tables'!$A$4:$A$23,'Reference Tables'!$B$4:$B$23,"Other")</x:f>
        <x:v>Latin America</x:v>
      </x:c>
      <x:c r="H299" s="100" t="str">
        <x:f>VLOOKUP(G299,'Reference Tables'!$I$4:$J$9,2,FALSE)</x:f>
        <x:v>Moderate</x:v>
      </x:c>
      <x:c r="I299" s="101" t="n">
        <x:f>F299*'Inputs &amp; Guide'!$B$4*XLOOKUP(D299,'Reference Tables'!$A$4:$A$23,'Reference Tables'!$C$4:$C$23,0.75)</x:f>
        <x:v>84.84094325172127</x:v>
      </x:c>
      <x:c r="J299" s="102" t="n">
        <x:f>XLOOKUP(C299,'Reference Tables'!$E$4:$E$12,'Reference Tables'!$F$4:$F$12,0.05)</x:f>
        <x:v>0.18</x:v>
      </x:c>
      <x:c r="K299" s="103" t="n">
        <x:f>MIN(I299,F299*J299)</x:f>
        <x:v>84.84094325172127</x:v>
      </x:c>
      <x:c r="L299" s="103" t="n">
        <x:f>'Inputs &amp; Guide'!$B$5</x:f>
        <x:v>15</x:v>
      </x:c>
      <x:c r="M299" s="103" t="n">
        <x:f>I299*'Inputs &amp; Guide'!$B$6</x:f>
        <x:v>46.662518788446704</x:v>
      </x:c>
      <x:c r="N299" s="103" t="n">
        <x:f>MAX(0,MIN(K299-L299,M299))</x:f>
        <x:v>46.662518788446704</x:v>
      </x:c>
      <x:c r="O299" s="103" t="n">
        <x:f>MAX(0,N299-'Inputs &amp; Guide'!$B$7)</x:f>
        <x:v>0</x:v>
      </x:c>
      <x:c r="P299" s="103" t="n">
        <x:f>N299-O299</x:f>
        <x:v>46.662518788446704</x:v>
      </x:c>
      <x:c r="Q299" s="103" t="n">
        <x:f>I299*'Inputs &amp; Guide'!$B$8</x:f>
        <x:v>1.5271369785309827</x:v>
      </x:c>
      <x:c r="R299" s="104" t="n">
        <x:f>IFERROR(P299/Q299,0)</x:f>
        <x:v>30.55555555555556</x:v>
      </x:c>
      <x:c r="S299" s="105" t="n">
        <x:f>ROUND(E299*XLOOKUP(C299,'Reference Tables'!$E$4:$E$12,'Reference Tables'!$G$4:$G$12,1),1)</x:f>
        <x:v>10.5</x:v>
      </x:c>
      <x:c r="T299" s="106" t="str">
        <x:f>IF(R299&gt;='Inputs &amp; Guide'!$B$9,"HIGH",IF(R299&gt;=0.45,"WATCH","NORMAL"))</x:f>
        <x:v>HIGH</x:v>
      </x:c>
    </x:row>
    <x:row r="300">
      <x:c r="A300" s="95" t="n">
        <x:v>2369</x:v>
      </x:c>
      <x:c r="B300" s="96" t="n">
        <x:v>45390.4375</x:v>
      </x:c>
      <x:c r="C300" s="97" t="str">
        <x:v>Hurricane</x:v>
      </x:c>
      <x:c r="D300" s="97" t="str">
        <x:v>Brazil</x:v>
      </x:c>
      <x:c r="E300" s="98" t="n">
        <x:v>4.703368520426431</x:v>
      </x:c>
      <x:c r="F300" s="99" t="n">
        <x:v>124.51555236131364</x:v>
      </x:c>
      <x:c r="G300" s="100" t="str">
        <x:f>XLOOKUP(D300,'Reference Tables'!$A$4:$A$23,'Reference Tables'!$B$4:$B$23,"Other")</x:f>
        <x:v>Latin America</x:v>
      </x:c>
      <x:c r="H300" s="100" t="str">
        <x:f>VLOOKUP(G300,'Reference Tables'!$I$4:$J$9,2,FALSE)</x:f>
        <x:v>Moderate</x:v>
      </x:c>
      <x:c r="I300" s="101" t="n">
        <x:f>F300*'Inputs &amp; Guide'!$B$4*XLOOKUP(D300,'Reference Tables'!$A$4:$A$23,'Reference Tables'!$C$4:$C$23,0.75)</x:f>
        <x:v>16.336440469804348</x:v>
      </x:c>
      <x:c r="J300" s="102" t="n">
        <x:f>XLOOKUP(C300,'Reference Tables'!$E$4:$E$12,'Reference Tables'!$F$4:$F$12,0.05)</x:f>
        <x:v>0.18</x:v>
      </x:c>
      <x:c r="K300" s="103" t="n">
        <x:f>MIN(I300,F300*J300)</x:f>
        <x:v>16.336440469804348</x:v>
      </x:c>
      <x:c r="L300" s="103" t="n">
        <x:f>'Inputs &amp; Guide'!$B$5</x:f>
        <x:v>15</x:v>
      </x:c>
      <x:c r="M300" s="103" t="n">
        <x:f>I300*'Inputs &amp; Guide'!$B$6</x:f>
        <x:v>8.985042258392392</x:v>
      </x:c>
      <x:c r="N300" s="103" t="n">
        <x:f>MAX(0,MIN(K300-L300,M300))</x:f>
        <x:v>1.336440469804348</x:v>
      </x:c>
      <x:c r="O300" s="103" t="n">
        <x:f>MAX(0,N300-'Inputs &amp; Guide'!$B$7)</x:f>
        <x:v>0</x:v>
      </x:c>
      <x:c r="P300" s="103" t="n">
        <x:f>N300-O300</x:f>
        <x:v>1.336440469804348</x:v>
      </x:c>
      <x:c r="Q300" s="103" t="n">
        <x:f>I300*'Inputs &amp; Guide'!$B$8</x:f>
        <x:v>0.29405592845647827</x:v>
      </x:c>
      <x:c r="R300" s="104" t="n">
        <x:f>IFERROR(P300/Q300,0)</x:f>
        <x:v>4.544851303693909</x:v>
      </x:c>
      <x:c r="S300" s="105" t="n">
        <x:f>ROUND(E300*XLOOKUP(C300,'Reference Tables'!$E$4:$E$12,'Reference Tables'!$G$4:$G$12,1),1)</x:f>
        <x:v>6.6</x:v>
      </x:c>
      <x:c r="T300" s="106" t="str">
        <x:f>IF(R300&gt;='Inputs &amp; Guide'!$B$9,"HIGH",IF(R300&gt;=0.45,"WATCH","NORMAL"))</x:f>
        <x:v>HIGH</x:v>
      </x:c>
    </x:row>
    <x:row r="301">
      <x:c r="A301" s="95" t="n">
        <x:v>2377</x:v>
      </x:c>
      <x:c r="B301" s="96" t="n">
        <x:v>45391</x:v>
      </x:c>
      <x:c r="C301" s="97" t="str">
        <x:v>Earthquake</x:v>
      </x:c>
      <x:c r="D301" s="97" t="str">
        <x:v>India</x:v>
      </x:c>
      <x:c r="E301" s="98" t="n">
        <x:v>1.4943005104010143</x:v>
      </x:c>
      <x:c r="F301" s="99" t="n">
        <x:v>984.2372733079345</x:v>
      </x:c>
      <x:c r="G301" s="100" t="str">
        <x:f>XLOOKUP(D301,'Reference Tables'!$A$4:$A$23,'Reference Tables'!$B$4:$B$23,"Other")</x:f>
        <x:v>Asia Pacific</x:v>
      </x:c>
      <x:c r="H301" s="100" t="str">
        <x:f>VLOOKUP(G301,'Reference Tables'!$I$4:$J$9,2,FALSE)</x:f>
        <x:v>High</x:v>
      </x:c>
      <x:c r="I301" s="101" t="n">
        <x:f>F301*'Inputs &amp; Guide'!$B$4*XLOOKUP(D301,'Reference Tables'!$A$4:$A$23,'Reference Tables'!$C$4:$C$23,0.75)</x:f>
        <x:v>143.30494699363527</x:v>
      </x:c>
      <x:c r="J301" s="102" t="n">
        <x:f>XLOOKUP(C301,'Reference Tables'!$E$4:$E$12,'Reference Tables'!$F$4:$F$12,0.05)</x:f>
        <x:v>0.14</x:v>
      </x:c>
      <x:c r="K301" s="103" t="n">
        <x:f>MIN(I301,F301*J301)</x:f>
        <x:v>137.79321826311084</x:v>
      </x:c>
      <x:c r="L301" s="103" t="n">
        <x:f>'Inputs &amp; Guide'!$B$5</x:f>
        <x:v>15</x:v>
      </x:c>
      <x:c r="M301" s="103" t="n">
        <x:f>I301*'Inputs &amp; Guide'!$B$6</x:f>
        <x:v>78.8177208464994</x:v>
      </x:c>
      <x:c r="N301" s="103" t="n">
        <x:f>MAX(0,MIN(K301-L301,M301))</x:f>
        <x:v>78.8177208464994</x:v>
      </x:c>
      <x:c r="O301" s="103" t="n">
        <x:f>MAX(0,N301-'Inputs &amp; Guide'!$B$7)</x:f>
        <x:v>18.817720846499398</x:v>
      </x:c>
      <x:c r="P301" s="103" t="n">
        <x:f>N301-O301</x:f>
        <x:v>60</x:v>
      </x:c>
      <x:c r="Q301" s="103" t="n">
        <x:f>I301*'Inputs &amp; Guide'!$B$8</x:f>
        <x:v>2.5794890458854347</x:v>
      </x:c>
      <x:c r="R301" s="104" t="n">
        <x:f>IFERROR(P301/Q301,0)</x:f>
        <x:v>23.260420545575304</x:v>
      </x:c>
      <x:c r="S301" s="105" t="n">
        <x:f>ROUND(E301*XLOOKUP(C301,'Reference Tables'!$E$4:$E$12,'Reference Tables'!$G$4:$G$12,1),1)</x:f>
        <x:v>2.2</x:v>
      </x:c>
      <x:c r="T301" s="106" t="str">
        <x:f>IF(R301&gt;='Inputs &amp; Guide'!$B$9,"HIGH",IF(R301&gt;=0.45,"WATCH","NORMAL"))</x:f>
        <x:v>HIGH</x:v>
      </x:c>
    </x:row>
    <x:row r="302">
      <x:c r="A302" s="95" t="n">
        <x:v>2385</x:v>
      </x:c>
      <x:c r="B302" s="96" t="n">
        <x:v>45391.104166666664</x:v>
      </x:c>
      <x:c r="C302" s="97" t="str">
        <x:v>Tornado</x:v>
      </x:c>
      <x:c r="D302" s="97" t="str">
        <x:v>Brazil</x:v>
      </x:c>
      <x:c r="E302" s="98" t="n">
        <x:v>3.529995690902254</x:v>
      </x:c>
      <x:c r="F302" s="99" t="n">
        <x:v>614.8137972324847</x:v>
      </x:c>
      <x:c r="G302" s="100" t="str">
        <x:f>XLOOKUP(D302,'Reference Tables'!$A$4:$A$23,'Reference Tables'!$B$4:$B$23,"Other")</x:f>
        <x:v>Latin America</x:v>
      </x:c>
      <x:c r="H302" s="100" t="str">
        <x:f>VLOOKUP(G302,'Reference Tables'!$I$4:$J$9,2,FALSE)</x:f>
        <x:v>Moderate</x:v>
      </x:c>
      <x:c r="I302" s="101" t="n">
        <x:f>F302*'Inputs &amp; Guide'!$B$4*XLOOKUP(D302,'Reference Tables'!$A$4:$A$23,'Reference Tables'!$C$4:$C$23,0.75)</x:f>
        <x:v>80.663570196902</x:v>
      </x:c>
      <x:c r="J302" s="102" t="n">
        <x:f>XLOOKUP(C302,'Reference Tables'!$E$4:$E$12,'Reference Tables'!$F$4:$F$12,0.05)</x:f>
        <x:v>0.09</x:v>
      </x:c>
      <x:c r="K302" s="103" t="n">
        <x:f>MIN(I302,F302*J302)</x:f>
        <x:v>55.33324175092362</x:v>
      </x:c>
      <x:c r="L302" s="103" t="n">
        <x:f>'Inputs &amp; Guide'!$B$5</x:f>
        <x:v>15</x:v>
      </x:c>
      <x:c r="M302" s="103" t="n">
        <x:f>I302*'Inputs &amp; Guide'!$B$6</x:f>
        <x:v>44.3649636082961</x:v>
      </x:c>
      <x:c r="N302" s="103" t="n">
        <x:f>MAX(0,MIN(K302-L302,M302))</x:f>
        <x:v>40.33324175092362</x:v>
      </x:c>
      <x:c r="O302" s="103" t="n">
        <x:f>MAX(0,N302-'Inputs &amp; Guide'!$B$7)</x:f>
        <x:v>0</x:v>
      </x:c>
      <x:c r="P302" s="103" t="n">
        <x:f>N302-O302</x:f>
        <x:v>40.33324175092362</x:v>
      </x:c>
      <x:c r="Q302" s="103" t="n">
        <x:f>I302*'Inputs &amp; Guide'!$B$8</x:f>
        <x:v>1.451944263544236</x:v>
      </x:c>
      <x:c r="R302" s="104" t="n">
        <x:f>IFERROR(P302/Q302,0)</x:f>
        <x:v>27.778781020470486</x:v>
      </x:c>
      <x:c r="S302" s="105" t="n">
        <x:f>ROUND(E302*XLOOKUP(C302,'Reference Tables'!$E$4:$E$12,'Reference Tables'!$G$4:$G$12,1),1)</x:f>
        <x:v>3.7</x:v>
      </x:c>
      <x:c r="T302" s="106" t="str">
        <x:f>IF(R302&gt;='Inputs &amp; Guide'!$B$9,"HIGH",IF(R302&gt;=0.45,"WATCH","NORMAL"))</x:f>
        <x:v>HIGH</x:v>
      </x:c>
    </x:row>
    <x:row r="303">
      <x:c r="A303" s="95" t="n">
        <x:v>2393</x:v>
      </x:c>
      <x:c r="B303" s="96" t="n">
        <x:v>45391.4375</x:v>
      </x:c>
      <x:c r="C303" s="97" t="str">
        <x:v>Earthquake</x:v>
      </x:c>
      <x:c r="D303" s="97" t="str">
        <x:v>Japan</x:v>
      </x:c>
      <x:c r="E303" s="98" t="n">
        <x:v>4.283512771179142</x:v>
      </x:c>
      <x:c r="F303" s="99" t="n">
        <x:v>188.80776985593164</x:v>
      </x:c>
      <x:c r="G303" s="100" t="str">
        <x:f>XLOOKUP(D303,'Reference Tables'!$A$4:$A$23,'Reference Tables'!$B$4:$B$23,"Other")</x:f>
        <x:v>Asia Pacific</x:v>
      </x:c>
      <x:c r="H303" s="100" t="str">
        <x:f>VLOOKUP(G303,'Reference Tables'!$I$4:$J$9,2,FALSE)</x:f>
        <x:v>High</x:v>
      </x:c>
      <x:c r="I303" s="101" t="n">
        <x:f>F303*'Inputs &amp; Guide'!$B$4*XLOOKUP(D303,'Reference Tables'!$A$4:$A$23,'Reference Tables'!$C$4:$C$23,0.75)</x:f>
        <x:v>35.646906948799895</x:v>
      </x:c>
      <x:c r="J303" s="102" t="n">
        <x:f>XLOOKUP(C303,'Reference Tables'!$E$4:$E$12,'Reference Tables'!$F$4:$F$12,0.05)</x:f>
        <x:v>0.14</x:v>
      </x:c>
      <x:c r="K303" s="103" t="n">
        <x:f>MIN(I303,F303*J303)</x:f>
        <x:v>26.433087779830434</x:v>
      </x:c>
      <x:c r="L303" s="103" t="n">
        <x:f>'Inputs &amp; Guide'!$B$5</x:f>
        <x:v>15</x:v>
      </x:c>
      <x:c r="M303" s="103" t="n">
        <x:f>I303*'Inputs &amp; Guide'!$B$6</x:f>
        <x:v>19.605798821839944</x:v>
      </x:c>
      <x:c r="N303" s="103" t="n">
        <x:f>MAX(0,MIN(K303-L303,M303))</x:f>
        <x:v>11.433087779830434</x:v>
      </x:c>
      <x:c r="O303" s="103" t="n">
        <x:f>MAX(0,N303-'Inputs &amp; Guide'!$B$7)</x:f>
        <x:v>0</x:v>
      </x:c>
      <x:c r="P303" s="103" t="n">
        <x:f>N303-O303</x:f>
        <x:v>11.433087779830434</x:v>
      </x:c>
      <x:c r="Q303" s="103" t="n">
        <x:f>I303*'Inputs &amp; Guide'!$B$8</x:f>
        <x:v>0.6416443250783981</x:v>
      </x:c>
      <x:c r="R303" s="104" t="n">
        <x:f>IFERROR(P303/Q303,0)</x:f>
        <x:v>17.81841954019231</x:v>
      </x:c>
      <x:c r="S303" s="105" t="n">
        <x:f>ROUND(E303*XLOOKUP(C303,'Reference Tables'!$E$4:$E$12,'Reference Tables'!$G$4:$G$12,1),1)</x:f>
        <x:v>6.4</x:v>
      </x:c>
      <x:c r="T303" s="106" t="str">
        <x:f>IF(R303&gt;='Inputs &amp; Guide'!$B$9,"HIGH",IF(R303&gt;=0.45,"WATCH","NORMAL"))</x:f>
        <x:v>HIGH</x:v>
      </x:c>
    </x:row>
    <x:row r="304">
      <x:c r="A304" s="95" t="n">
        <x:v>2401</x:v>
      </x:c>
      <x:c r="B304" s="96" t="n">
        <x:v>45392</x:v>
      </x:c>
      <x:c r="C304" s="97" t="str">
        <x:v>Earthquake</x:v>
      </x:c>
      <x:c r="D304" s="97" t="str">
        <x:v>Japan</x:v>
      </x:c>
      <x:c r="E304" s="98" t="n">
        <x:v>6.531570364756153</x:v>
      </x:c>
      <x:c r="F304" s="99" t="n">
        <x:v>388.8906173805785</x:v>
      </x:c>
      <x:c r="G304" s="100" t="str">
        <x:f>XLOOKUP(D304,'Reference Tables'!$A$4:$A$23,'Reference Tables'!$B$4:$B$23,"Other")</x:f>
        <x:v>Asia Pacific</x:v>
      </x:c>
      <x:c r="H304" s="100" t="str">
        <x:f>VLOOKUP(G304,'Reference Tables'!$I$4:$J$9,2,FALSE)</x:f>
        <x:v>High</x:v>
      </x:c>
      <x:c r="I304" s="101" t="n">
        <x:f>F304*'Inputs &amp; Guide'!$B$4*XLOOKUP(D304,'Reference Tables'!$A$4:$A$23,'Reference Tables'!$C$4:$C$23,0.75)</x:f>
        <x:v>73.42254856145321</x:v>
      </x:c>
      <x:c r="J304" s="102" t="n">
        <x:f>XLOOKUP(C304,'Reference Tables'!$E$4:$E$12,'Reference Tables'!$F$4:$F$12,0.05)</x:f>
        <x:v>0.14</x:v>
      </x:c>
      <x:c r="K304" s="103" t="n">
        <x:f>MIN(I304,F304*J304)</x:f>
        <x:v>54.44468643328099</x:v>
      </x:c>
      <x:c r="L304" s="103" t="n">
        <x:f>'Inputs &amp; Guide'!$B$5</x:f>
        <x:v>15</x:v>
      </x:c>
      <x:c r="M304" s="103" t="n">
        <x:f>I304*'Inputs &amp; Guide'!$B$6</x:f>
        <x:v>40.38240170879927</x:v>
      </x:c>
      <x:c r="N304" s="103" t="n">
        <x:f>MAX(0,MIN(K304-L304,M304))</x:f>
        <x:v>39.44468643328099</x:v>
      </x:c>
      <x:c r="O304" s="103" t="n">
        <x:f>MAX(0,N304-'Inputs &amp; Guide'!$B$7)</x:f>
        <x:v>0</x:v>
      </x:c>
      <x:c r="P304" s="103" t="n">
        <x:f>N304-O304</x:f>
        <x:v>39.44468643328099</x:v>
      </x:c>
      <x:c r="Q304" s="103" t="n">
        <x:f>I304*'Inputs &amp; Guide'!$B$8</x:f>
        <x:v>1.3216058741061578</x:v>
      </x:c>
      <x:c r="R304" s="104" t="n">
        <x:f>IFERROR(P304/Q304,0)</x:f>
        <x:v>29.846028385700563</x:v>
      </x:c>
      <x:c r="S304" s="105" t="n">
        <x:f>ROUND(E304*XLOOKUP(C304,'Reference Tables'!$E$4:$E$12,'Reference Tables'!$G$4:$G$12,1),1)</x:f>
        <x:v>9.8</x:v>
      </x:c>
      <x:c r="T304" s="106" t="str">
        <x:f>IF(R304&gt;='Inputs &amp; Guide'!$B$9,"HIGH",IF(R304&gt;=0.45,"WATCH","NORMAL"))</x:f>
        <x:v>HIGH</x:v>
      </x:c>
    </x:row>
    <x:row r="305">
      <x:c r="A305" s="95" t="n">
        <x:v>2409</x:v>
      </x:c>
      <x:c r="B305" s="96" t="n">
        <x:v>45392.104166666664</x:v>
      </x:c>
      <x:c r="C305" s="97" t="str">
        <x:v>Tornado</x:v>
      </x:c>
      <x:c r="D305" s="97" t="str">
        <x:v>China</x:v>
      </x:c>
      <x:c r="E305" s="98" t="n">
        <x:v>5.510925679592266</x:v>
      </x:c>
      <x:c r="F305" s="99" t="n">
        <x:v>724.680244203774</x:v>
      </x:c>
      <x:c r="G305" s="100" t="str">
        <x:f>XLOOKUP(D305,'Reference Tables'!$A$4:$A$23,'Reference Tables'!$B$4:$B$23,"Other")</x:f>
        <x:v>Asia Pacific</x:v>
      </x:c>
      <x:c r="H305" s="100" t="str">
        <x:f>VLOOKUP(G305,'Reference Tables'!$I$4:$J$9,2,FALSE)</x:f>
        <x:v>High</x:v>
      </x:c>
      <x:c r="I305" s="101" t="n">
        <x:f>F305*'Inputs &amp; Guide'!$B$4*XLOOKUP(D305,'Reference Tables'!$A$4:$A$23,'Reference Tables'!$C$4:$C$23,0.75)</x:f>
        <x:v>125.22474619841216</x:v>
      </x:c>
      <x:c r="J305" s="102" t="n">
        <x:f>XLOOKUP(C305,'Reference Tables'!$E$4:$E$12,'Reference Tables'!$F$4:$F$12,0.05)</x:f>
        <x:v>0.09</x:v>
      </x:c>
      <x:c r="K305" s="103" t="n">
        <x:f>MIN(I305,F305*J305)</x:f>
        <x:v>65.22122197833966</x:v>
      </x:c>
      <x:c r="L305" s="103" t="n">
        <x:f>'Inputs &amp; Guide'!$B$5</x:f>
        <x:v>15</x:v>
      </x:c>
      <x:c r="M305" s="103" t="n">
        <x:f>I305*'Inputs &amp; Guide'!$B$6</x:f>
        <x:v>68.8736104091267</x:v>
      </x:c>
      <x:c r="N305" s="103" t="n">
        <x:f>MAX(0,MIN(K305-L305,M305))</x:f>
        <x:v>50.221221978339656</x:v>
      </x:c>
      <x:c r="O305" s="103" t="n">
        <x:f>MAX(0,N305-'Inputs &amp; Guide'!$B$7)</x:f>
        <x:v>0</x:v>
      </x:c>
      <x:c r="P305" s="103" t="n">
        <x:f>N305-O305</x:f>
        <x:v>50.221221978339656</x:v>
      </x:c>
      <x:c r="Q305" s="103" t="n">
        <x:f>I305*'Inputs &amp; Guide'!$B$8</x:f>
        <x:v>2.2540454315714187</x:v>
      </x:c>
      <x:c r="R305" s="104" t="n">
        <x:f>IFERROR(P305/Q305,0)</x:f>
        <x:v>22.280483469815287</x:v>
      </x:c>
      <x:c r="S305" s="105" t="n">
        <x:f>ROUND(E305*XLOOKUP(C305,'Reference Tables'!$E$4:$E$12,'Reference Tables'!$G$4:$G$12,1),1)</x:f>
        <x:v>5.8</x:v>
      </x:c>
      <x:c r="T305" s="106" t="str">
        <x:f>IF(R305&gt;='Inputs &amp; Guide'!$B$9,"HIGH",IF(R305&gt;=0.45,"WATCH","NORMAL"))</x:f>
        <x:v>HIGH</x:v>
      </x:c>
    </x:row>
    <x:row r="306">
      <x:c r="A306" s="95" t="n">
        <x:v>2417</x:v>
      </x:c>
      <x:c r="B306" s="96" t="n">
        <x:v>45392.4375</x:v>
      </x:c>
      <x:c r="C306" s="97" t="str">
        <x:v>Tornado</x:v>
      </x:c>
      <x:c r="D306" s="97" t="str">
        <x:v>Brazil</x:v>
      </x:c>
      <x:c r="E306" s="98" t="n">
        <x:v>8.36374283982677</x:v>
      </x:c>
      <x:c r="F306" s="99" t="n">
        <x:v>680.181168575365</x:v>
      </x:c>
      <x:c r="G306" s="100" t="str">
        <x:f>XLOOKUP(D306,'Reference Tables'!$A$4:$A$23,'Reference Tables'!$B$4:$B$23,"Other")</x:f>
        <x:v>Latin America</x:v>
      </x:c>
      <x:c r="H306" s="100" t="str">
        <x:f>VLOOKUP(G306,'Reference Tables'!$I$4:$J$9,2,FALSE)</x:f>
        <x:v>Moderate</x:v>
      </x:c>
      <x:c r="I306" s="101" t="n">
        <x:f>F306*'Inputs &amp; Guide'!$B$4*XLOOKUP(D306,'Reference Tables'!$A$4:$A$23,'Reference Tables'!$C$4:$C$23,0.75)</x:f>
        <x:v>89.23976931708788</x:v>
      </x:c>
      <x:c r="J306" s="102" t="n">
        <x:f>XLOOKUP(C306,'Reference Tables'!$E$4:$E$12,'Reference Tables'!$F$4:$F$12,0.05)</x:f>
        <x:v>0.09</x:v>
      </x:c>
      <x:c r="K306" s="103" t="n">
        <x:f>MIN(I306,F306*J306)</x:f>
        <x:v>61.21630517178284</x:v>
      </x:c>
      <x:c r="L306" s="103" t="n">
        <x:f>'Inputs &amp; Guide'!$B$5</x:f>
        <x:v>15</x:v>
      </x:c>
      <x:c r="M306" s="103" t="n">
        <x:f>I306*'Inputs &amp; Guide'!$B$6</x:f>
        <x:v>49.081873124398335</x:v>
      </x:c>
      <x:c r="N306" s="103" t="n">
        <x:f>MAX(0,MIN(K306-L306,M306))</x:f>
        <x:v>46.21630517178284</x:v>
      </x:c>
      <x:c r="O306" s="103" t="n">
        <x:f>MAX(0,N306-'Inputs &amp; Guide'!$B$7)</x:f>
        <x:v>0</x:v>
      </x:c>
      <x:c r="P306" s="103" t="n">
        <x:f>N306-O306</x:f>
        <x:v>46.21630517178284</x:v>
      </x:c>
      <x:c r="Q306" s="103" t="n">
        <x:f>I306*'Inputs &amp; Guide'!$B$8</x:f>
        <x:v>1.6063158477075816</x:v>
      </x:c>
      <x:c r="R306" s="104" t="n">
        <x:f>IFERROR(P306/Q306,0)</x:f>
        <x:v>28.77161751080239</x:v>
      </x:c>
      <x:c r="S306" s="105" t="n">
        <x:f>ROUND(E306*XLOOKUP(C306,'Reference Tables'!$E$4:$E$12,'Reference Tables'!$G$4:$G$12,1),1)</x:f>
        <x:v>8.8</x:v>
      </x:c>
      <x:c r="T306" s="106" t="str">
        <x:f>IF(R306&gt;='Inputs &amp; Guide'!$B$9,"HIGH",IF(R306&gt;=0.45,"WATCH","NORMAL"))</x:f>
        <x:v>HIGH</x:v>
      </x:c>
    </x:row>
    <x:row r="307">
      <x:c r="A307" s="95" t="n">
        <x:v>2425</x:v>
      </x:c>
      <x:c r="B307" s="96" t="n">
        <x:v>45393</x:v>
      </x:c>
      <x:c r="C307" s="97" t="str">
        <x:v>Earthquake</x:v>
      </x:c>
      <x:c r="D307" s="97" t="str">
        <x:v>Brazil</x:v>
      </x:c>
      <x:c r="E307" s="98" t="n">
        <x:v>5.582737367642458</x:v>
      </x:c>
      <x:c r="F307" s="99" t="n">
        <x:v>124.36196095298482</x:v>
      </x:c>
      <x:c r="G307" s="100" t="str">
        <x:f>XLOOKUP(D307,'Reference Tables'!$A$4:$A$23,'Reference Tables'!$B$4:$B$23,"Other")</x:f>
        <x:v>Latin America</x:v>
      </x:c>
      <x:c r="H307" s="100" t="str">
        <x:f>VLOOKUP(G307,'Reference Tables'!$I$4:$J$9,2,FALSE)</x:f>
        <x:v>Moderate</x:v>
      </x:c>
      <x:c r="I307" s="101" t="n">
        <x:f>F307*'Inputs &amp; Guide'!$B$4*XLOOKUP(D307,'Reference Tables'!$A$4:$A$23,'Reference Tables'!$C$4:$C$23,0.75)</x:f>
        <x:v>16.316289277031608</x:v>
      </x:c>
      <x:c r="J307" s="102" t="n">
        <x:f>XLOOKUP(C307,'Reference Tables'!$E$4:$E$12,'Reference Tables'!$F$4:$F$12,0.05)</x:f>
        <x:v>0.14</x:v>
      </x:c>
      <x:c r="K307" s="103" t="n">
        <x:f>MIN(I307,F307*J307)</x:f>
        <x:v>16.316289277031608</x:v>
      </x:c>
      <x:c r="L307" s="103" t="n">
        <x:f>'Inputs &amp; Guide'!$B$5</x:f>
        <x:v>15</x:v>
      </x:c>
      <x:c r="M307" s="103" t="n">
        <x:f>I307*'Inputs &amp; Guide'!$B$6</x:f>
        <x:v>8.973959102367385</x:v>
      </x:c>
      <x:c r="N307" s="103" t="n">
        <x:f>MAX(0,MIN(K307-L307,M307))</x:f>
        <x:v>1.3162892770316077</x:v>
      </x:c>
      <x:c r="O307" s="103" t="n">
        <x:f>MAX(0,N307-'Inputs &amp; Guide'!$B$7)</x:f>
        <x:v>0</x:v>
      </x:c>
      <x:c r="P307" s="103" t="n">
        <x:f>N307-O307</x:f>
        <x:v>1.3162892770316077</x:v>
      </x:c>
      <x:c r="Q307" s="103" t="n">
        <x:f>I307*'Inputs &amp; Guide'!$B$8</x:f>
        <x:v>0.2936932069865689</x:v>
      </x:c>
      <x:c r="R307" s="104" t="n">
        <x:f>IFERROR(P307/Q307,0)</x:f>
        <x:v>4.481851284670006</x:v>
      </x:c>
      <x:c r="S307" s="105" t="n">
        <x:f>ROUND(E307*XLOOKUP(C307,'Reference Tables'!$E$4:$E$12,'Reference Tables'!$G$4:$G$12,1),1)</x:f>
        <x:v>8.4</x:v>
      </x:c>
      <x:c r="T307" s="106" t="str">
        <x:f>IF(R307&gt;='Inputs &amp; Guide'!$B$9,"HIGH",IF(R307&gt;=0.45,"WATCH","NORMAL"))</x:f>
        <x:v>HIGH</x:v>
      </x:c>
    </x:row>
    <x:row r="308">
      <x:c r="A308" s="95" t="n">
        <x:v>2433</x:v>
      </x:c>
      <x:c r="B308" s="96" t="n">
        <x:v>45393.104166666664</x:v>
      </x:c>
      <x:c r="C308" s="97" t="str">
        <x:v>Tornado</x:v>
      </x:c>
      <x:c r="D308" s="97" t="str">
        <x:v>Japan</x:v>
      </x:c>
      <x:c r="E308" s="98" t="n">
        <x:v>6.919993814877672</x:v>
      </x:c>
      <x:c r="F308" s="99" t="n">
        <x:v>711.1147258045979</x:v>
      </x:c>
      <x:c r="G308" s="100" t="str">
        <x:f>XLOOKUP(D308,'Reference Tables'!$A$4:$A$23,'Reference Tables'!$B$4:$B$23,"Other")</x:f>
        <x:v>Asia Pacific</x:v>
      </x:c>
      <x:c r="H308" s="100" t="str">
        <x:f>VLOOKUP(G308,'Reference Tables'!$I$4:$J$9,2,FALSE)</x:f>
        <x:v>High</x:v>
      </x:c>
      <x:c r="I308" s="101" t="n">
        <x:f>F308*'Inputs &amp; Guide'!$B$4*XLOOKUP(D308,'Reference Tables'!$A$4:$A$23,'Reference Tables'!$C$4:$C$23,0.75)</x:f>
        <x:v>134.2584602319081</x:v>
      </x:c>
      <x:c r="J308" s="102" t="n">
        <x:f>XLOOKUP(C308,'Reference Tables'!$E$4:$E$12,'Reference Tables'!$F$4:$F$12,0.05)</x:f>
        <x:v>0.09</x:v>
      </x:c>
      <x:c r="K308" s="103" t="n">
        <x:f>MIN(I308,F308*J308)</x:f>
        <x:v>64.00032532241381</x:v>
      </x:c>
      <x:c r="L308" s="103" t="n">
        <x:f>'Inputs &amp; Guide'!$B$5</x:f>
        <x:v>15</x:v>
      </x:c>
      <x:c r="M308" s="103" t="n">
        <x:f>I308*'Inputs &amp; Guide'!$B$6</x:f>
        <x:v>73.84215312754945</x:v>
      </x:c>
      <x:c r="N308" s="103" t="n">
        <x:f>MAX(0,MIN(K308-L308,M308))</x:f>
        <x:v>49.000325322413815</x:v>
      </x:c>
      <x:c r="O308" s="103" t="n">
        <x:f>MAX(0,N308-'Inputs &amp; Guide'!$B$7)</x:f>
        <x:v>0</x:v>
      </x:c>
      <x:c r="P308" s="103" t="n">
        <x:f>N308-O308</x:f>
        <x:v>49.000325322413815</x:v>
      </x:c>
      <x:c r="Q308" s="103" t="n">
        <x:f>I308*'Inputs &amp; Guide'!$B$8</x:f>
        <x:v>2.4166522841743454</x:v>
      </x:c>
      <x:c r="R308" s="104" t="n">
        <x:f>IFERROR(P308/Q308,0)</x:f>
        <x:v>20.27611735593765</x:v>
      </x:c>
      <x:c r="S308" s="105" t="n">
        <x:f>ROUND(E308*XLOOKUP(C308,'Reference Tables'!$E$4:$E$12,'Reference Tables'!$G$4:$G$12,1),1)</x:f>
        <x:v>7.3</x:v>
      </x:c>
      <x:c r="T308" s="106" t="str">
        <x:f>IF(R308&gt;='Inputs &amp; Guide'!$B$9,"HIGH",IF(R308&gt;=0.45,"WATCH","NORMAL"))</x:f>
        <x:v>HIGH</x:v>
      </x:c>
    </x:row>
    <x:row r="309">
      <x:c r="A309" s="95" t="n">
        <x:v>2441</x:v>
      </x:c>
      <x:c r="B309" s="96" t="n">
        <x:v>45393.4375</x:v>
      </x:c>
      <x:c r="C309" s="97" t="str">
        <x:v>Tornado</x:v>
      </x:c>
      <x:c r="D309" s="97" t="str">
        <x:v>Brazil</x:v>
      </x:c>
      <x:c r="E309" s="98" t="n">
        <x:v>8.927425634129321</x:v>
      </x:c>
      <x:c r="F309" s="99" t="n">
        <x:v>857.18735519923</x:v>
      </x:c>
      <x:c r="G309" s="100" t="str">
        <x:f>XLOOKUP(D309,'Reference Tables'!$A$4:$A$23,'Reference Tables'!$B$4:$B$23,"Other")</x:f>
        <x:v>Latin America</x:v>
      </x:c>
      <x:c r="H309" s="100" t="str">
        <x:f>VLOOKUP(G309,'Reference Tables'!$I$4:$J$9,2,FALSE)</x:f>
        <x:v>Moderate</x:v>
      </x:c>
      <x:c r="I309" s="101" t="n">
        <x:f>F309*'Inputs &amp; Guide'!$B$4*XLOOKUP(D309,'Reference Tables'!$A$4:$A$23,'Reference Tables'!$C$4:$C$23,0.75)</x:f>
        <x:v>112.46298100213896</x:v>
      </x:c>
      <x:c r="J309" s="102" t="n">
        <x:f>XLOOKUP(C309,'Reference Tables'!$E$4:$E$12,'Reference Tables'!$F$4:$F$12,0.05)</x:f>
        <x:v>0.09</x:v>
      </x:c>
      <x:c r="K309" s="103" t="n">
        <x:f>MIN(I309,F309*J309)</x:f>
        <x:v>77.14686196793069</x:v>
      </x:c>
      <x:c r="L309" s="103" t="n">
        <x:f>'Inputs &amp; Guide'!$B$5</x:f>
        <x:v>15</x:v>
      </x:c>
      <x:c r="M309" s="103" t="n">
        <x:f>I309*'Inputs &amp; Guide'!$B$6</x:f>
        <x:v>61.85463955117643</x:v>
      </x:c>
      <x:c r="N309" s="103" t="n">
        <x:f>MAX(0,MIN(K309-L309,M309))</x:f>
        <x:v>61.85463955117643</x:v>
      </x:c>
      <x:c r="O309" s="103" t="n">
        <x:f>MAX(0,N309-'Inputs &amp; Guide'!$B$7)</x:f>
        <x:v>1.854639551176433</x:v>
      </x:c>
      <x:c r="P309" s="103" t="n">
        <x:f>N309-O309</x:f>
        <x:v>60</x:v>
      </x:c>
      <x:c r="Q309" s="103" t="n">
        <x:f>I309*'Inputs &amp; Guide'!$B$8</x:f>
        <x:v>2.024333658038501</x:v>
      </x:c>
      <x:c r="R309" s="104" t="n">
        <x:f>IFERROR(P309/Q309,0)</x:f>
        <x:v>29.639382698471564</x:v>
      </x:c>
      <x:c r="S309" s="105" t="n">
        <x:f>ROUND(E309*XLOOKUP(C309,'Reference Tables'!$E$4:$E$12,'Reference Tables'!$G$4:$G$12,1),1)</x:f>
        <x:v>9.4</x:v>
      </x:c>
      <x:c r="T309" s="106" t="str">
        <x:f>IF(R309&gt;='Inputs &amp; Guide'!$B$9,"HIGH",IF(R309&gt;=0.45,"WATCH","NORMAL"))</x:f>
        <x:v>HIGH</x:v>
      </x:c>
    </x:row>
    <x:row r="310">
      <x:c r="A310" s="95" t="n">
        <x:v>2449</x:v>
      </x:c>
      <x:c r="B310" s="96" t="n">
        <x:v>45394</x:v>
      </x:c>
      <x:c r="C310" s="97" t="str">
        <x:v>Earthquake</x:v>
      </x:c>
      <x:c r="D310" s="97" t="str">
        <x:v>Japan</x:v>
      </x:c>
      <x:c r="E310" s="98" t="n">
        <x:v>6.915023705559242</x:v>
      </x:c>
      <x:c r="F310" s="99" t="n">
        <x:v>911.988403181525</x:v>
      </x:c>
      <x:c r="G310" s="100" t="str">
        <x:f>XLOOKUP(D310,'Reference Tables'!$A$4:$A$23,'Reference Tables'!$B$4:$B$23,"Other")</x:f>
        <x:v>Asia Pacific</x:v>
      </x:c>
      <x:c r="H310" s="100" t="str">
        <x:f>VLOOKUP(G310,'Reference Tables'!$I$4:$J$9,2,FALSE)</x:f>
        <x:v>High</x:v>
      </x:c>
      <x:c r="I310" s="101" t="n">
        <x:f>F310*'Inputs &amp; Guide'!$B$4*XLOOKUP(D310,'Reference Tables'!$A$4:$A$23,'Reference Tables'!$C$4:$C$23,0.75)</x:f>
        <x:v>172.1834105206719</x:v>
      </x:c>
      <x:c r="J310" s="102" t="n">
        <x:f>XLOOKUP(C310,'Reference Tables'!$E$4:$E$12,'Reference Tables'!$F$4:$F$12,0.05)</x:f>
        <x:v>0.14</x:v>
      </x:c>
      <x:c r="K310" s="103" t="n">
        <x:f>MIN(I310,F310*J310)</x:f>
        <x:v>127.6783764454135</x:v>
      </x:c>
      <x:c r="L310" s="103" t="n">
        <x:f>'Inputs &amp; Guide'!$B$5</x:f>
        <x:v>15</x:v>
      </x:c>
      <x:c r="M310" s="103" t="n">
        <x:f>I310*'Inputs &amp; Guide'!$B$6</x:f>
        <x:v>94.70087578636956</x:v>
      </x:c>
      <x:c r="N310" s="103" t="n">
        <x:f>MAX(0,MIN(K310-L310,M310))</x:f>
        <x:v>94.70087578636956</x:v>
      </x:c>
      <x:c r="O310" s="103" t="n">
        <x:f>MAX(0,N310-'Inputs &amp; Guide'!$B$7)</x:f>
        <x:v>34.700875786369565</x:v>
      </x:c>
      <x:c r="P310" s="103" t="n">
        <x:f>N310-O310</x:f>
        <x:v>60</x:v>
      </x:c>
      <x:c r="Q310" s="103" t="n">
        <x:f>I310*'Inputs &amp; Guide'!$B$8</x:f>
        <x:v>3.099301389372094</x:v>
      </x:c>
      <x:c r="R310" s="104" t="n">
        <x:f>IFERROR(P310/Q310,0)</x:f>
        <x:v>19.359201465771534</x:v>
      </x:c>
      <x:c r="S310" s="105" t="n">
        <x:f>ROUND(E310*XLOOKUP(C310,'Reference Tables'!$E$4:$E$12,'Reference Tables'!$G$4:$G$12,1),1)</x:f>
        <x:v>10.4</x:v>
      </x:c>
      <x:c r="T310" s="106" t="str">
        <x:f>IF(R310&gt;='Inputs &amp; Guide'!$B$9,"HIGH",IF(R310&gt;=0.45,"WATCH","NORMAL"))</x:f>
        <x:v>HIGH</x:v>
      </x:c>
    </x:row>
    <x:row r="311">
      <x:c r="A311" s="95" t="n">
        <x:v>2457</x:v>
      </x:c>
      <x:c r="B311" s="96" t="n">
        <x:v>45394.104166666664</x:v>
      </x:c>
      <x:c r="C311" s="97" t="str">
        <x:v>Flood</x:v>
      </x:c>
      <x:c r="D311" s="97" t="str">
        <x:v>Indonesia</x:v>
      </x:c>
      <x:c r="E311" s="98" t="n">
        <x:v>1.8950926351382074</x:v>
      </x:c>
      <x:c r="F311" s="99" t="n">
        <x:v>139.1889119288306</x:v>
      </x:c>
      <x:c r="G311" s="100" t="str">
        <x:f>XLOOKUP(D311,'Reference Tables'!$A$4:$A$23,'Reference Tables'!$B$4:$B$23,"Other")</x:f>
        <x:v>Asia Pacific</x:v>
      </x:c>
      <x:c r="H311" s="100" t="str">
        <x:f>VLOOKUP(G311,'Reference Tables'!$I$4:$J$9,2,FALSE)</x:f>
        <x:v>High</x:v>
      </x:c>
      <x:c r="I311" s="101" t="n">
        <x:f>F311*'Inputs &amp; Guide'!$B$4*XLOOKUP(D311,'Reference Tables'!$A$4:$A$23,'Reference Tables'!$C$4:$C$23,0.75)</x:f>
        <x:v>22.938332685871284</x:v>
      </x:c>
      <x:c r="J311" s="102" t="n">
        <x:f>XLOOKUP(C311,'Reference Tables'!$E$4:$E$12,'Reference Tables'!$F$4:$F$12,0.05)</x:f>
        <x:v>0.12</x:v>
      </x:c>
      <x:c r="K311" s="103" t="n">
        <x:f>MIN(I311,F311*J311)</x:f>
        <x:v>16.70266943145967</x:v>
      </x:c>
      <x:c r="L311" s="103" t="n">
        <x:f>'Inputs &amp; Guide'!$B$5</x:f>
        <x:v>15</x:v>
      </x:c>
      <x:c r="M311" s="103" t="n">
        <x:f>I311*'Inputs &amp; Guide'!$B$6</x:f>
        <x:v>12.616082977229206</x:v>
      </x:c>
      <x:c r="N311" s="103" t="n">
        <x:f>MAX(0,MIN(K311-L311,M311))</x:f>
        <x:v>1.7026694314596718</x:v>
      </x:c>
      <x:c r="O311" s="103" t="n">
        <x:f>MAX(0,N311-'Inputs &amp; Guide'!$B$7)</x:f>
        <x:v>0</x:v>
      </x:c>
      <x:c r="P311" s="103" t="n">
        <x:f>N311-O311</x:f>
        <x:v>1.7026694314596718</x:v>
      </x:c>
      <x:c r="Q311" s="103" t="n">
        <x:f>I311*'Inputs &amp; Guide'!$B$8</x:f>
        <x:v>0.4128899883456831</x:v>
      </x:c>
      <x:c r="R311" s="104" t="n">
        <x:f>IFERROR(P311/Q311,0)</x:f>
        <x:v>4.123784735691264</x:v>
      </x:c>
      <x:c r="S311" s="105" t="n">
        <x:f>ROUND(E311*XLOOKUP(C311,'Reference Tables'!$E$4:$E$12,'Reference Tables'!$G$4:$G$12,1),1)</x:f>
        <x:v>2.4</x:v>
      </x:c>
      <x:c r="T311" s="106" t="str">
        <x:f>IF(R311&gt;='Inputs &amp; Guide'!$B$9,"HIGH",IF(R311&gt;=0.45,"WATCH","NORMAL"))</x:f>
        <x:v>HIGH</x:v>
      </x:c>
    </x:row>
    <x:row r="312">
      <x:c r="A312" s="95" t="n">
        <x:v>2465</x:v>
      </x:c>
      <x:c r="B312" s="96" t="n">
        <x:v>45394.4375</x:v>
      </x:c>
      <x:c r="C312" s="97" t="str">
        <x:v>Tornado</x:v>
      </x:c>
      <x:c r="D312" s="97" t="str">
        <x:v>Brazil</x:v>
      </x:c>
      <x:c r="E312" s="98" t="n">
        <x:v>5.82307785213918</x:v>
      </x:c>
      <x:c r="F312" s="99" t="n">
        <x:v>48.22848977130415</x:v>
      </x:c>
      <x:c r="G312" s="100" t="str">
        <x:f>XLOOKUP(D312,'Reference Tables'!$A$4:$A$23,'Reference Tables'!$B$4:$B$23,"Other")</x:f>
        <x:v>Latin America</x:v>
      </x:c>
      <x:c r="H312" s="100" t="str">
        <x:f>VLOOKUP(G312,'Reference Tables'!$I$4:$J$9,2,FALSE)</x:f>
        <x:v>Moderate</x:v>
      </x:c>
      <x:c r="I312" s="101" t="n">
        <x:f>F312*'Inputs &amp; Guide'!$B$4*XLOOKUP(D312,'Reference Tables'!$A$4:$A$23,'Reference Tables'!$C$4:$C$23,0.75)</x:f>
        <x:v>6.327577857995104</x:v>
      </x:c>
      <x:c r="J312" s="102" t="n">
        <x:f>XLOOKUP(C312,'Reference Tables'!$E$4:$E$12,'Reference Tables'!$F$4:$F$12,0.05)</x:f>
        <x:v>0.09</x:v>
      </x:c>
      <x:c r="K312" s="103" t="n">
        <x:f>MIN(I312,F312*J312)</x:f>
        <x:v>4.340564079417373</x:v>
      </x:c>
      <x:c r="L312" s="103" t="n">
        <x:f>'Inputs &amp; Guide'!$B$5</x:f>
        <x:v>15</x:v>
      </x:c>
      <x:c r="M312" s="103" t="n">
        <x:f>I312*'Inputs &amp; Guide'!$B$6</x:f>
        <x:v>3.4801678218973073</x:v>
      </x:c>
      <x:c r="N312" s="103" t="n">
        <x:f>MAX(0,MIN(K312-L312,M312))</x:f>
        <x:v>0</x:v>
      </x:c>
      <x:c r="O312" s="103" t="n">
        <x:f>MAX(0,N312-'Inputs &amp; Guide'!$B$7)</x:f>
        <x:v>0</x:v>
      </x:c>
      <x:c r="P312" s="103" t="n">
        <x:f>N312-O312</x:f>
        <x:v>0</x:v>
      </x:c>
      <x:c r="Q312" s="103" t="n">
        <x:f>I312*'Inputs &amp; Guide'!$B$8</x:f>
        <x:v>0.11389640144391186</x:v>
      </x:c>
      <x:c r="R312" s="104" t="n">
        <x:f>IFERROR(P312/Q312,0)</x:f>
        <x:v>0</x:v>
      </x:c>
      <x:c r="S312" s="105" t="n">
        <x:f>ROUND(E312*XLOOKUP(C312,'Reference Tables'!$E$4:$E$12,'Reference Tables'!$G$4:$G$12,1),1)</x:f>
        <x:v>6.1</x:v>
      </x:c>
      <x:c r="T312" s="106" t="str">
        <x:f>IF(R312&gt;='Inputs &amp; Guide'!$B$9,"HIGH",IF(R312&gt;=0.45,"WATCH","NORMAL"))</x:f>
        <x:v>NORMAL</x:v>
      </x:c>
    </x:row>
    <x:row r="313">
      <x:c r="A313" s="95" t="n">
        <x:v>2473</x:v>
      </x:c>
      <x:c r="B313" s="96" t="n">
        <x:v>45395</x:v>
      </x:c>
      <x:c r="C313" s="97" t="str">
        <x:v>Hurricane</x:v>
      </x:c>
      <x:c r="D313" s="97" t="str">
        <x:v>India</x:v>
      </x:c>
      <x:c r="E313" s="98" t="n">
        <x:v>8.199991371746023</x:v>
      </x:c>
      <x:c r="F313" s="99" t="n">
        <x:v>513.6585272435563</x:v>
      </x:c>
      <x:c r="G313" s="100" t="str">
        <x:f>XLOOKUP(D313,'Reference Tables'!$A$4:$A$23,'Reference Tables'!$B$4:$B$23,"Other")</x:f>
        <x:v>Asia Pacific</x:v>
      </x:c>
      <x:c r="H313" s="100" t="str">
        <x:f>VLOOKUP(G313,'Reference Tables'!$I$4:$J$9,2,FALSE)</x:f>
        <x:v>High</x:v>
      </x:c>
      <x:c r="I313" s="101" t="n">
        <x:f>F313*'Inputs &amp; Guide'!$B$4*XLOOKUP(D313,'Reference Tables'!$A$4:$A$23,'Reference Tables'!$C$4:$C$23,0.75)</x:f>
        <x:v>74.7886815666618</x:v>
      </x:c>
      <x:c r="J313" s="102" t="n">
        <x:f>XLOOKUP(C313,'Reference Tables'!$E$4:$E$12,'Reference Tables'!$F$4:$F$12,0.05)</x:f>
        <x:v>0.18</x:v>
      </x:c>
      <x:c r="K313" s="103" t="n">
        <x:f>MIN(I313,F313*J313)</x:f>
        <x:v>74.7886815666618</x:v>
      </x:c>
      <x:c r="L313" s="103" t="n">
        <x:f>'Inputs &amp; Guide'!$B$5</x:f>
        <x:v>15</x:v>
      </x:c>
      <x:c r="M313" s="103" t="n">
        <x:f>I313*'Inputs &amp; Guide'!$B$6</x:f>
        <x:v>41.13377486166399</x:v>
      </x:c>
      <x:c r="N313" s="103" t="n">
        <x:f>MAX(0,MIN(K313-L313,M313))</x:f>
        <x:v>41.13377486166399</x:v>
      </x:c>
      <x:c r="O313" s="103" t="n">
        <x:f>MAX(0,N313-'Inputs &amp; Guide'!$B$7)</x:f>
        <x:v>0</x:v>
      </x:c>
      <x:c r="P313" s="103" t="n">
        <x:f>N313-O313</x:f>
        <x:v>41.13377486166399</x:v>
      </x:c>
      <x:c r="Q313" s="103" t="n">
        <x:f>I313*'Inputs &amp; Guide'!$B$8</x:f>
        <x:v>1.3461962681999122</x:v>
      </x:c>
      <x:c r="R313" s="104" t="n">
        <x:f>IFERROR(P313/Q313,0)</x:f>
        <x:v>30.555555555555557</x:v>
      </x:c>
      <x:c r="S313" s="105" t="n">
        <x:f>ROUND(E313*XLOOKUP(C313,'Reference Tables'!$E$4:$E$12,'Reference Tables'!$G$4:$G$12,1),1)</x:f>
        <x:v>11.5</x:v>
      </x:c>
      <x:c r="T313" s="106" t="str">
        <x:f>IF(R313&gt;='Inputs &amp; Guide'!$B$9,"HIGH",IF(R313&gt;=0.45,"WATCH","NORMAL"))</x:f>
        <x:v>HIGH</x:v>
      </x:c>
    </x:row>
    <x:row r="314">
      <x:c r="A314" s="95" t="n">
        <x:v>2481</x:v>
      </x:c>
      <x:c r="B314" s="96" t="n">
        <x:v>45395.104166666664</x:v>
      </x:c>
      <x:c r="C314" s="97" t="str">
        <x:v>Tornado</x:v>
      </x:c>
      <x:c r="D314" s="97" t="str">
        <x:v>Indonesia</x:v>
      </x:c>
      <x:c r="E314" s="98" t="n">
        <x:v>8.450999731740044</x:v>
      </x:c>
      <x:c r="F314" s="99" t="n">
        <x:v>709.3143847398819</x:v>
      </x:c>
      <x:c r="G314" s="100" t="str">
        <x:f>XLOOKUP(D314,'Reference Tables'!$A$4:$A$23,'Reference Tables'!$B$4:$B$23,"Other")</x:f>
        <x:v>Asia Pacific</x:v>
      </x:c>
      <x:c r="H314" s="100" t="str">
        <x:f>VLOOKUP(G314,'Reference Tables'!$I$4:$J$9,2,FALSE)</x:f>
        <x:v>High</x:v>
      </x:c>
      <x:c r="I314" s="101" t="n">
        <x:f>F314*'Inputs &amp; Guide'!$B$4*XLOOKUP(D314,'Reference Tables'!$A$4:$A$23,'Reference Tables'!$C$4:$C$23,0.75)</x:f>
        <x:v>116.89501060513254</x:v>
      </x:c>
      <x:c r="J314" s="102" t="n">
        <x:f>XLOOKUP(C314,'Reference Tables'!$E$4:$E$12,'Reference Tables'!$F$4:$F$12,0.05)</x:f>
        <x:v>0.09</x:v>
      </x:c>
      <x:c r="K314" s="103" t="n">
        <x:f>MIN(I314,F314*J314)</x:f>
        <x:v>63.838294626589374</x:v>
      </x:c>
      <x:c r="L314" s="103" t="n">
        <x:f>'Inputs &amp; Guide'!$B$5</x:f>
        <x:v>15</x:v>
      </x:c>
      <x:c r="M314" s="103" t="n">
        <x:f>I314*'Inputs &amp; Guide'!$B$6</x:f>
        <x:v>64.2922558328229</x:v>
      </x:c>
      <x:c r="N314" s="103" t="n">
        <x:f>MAX(0,MIN(K314-L314,M314))</x:f>
        <x:v>48.838294626589374</x:v>
      </x:c>
      <x:c r="O314" s="103" t="n">
        <x:f>MAX(0,N314-'Inputs &amp; Guide'!$B$7)</x:f>
        <x:v>0</x:v>
      </x:c>
      <x:c r="P314" s="103" t="n">
        <x:f>N314-O314</x:f>
        <x:v>48.838294626589374</x:v>
      </x:c>
      <x:c r="Q314" s="103" t="n">
        <x:f>I314*'Inputs &amp; Guide'!$B$8</x:f>
        <x:v>2.1041101908923854</x:v>
      </x:c>
      <x:c r="R314" s="104" t="n">
        <x:f>IFERROR(P314/Q314,0)</x:f>
        <x:v>23.210901614366644</x:v>
      </x:c>
      <x:c r="S314" s="105" t="n">
        <x:f>ROUND(E314*XLOOKUP(C314,'Reference Tables'!$E$4:$E$12,'Reference Tables'!$G$4:$G$12,1),1)</x:f>
        <x:v>8.9</x:v>
      </x:c>
      <x:c r="T314" s="106" t="str">
        <x:f>IF(R314&gt;='Inputs &amp; Guide'!$B$9,"HIGH",IF(R314&gt;=0.45,"WATCH","NORMAL"))</x:f>
        <x:v>HIGH</x:v>
      </x:c>
    </x:row>
    <x:row r="315">
      <x:c r="A315" s="95" t="n">
        <x:v>2489</x:v>
      </x:c>
      <x:c r="B315" s="96" t="n">
        <x:v>45395.4375</x:v>
      </x:c>
      <x:c r="C315" s="97" t="str">
        <x:v>Earthquake</x:v>
      </x:c>
      <x:c r="D315" s="97" t="str">
        <x:v>Brazil</x:v>
      </x:c>
      <x:c r="E315" s="98" t="n">
        <x:v>7.516807829208508</x:v>
      </x:c>
      <x:c r="F315" s="99" t="n">
        <x:v>228.4809229037384</x:v>
      </x:c>
      <x:c r="G315" s="100" t="str">
        <x:f>XLOOKUP(D315,'Reference Tables'!$A$4:$A$23,'Reference Tables'!$B$4:$B$23,"Other")</x:f>
        <x:v>Latin America</x:v>
      </x:c>
      <x:c r="H315" s="100" t="str">
        <x:f>VLOOKUP(G315,'Reference Tables'!$I$4:$J$9,2,FALSE)</x:f>
        <x:v>Moderate</x:v>
      </x:c>
      <x:c r="I315" s="101" t="n">
        <x:f>F315*'Inputs &amp; Guide'!$B$4*XLOOKUP(D315,'Reference Tables'!$A$4:$A$23,'Reference Tables'!$C$4:$C$23,0.75)</x:f>
        <x:v>29.976697084970475</x:v>
      </x:c>
      <x:c r="J315" s="102" t="n">
        <x:f>XLOOKUP(C315,'Reference Tables'!$E$4:$E$12,'Reference Tables'!$F$4:$F$12,0.05)</x:f>
        <x:v>0.14</x:v>
      </x:c>
      <x:c r="K315" s="103" t="n">
        <x:f>MIN(I315,F315*J315)</x:f>
        <x:v>29.976697084970475</x:v>
      </x:c>
      <x:c r="L315" s="103" t="n">
        <x:f>'Inputs &amp; Guide'!$B$5</x:f>
        <x:v>15</x:v>
      </x:c>
      <x:c r="M315" s="103" t="n">
        <x:f>I315*'Inputs &amp; Guide'!$B$6</x:f>
        <x:v>16.487183396733762</x:v>
      </x:c>
      <x:c r="N315" s="103" t="n">
        <x:f>MAX(0,MIN(K315-L315,M315))</x:f>
        <x:v>14.976697084970475</x:v>
      </x:c>
      <x:c r="O315" s="103" t="n">
        <x:f>MAX(0,N315-'Inputs &amp; Guide'!$B$7)</x:f>
        <x:v>0</x:v>
      </x:c>
      <x:c r="P315" s="103" t="n">
        <x:f>N315-O315</x:f>
        <x:v>14.976697084970475</x:v>
      </x:c>
      <x:c r="Q315" s="103" t="n">
        <x:f>I315*'Inputs &amp; Guide'!$B$8</x:f>
        <x:v>0.5395805475294685</x:v>
      </x:c>
      <x:c r="R315" s="104" t="n">
        <x:f>IFERROR(P315/Q315,0)</x:f>
        <x:v>27.756184231516503</x:v>
      </x:c>
      <x:c r="S315" s="105" t="n">
        <x:f>ROUND(E315*XLOOKUP(C315,'Reference Tables'!$E$4:$E$12,'Reference Tables'!$G$4:$G$12,1),1)</x:f>
        <x:v>11.3</x:v>
      </x:c>
      <x:c r="T315" s="106" t="str">
        <x:f>IF(R315&gt;='Inputs &amp; Guide'!$B$9,"HIGH",IF(R315&gt;=0.45,"WATCH","NORMAL"))</x:f>
        <x:v>HIGH</x:v>
      </x:c>
    </x:row>
    <x:row r="316">
      <x:c r="A316" s="95" t="n">
        <x:v>2497</x:v>
      </x:c>
      <x:c r="B316" s="96" t="n">
        <x:v>45396</x:v>
      </x:c>
      <x:c r="C316" s="97" t="str">
        <x:v>Earthquake</x:v>
      </x:c>
      <x:c r="D316" s="97" t="str">
        <x:v>Brazil</x:v>
      </x:c>
      <x:c r="E316" s="98" t="n">
        <x:v>8.535596368882594</x:v>
      </x:c>
      <x:c r="F316" s="99" t="n">
        <x:v>934.7472160156957</x:v>
      </x:c>
      <x:c r="G316" s="100" t="str">
        <x:f>XLOOKUP(D316,'Reference Tables'!$A$4:$A$23,'Reference Tables'!$B$4:$B$23,"Other")</x:f>
        <x:v>Latin America</x:v>
      </x:c>
      <x:c r="H316" s="100" t="str">
        <x:f>VLOOKUP(G316,'Reference Tables'!$I$4:$J$9,2,FALSE)</x:f>
        <x:v>Moderate</x:v>
      </x:c>
      <x:c r="I316" s="101" t="n">
        <x:f>F316*'Inputs &amp; Guide'!$B$4*XLOOKUP(D316,'Reference Tables'!$A$4:$A$23,'Reference Tables'!$C$4:$C$23,0.75)</x:f>
        <x:v>122.63883474125927</x:v>
      </x:c>
      <x:c r="J316" s="102" t="n">
        <x:f>XLOOKUP(C316,'Reference Tables'!$E$4:$E$12,'Reference Tables'!$F$4:$F$12,0.05)</x:f>
        <x:v>0.14</x:v>
      </x:c>
      <x:c r="K316" s="103" t="n">
        <x:f>MIN(I316,F316*J316)</x:f>
        <x:v>122.63883474125927</x:v>
      </x:c>
      <x:c r="L316" s="103" t="n">
        <x:f>'Inputs &amp; Guide'!$B$5</x:f>
        <x:v>15</x:v>
      </x:c>
      <x:c r="M316" s="103" t="n">
        <x:f>I316*'Inputs &amp; Guide'!$B$6</x:f>
        <x:v>67.45135910769261</x:v>
      </x:c>
      <x:c r="N316" s="103" t="n">
        <x:f>MAX(0,MIN(K316-L316,M316))</x:f>
        <x:v>67.45135910769261</x:v>
      </x:c>
      <x:c r="O316" s="103" t="n">
        <x:f>MAX(0,N316-'Inputs &amp; Guide'!$B$7)</x:f>
        <x:v>7.4513591076926105</x:v>
      </x:c>
      <x:c r="P316" s="103" t="n">
        <x:f>N316-O316</x:f>
        <x:v>60</x:v>
      </x:c>
      <x:c r="Q316" s="103" t="n">
        <x:f>I316*'Inputs &amp; Guide'!$B$8</x:f>
        <x:v>2.207499025342667</x:v>
      </x:c>
      <x:c r="R316" s="104" t="n">
        <x:f>IFERROR(P316/Q316,0)</x:f>
        <x:v>27.180079950742577</x:v>
      </x:c>
      <x:c r="S316" s="105" t="n">
        <x:f>ROUND(E316*XLOOKUP(C316,'Reference Tables'!$E$4:$E$12,'Reference Tables'!$G$4:$G$12,1),1)</x:f>
        <x:v>12.8</x:v>
      </x:c>
      <x:c r="T316" s="106" t="str">
        <x:f>IF(R316&gt;='Inputs &amp; Guide'!$B$9,"HIGH",IF(R316&gt;=0.45,"WATCH","NORMAL"))</x:f>
        <x:v>HIGH</x:v>
      </x:c>
    </x:row>
    <x:row r="317">
      <x:c r="A317" s="95" t="n">
        <x:v>2505</x:v>
      </x:c>
      <x:c r="B317" s="96" t="n">
        <x:v>45396.104166666664</x:v>
      </x:c>
      <x:c r="C317" s="97" t="str">
        <x:v>Tornado</x:v>
      </x:c>
      <x:c r="D317" s="97" t="str">
        <x:v>Japan</x:v>
      </x:c>
      <x:c r="E317" s="98" t="n">
        <x:v>3.3573162685576077</x:v>
      </x:c>
      <x:c r="F317" s="99" t="n">
        <x:v>613.6932469079649</x:v>
      </x:c>
      <x:c r="G317" s="100" t="str">
        <x:f>XLOOKUP(D317,'Reference Tables'!$A$4:$A$23,'Reference Tables'!$B$4:$B$23,"Other")</x:f>
        <x:v>Asia Pacific</x:v>
      </x:c>
      <x:c r="H317" s="100" t="str">
        <x:f>VLOOKUP(G317,'Reference Tables'!$I$4:$J$9,2,FALSE)</x:f>
        <x:v>High</x:v>
      </x:c>
      <x:c r="I317" s="101" t="n">
        <x:f>F317*'Inputs &amp; Guide'!$B$4*XLOOKUP(D317,'Reference Tables'!$A$4:$A$23,'Reference Tables'!$C$4:$C$23,0.75)</x:f>
        <x:v>115.86528501622377</x:v>
      </x:c>
      <x:c r="J317" s="102" t="n">
        <x:f>XLOOKUP(C317,'Reference Tables'!$E$4:$E$12,'Reference Tables'!$F$4:$F$12,0.05)</x:f>
        <x:v>0.09</x:v>
      </x:c>
      <x:c r="K317" s="103" t="n">
        <x:f>MIN(I317,F317*J317)</x:f>
        <x:v>55.232392221716836</x:v>
      </x:c>
      <x:c r="L317" s="103" t="n">
        <x:f>'Inputs &amp; Guide'!$B$5</x:f>
        <x:v>15</x:v>
      </x:c>
      <x:c r="M317" s="103" t="n">
        <x:f>I317*'Inputs &amp; Guide'!$B$6</x:f>
        <x:v>63.725906758923074</x:v>
      </x:c>
      <x:c r="N317" s="103" t="n">
        <x:f>MAX(0,MIN(K317-L317,M317))</x:f>
        <x:v>40.232392221716836</x:v>
      </x:c>
      <x:c r="O317" s="103" t="n">
        <x:f>MAX(0,N317-'Inputs &amp; Guide'!$B$7)</x:f>
        <x:v>0</x:v>
      </x:c>
      <x:c r="P317" s="103" t="n">
        <x:f>N317-O317</x:f>
        <x:v>40.232392221716836</x:v>
      </x:c>
      <x:c r="Q317" s="103" t="n">
        <x:f>I317*'Inputs &amp; Guide'!$B$8</x:f>
        <x:v>2.085575130292028</x:v>
      </x:c>
      <x:c r="R317" s="104" t="n">
        <x:f>IFERROR(P317/Q317,0)</x:f>
        <x:v>19.290790169752068</x:v>
      </x:c>
      <x:c r="S317" s="105" t="n">
        <x:f>ROUND(E317*XLOOKUP(C317,'Reference Tables'!$E$4:$E$12,'Reference Tables'!$G$4:$G$12,1),1)</x:f>
        <x:v>3.5</x:v>
      </x:c>
      <x:c r="T317" s="106" t="str">
        <x:f>IF(R317&gt;='Inputs &amp; Guide'!$B$9,"HIGH",IF(R317&gt;=0.45,"WATCH","NORMAL"))</x:f>
        <x:v>HIGH</x:v>
      </x:c>
    </x:row>
    <x:row r="318">
      <x:c r="A318" s="95" t="n">
        <x:v>2513</x:v>
      </x:c>
      <x:c r="B318" s="96" t="n">
        <x:v>45396.4375</x:v>
      </x:c>
      <x:c r="C318" s="97" t="str">
        <x:v>Tornado</x:v>
      </x:c>
      <x:c r="D318" s="97" t="str">
        <x:v>India</x:v>
      </x:c>
      <x:c r="E318" s="98" t="n">
        <x:v>3.2085752252866766</x:v>
      </x:c>
      <x:c r="F318" s="99" t="n">
        <x:v>766.9114666861249</x:v>
      </x:c>
      <x:c r="G318" s="100" t="str">
        <x:f>XLOOKUP(D318,'Reference Tables'!$A$4:$A$23,'Reference Tables'!$B$4:$B$23,"Other")</x:f>
        <x:v>Asia Pacific</x:v>
      </x:c>
      <x:c r="H318" s="100" t="str">
        <x:f>VLOOKUP(G318,'Reference Tables'!$I$4:$J$9,2,FALSE)</x:f>
        <x:v>High</x:v>
      </x:c>
      <x:c r="I318" s="101" t="n">
        <x:f>F318*'Inputs &amp; Guide'!$B$4*XLOOKUP(D318,'Reference Tables'!$A$4:$A$23,'Reference Tables'!$C$4:$C$23,0.75)</x:f>
        <x:v>111.66230954949978</x:v>
      </x:c>
      <x:c r="J318" s="102" t="n">
        <x:f>XLOOKUP(C318,'Reference Tables'!$E$4:$E$12,'Reference Tables'!$F$4:$F$12,0.05)</x:f>
        <x:v>0.09</x:v>
      </x:c>
      <x:c r="K318" s="103" t="n">
        <x:f>MIN(I318,F318*J318)</x:f>
        <x:v>69.02203200175124</x:v>
      </x:c>
      <x:c r="L318" s="103" t="n">
        <x:f>'Inputs &amp; Guide'!$B$5</x:f>
        <x:v>15</x:v>
      </x:c>
      <x:c r="M318" s="103" t="n">
        <x:f>I318*'Inputs &amp; Guide'!$B$6</x:f>
        <x:v>61.41427025222488</x:v>
      </x:c>
      <x:c r="N318" s="103" t="n">
        <x:f>MAX(0,MIN(K318-L318,M318))</x:f>
        <x:v>54.02203200175124</x:v>
      </x:c>
      <x:c r="O318" s="103" t="n">
        <x:f>MAX(0,N318-'Inputs &amp; Guide'!$B$7)</x:f>
        <x:v>0</x:v>
      </x:c>
      <x:c r="P318" s="103" t="n">
        <x:f>N318-O318</x:f>
        <x:v>54.02203200175124</x:v>
      </x:c>
      <x:c r="Q318" s="103" t="n">
        <x:f>I318*'Inputs &amp; Guide'!$B$8</x:f>
        <x:v>2.0099215718909957</x:v>
      </x:c>
      <x:c r="R318" s="104" t="n">
        <x:f>IFERROR(P318/Q318,0)</x:f>
        <x:v>26.877681575866497</x:v>
      </x:c>
      <x:c r="S318" s="105" t="n">
        <x:f>ROUND(E318*XLOOKUP(C318,'Reference Tables'!$E$4:$E$12,'Reference Tables'!$G$4:$G$12,1),1)</x:f>
        <x:v>3.4</x:v>
      </x:c>
      <x:c r="T318" s="106" t="str">
        <x:f>IF(R318&gt;='Inputs &amp; Guide'!$B$9,"HIGH",IF(R318&gt;=0.45,"WATCH","NORMAL"))</x:f>
        <x:v>HIGH</x:v>
      </x:c>
    </x:row>
    <x:row r="319">
      <x:c r="A319" s="95" t="n">
        <x:v>2521</x:v>
      </x:c>
      <x:c r="B319" s="96" t="n">
        <x:v>45397</x:v>
      </x:c>
      <x:c r="C319" s="97" t="str">
        <x:v>Tornado</x:v>
      </x:c>
      <x:c r="D319" s="97" t="str">
        <x:v>Indonesia</x:v>
      </x:c>
      <x:c r="E319" s="98" t="n">
        <x:v>2.7263112384846195</x:v>
      </x:c>
      <x:c r="F319" s="99" t="n">
        <x:v>3.085239235475213</x:v>
      </x:c>
      <x:c r="G319" s="100" t="str">
        <x:f>XLOOKUP(D319,'Reference Tables'!$A$4:$A$23,'Reference Tables'!$B$4:$B$23,"Other")</x:f>
        <x:v>Asia Pacific</x:v>
      </x:c>
      <x:c r="H319" s="100" t="str">
        <x:f>VLOOKUP(G319,'Reference Tables'!$I$4:$J$9,2,FALSE)</x:f>
        <x:v>High</x:v>
      </x:c>
      <x:c r="I319" s="101" t="n">
        <x:f>F319*'Inputs &amp; Guide'!$B$4*XLOOKUP(D319,'Reference Tables'!$A$4:$A$23,'Reference Tables'!$C$4:$C$23,0.75)</x:f>
        <x:v>0.5084474260063152</x:v>
      </x:c>
      <x:c r="J319" s="102" t="n">
        <x:f>XLOOKUP(C319,'Reference Tables'!$E$4:$E$12,'Reference Tables'!$F$4:$F$12,0.05)</x:f>
        <x:v>0.09</x:v>
      </x:c>
      <x:c r="K319" s="103" t="n">
        <x:f>MIN(I319,F319*J319)</x:f>
        <x:v>0.27767153119276916</x:v>
      </x:c>
      <x:c r="L319" s="103" t="n">
        <x:f>'Inputs &amp; Guide'!$B$5</x:f>
        <x:v>15</x:v>
      </x:c>
      <x:c r="M319" s="103" t="n">
        <x:f>I319*'Inputs &amp; Guide'!$B$6</x:f>
        <x:v>0.2796460843034734</x:v>
      </x:c>
      <x:c r="N319" s="103" t="n">
        <x:f>MAX(0,MIN(K319-L319,M319))</x:f>
        <x:v>0</x:v>
      </x:c>
      <x:c r="O319" s="103" t="n">
        <x:f>MAX(0,N319-'Inputs &amp; Guide'!$B$7)</x:f>
        <x:v>0</x:v>
      </x:c>
      <x:c r="P319" s="103" t="n">
        <x:f>N319-O319</x:f>
        <x:v>0</x:v>
      </x:c>
      <x:c r="Q319" s="103" t="n">
        <x:f>I319*'Inputs &amp; Guide'!$B$8</x:f>
        <x:v>0.009152053668113672</x:v>
      </x:c>
      <x:c r="R319" s="104" t="n">
        <x:f>IFERROR(P319/Q319,0)</x:f>
        <x:v>0</x:v>
      </x:c>
      <x:c r="S319" s="105" t="n">
        <x:f>ROUND(E319*XLOOKUP(C319,'Reference Tables'!$E$4:$E$12,'Reference Tables'!$G$4:$G$12,1),1)</x:f>
        <x:v>2.9</x:v>
      </x:c>
      <x:c r="T319" s="106" t="str">
        <x:f>IF(R319&gt;='Inputs &amp; Guide'!$B$9,"HIGH",IF(R319&gt;=0.45,"WATCH","NORMAL"))</x:f>
        <x:v>NORMAL</x:v>
      </x:c>
    </x:row>
    <x:row r="320">
      <x:c r="A320" s="95" t="n">
        <x:v>2529</x:v>
      </x:c>
      <x:c r="B320" s="96" t="n">
        <x:v>45397.104166666664</x:v>
      </x:c>
      <x:c r="C320" s="97" t="str">
        <x:v>Flood</x:v>
      </x:c>
      <x:c r="D320" s="97" t="str">
        <x:v>Brazil</x:v>
      </x:c>
      <x:c r="E320" s="98" t="n">
        <x:v>7.265265426226721</x:v>
      </x:c>
      <x:c r="F320" s="99" t="n">
        <x:v>212.82680349616405</x:v>
      </x:c>
      <x:c r="G320" s="100" t="str">
        <x:f>XLOOKUP(D320,'Reference Tables'!$A$4:$A$23,'Reference Tables'!$B$4:$B$23,"Other")</x:f>
        <x:v>Latin America</x:v>
      </x:c>
      <x:c r="H320" s="100" t="str">
        <x:f>VLOOKUP(G320,'Reference Tables'!$I$4:$J$9,2,FALSE)</x:f>
        <x:v>Moderate</x:v>
      </x:c>
      <x:c r="I320" s="101" t="n">
        <x:f>F320*'Inputs &amp; Guide'!$B$4*XLOOKUP(D320,'Reference Tables'!$A$4:$A$23,'Reference Tables'!$C$4:$C$23,0.75)</x:f>
        <x:v>27.922876618696723</x:v>
      </x:c>
      <x:c r="J320" s="102" t="n">
        <x:f>XLOOKUP(C320,'Reference Tables'!$E$4:$E$12,'Reference Tables'!$F$4:$F$12,0.05)</x:f>
        <x:v>0.12</x:v>
      </x:c>
      <x:c r="K320" s="103" t="n">
        <x:f>MIN(I320,F320*J320)</x:f>
        <x:v>25.539216419539684</x:v>
      </x:c>
      <x:c r="L320" s="103" t="n">
        <x:f>'Inputs &amp; Guide'!$B$5</x:f>
        <x:v>15</x:v>
      </x:c>
      <x:c r="M320" s="103" t="n">
        <x:f>I320*'Inputs &amp; Guide'!$B$6</x:f>
        <x:v>15.3575821402832</x:v>
      </x:c>
      <x:c r="N320" s="103" t="n">
        <x:f>MAX(0,MIN(K320-L320,M320))</x:f>
        <x:v>10.539216419539684</x:v>
      </x:c>
      <x:c r="O320" s="103" t="n">
        <x:f>MAX(0,N320-'Inputs &amp; Guide'!$B$7)</x:f>
        <x:v>0</x:v>
      </x:c>
      <x:c r="P320" s="103" t="n">
        <x:f>N320-O320</x:f>
        <x:v>10.539216419539684</x:v>
      </x:c>
      <x:c r="Q320" s="103" t="n">
        <x:f>I320*'Inputs &amp; Guide'!$B$8</x:f>
        <x:v>0.502611779136541</x:v>
      </x:c>
      <x:c r="R320" s="104" t="n">
        <x:f>IFERROR(P320/Q320,0)</x:f>
        <x:v>20.968900565055343</x:v>
      </x:c>
      <x:c r="S320" s="105" t="n">
        <x:f>ROUND(E320*XLOOKUP(C320,'Reference Tables'!$E$4:$E$12,'Reference Tables'!$G$4:$G$12,1),1)</x:f>
        <x:v>9.1</x:v>
      </x:c>
      <x:c r="T320" s="106" t="str">
        <x:f>IF(R320&gt;='Inputs &amp; Guide'!$B$9,"HIGH",IF(R320&gt;=0.45,"WATCH","NORMAL"))</x:f>
        <x:v>HIGH</x:v>
      </x:c>
    </x:row>
    <x:row r="321">
      <x:c r="A321" s="95" t="n">
        <x:v>2537</x:v>
      </x:c>
      <x:c r="B321" s="96" t="n">
        <x:v>45397.4375</x:v>
      </x:c>
      <x:c r="C321" s="97" t="str">
        <x:v>Tornado</x:v>
      </x:c>
      <x:c r="D321" s="97" t="str">
        <x:v>China</x:v>
      </x:c>
      <x:c r="E321" s="98" t="n">
        <x:v>9.933920196653357</x:v>
      </x:c>
      <x:c r="F321" s="99" t="n">
        <x:v>465.4633874290185</x:v>
      </x:c>
      <x:c r="G321" s="100" t="str">
        <x:f>XLOOKUP(D321,'Reference Tables'!$A$4:$A$23,'Reference Tables'!$B$4:$B$23,"Other")</x:f>
        <x:v>Asia Pacific</x:v>
      </x:c>
      <x:c r="H321" s="100" t="str">
        <x:f>VLOOKUP(G321,'Reference Tables'!$I$4:$J$9,2,FALSE)</x:f>
        <x:v>High</x:v>
      </x:c>
      <x:c r="I321" s="101" t="n">
        <x:f>F321*'Inputs &amp; Guide'!$B$4*XLOOKUP(D321,'Reference Tables'!$A$4:$A$23,'Reference Tables'!$C$4:$C$23,0.75)</x:f>
        <x:v>80.4320733477344</x:v>
      </x:c>
      <x:c r="J321" s="102" t="n">
        <x:f>XLOOKUP(C321,'Reference Tables'!$E$4:$E$12,'Reference Tables'!$F$4:$F$12,0.05)</x:f>
        <x:v>0.09</x:v>
      </x:c>
      <x:c r="K321" s="103" t="n">
        <x:f>MIN(I321,F321*J321)</x:f>
        <x:v>41.89170486861166</x:v>
      </x:c>
      <x:c r="L321" s="103" t="n">
        <x:f>'Inputs &amp; Guide'!$B$5</x:f>
        <x:v>15</x:v>
      </x:c>
      <x:c r="M321" s="103" t="n">
        <x:f>I321*'Inputs &amp; Guide'!$B$6</x:f>
        <x:v>44.23764034125392</x:v>
      </x:c>
      <x:c r="N321" s="103" t="n">
        <x:f>MAX(0,MIN(K321-L321,M321))</x:f>
        <x:v>26.89170486861166</x:v>
      </x:c>
      <x:c r="O321" s="103" t="n">
        <x:f>MAX(0,N321-'Inputs &amp; Guide'!$B$7)</x:f>
        <x:v>0</x:v>
      </x:c>
      <x:c r="P321" s="103" t="n">
        <x:f>N321-O321</x:f>
        <x:v>26.89170486861166</x:v>
      </x:c>
      <x:c r="Q321" s="103" t="n">
        <x:f>I321*'Inputs &amp; Guide'!$B$8</x:f>
        <x:v>1.4477773202592192</x:v>
      </x:c>
      <x:c r="R321" s="104" t="n">
        <x:f>IFERROR(P321/Q321,0)</x:f>
        <x:v>18.57447584812062</x:v>
      </x:c>
      <x:c r="S321" s="105" t="n">
        <x:f>ROUND(E321*XLOOKUP(C321,'Reference Tables'!$E$4:$E$12,'Reference Tables'!$G$4:$G$12,1),1)</x:f>
        <x:v>10.4</x:v>
      </x:c>
      <x:c r="T321" s="106" t="str">
        <x:f>IF(R321&gt;='Inputs &amp; Guide'!$B$9,"HIGH",IF(R321&gt;=0.45,"WATCH","NORMAL"))</x:f>
        <x:v>HIGH</x:v>
      </x:c>
    </x:row>
    <x:row r="322">
      <x:c r="A322" s="95" t="n">
        <x:v>2545</x:v>
      </x:c>
      <x:c r="B322" s="96" t="n">
        <x:v>45398</x:v>
      </x:c>
      <x:c r="C322" s="97" t="str">
        <x:v>Flood</x:v>
      </x:c>
      <x:c r="D322" s="97" t="str">
        <x:v>Brazil</x:v>
      </x:c>
      <x:c r="E322" s="98" t="n">
        <x:v>7.318250230928004</x:v>
      </x:c>
      <x:c r="F322" s="99" t="n">
        <x:v>527.8160040669325</x:v>
      </x:c>
      <x:c r="G322" s="100" t="str">
        <x:f>XLOOKUP(D322,'Reference Tables'!$A$4:$A$23,'Reference Tables'!$B$4:$B$23,"Other")</x:f>
        <x:v>Latin America</x:v>
      </x:c>
      <x:c r="H322" s="100" t="str">
        <x:f>VLOOKUP(G322,'Reference Tables'!$I$4:$J$9,2,FALSE)</x:f>
        <x:v>Moderate</x:v>
      </x:c>
      <x:c r="I322" s="101" t="n">
        <x:f>F322*'Inputs &amp; Guide'!$B$4*XLOOKUP(D322,'Reference Tables'!$A$4:$A$23,'Reference Tables'!$C$4:$C$23,0.75)</x:f>
        <x:v>69.24945973358153</x:v>
      </x:c>
      <x:c r="J322" s="102" t="n">
        <x:f>XLOOKUP(C322,'Reference Tables'!$E$4:$E$12,'Reference Tables'!$F$4:$F$12,0.05)</x:f>
        <x:v>0.12</x:v>
      </x:c>
      <x:c r="K322" s="103" t="n">
        <x:f>MIN(I322,F322*J322)</x:f>
        <x:v>63.33792048803189</x:v>
      </x:c>
      <x:c r="L322" s="103" t="n">
        <x:f>'Inputs &amp; Guide'!$B$5</x:f>
        <x:v>15</x:v>
      </x:c>
      <x:c r="M322" s="103" t="n">
        <x:f>I322*'Inputs &amp; Guide'!$B$6</x:f>
        <x:v>38.08720285346985</x:v>
      </x:c>
      <x:c r="N322" s="103" t="n">
        <x:f>MAX(0,MIN(K322-L322,M322))</x:f>
        <x:v>38.08720285346985</x:v>
      </x:c>
      <x:c r="O322" s="103" t="n">
        <x:f>MAX(0,N322-'Inputs &amp; Guide'!$B$7)</x:f>
        <x:v>0</x:v>
      </x:c>
      <x:c r="P322" s="103" t="n">
        <x:f>N322-O322</x:f>
        <x:v>38.08720285346985</x:v>
      </x:c>
      <x:c r="Q322" s="103" t="n">
        <x:f>I322*'Inputs &amp; Guide'!$B$8</x:f>
        <x:v>1.2464902752044675</x:v>
      </x:c>
      <x:c r="R322" s="104" t="n">
        <x:f>IFERROR(P322/Q322,0)</x:f>
        <x:v>30.55555555555556</x:v>
      </x:c>
      <x:c r="S322" s="105" t="n">
        <x:f>ROUND(E322*XLOOKUP(C322,'Reference Tables'!$E$4:$E$12,'Reference Tables'!$G$4:$G$12,1),1)</x:f>
        <x:v>9.1</x:v>
      </x:c>
      <x:c r="T322" s="106" t="str">
        <x:f>IF(R322&gt;='Inputs &amp; Guide'!$B$9,"HIGH",IF(R322&gt;=0.45,"WATCH","NORMAL"))</x:f>
        <x:v>HIGH</x:v>
      </x:c>
    </x:row>
    <x:row r="323">
      <x:c r="A323" s="95" t="n">
        <x:v>2553</x:v>
      </x:c>
      <x:c r="B323" s="96" t="n">
        <x:v>45398.104166666664</x:v>
      </x:c>
      <x:c r="C323" s="97" t="str">
        <x:v>Wildfire</x:v>
      </x:c>
      <x:c r="D323" s="97" t="str">
        <x:v>Brazil</x:v>
      </x:c>
      <x:c r="E323" s="98" t="n">
        <x:v>2.772382437882132</x:v>
      </x:c>
      <x:c r="F323" s="99" t="n">
        <x:v>960.5703113057783</x:v>
      </x:c>
      <x:c r="G323" s="100" t="str">
        <x:f>XLOOKUP(D323,'Reference Tables'!$A$4:$A$23,'Reference Tables'!$B$4:$B$23,"Other")</x:f>
        <x:v>Latin America</x:v>
      </x:c>
      <x:c r="H323" s="100" t="str">
        <x:f>VLOOKUP(G323,'Reference Tables'!$I$4:$J$9,2,FALSE)</x:f>
        <x:v>Moderate</x:v>
      </x:c>
      <x:c r="I323" s="101" t="n">
        <x:f>F323*'Inputs &amp; Guide'!$B$4*XLOOKUP(D323,'Reference Tables'!$A$4:$A$23,'Reference Tables'!$C$4:$C$23,0.75)</x:f>
        <x:v>126.02682484331811</x:v>
      </x:c>
      <x:c r="J323" s="102" t="n">
        <x:f>XLOOKUP(C323,'Reference Tables'!$E$4:$E$12,'Reference Tables'!$F$4:$F$12,0.05)</x:f>
        <x:v>0.1</x:v>
      </x:c>
      <x:c r="K323" s="103" t="n">
        <x:f>MIN(I323,F323*J323)</x:f>
        <x:v>96.05703113057784</x:v>
      </x:c>
      <x:c r="L323" s="103" t="n">
        <x:f>'Inputs &amp; Guide'!$B$5</x:f>
        <x:v>15</x:v>
      </x:c>
      <x:c r="M323" s="103" t="n">
        <x:f>I323*'Inputs &amp; Guide'!$B$6</x:f>
        <x:v>69.31475366382496</x:v>
      </x:c>
      <x:c r="N323" s="103" t="n">
        <x:f>MAX(0,MIN(K323-L323,M323))</x:f>
        <x:v>69.31475366382496</x:v>
      </x:c>
      <x:c r="O323" s="103" t="n">
        <x:f>MAX(0,N323-'Inputs &amp; Guide'!$B$7)</x:f>
        <x:v>9.314753663824959</x:v>
      </x:c>
      <x:c r="P323" s="103" t="n">
        <x:f>N323-O323</x:f>
        <x:v>60</x:v>
      </x:c>
      <x:c r="Q323" s="103" t="n">
        <x:f>I323*'Inputs &amp; Guide'!$B$8</x:f>
        <x:v>2.2684828471797256</x:v>
      </x:c>
      <x:c r="R323" s="104" t="n">
        <x:f>IFERROR(P323/Q323,0)</x:f>
        <x:v>26.449395495581797</x:v>
      </x:c>
      <x:c r="S323" s="105" t="n">
        <x:f>ROUND(E323*XLOOKUP(C323,'Reference Tables'!$E$4:$E$12,'Reference Tables'!$G$4:$G$12,1),1)</x:f>
        <x:v>3.2</x:v>
      </x:c>
      <x:c r="T323" s="106" t="str">
        <x:f>IF(R323&gt;='Inputs &amp; Guide'!$B$9,"HIGH",IF(R323&gt;=0.45,"WATCH","NORMAL"))</x:f>
        <x:v>HIGH</x:v>
      </x:c>
    </x:row>
    <x:row r="324">
      <x:c r="A324" s="95" t="n">
        <x:v>2561</x:v>
      </x:c>
      <x:c r="B324" s="96" t="n">
        <x:v>45398.4375</x:v>
      </x:c>
      <x:c r="C324" s="97" t="str">
        <x:v>Earthquake</x:v>
      </x:c>
      <x:c r="D324" s="97" t="str">
        <x:v>Japan</x:v>
      </x:c>
      <x:c r="E324" s="98" t="n">
        <x:v>3.7838128913254687</x:v>
      </x:c>
      <x:c r="F324" s="99" t="n">
        <x:v>460.24996181613506</x:v>
      </x:c>
      <x:c r="G324" s="100" t="str">
        <x:f>XLOOKUP(D324,'Reference Tables'!$A$4:$A$23,'Reference Tables'!$B$4:$B$23,"Other")</x:f>
        <x:v>Asia Pacific</x:v>
      </x:c>
      <x:c r="H324" s="100" t="str">
        <x:f>VLOOKUP(G324,'Reference Tables'!$I$4:$J$9,2,FALSE)</x:f>
        <x:v>High</x:v>
      </x:c>
      <x:c r="I324" s="101" t="n">
        <x:f>F324*'Inputs &amp; Guide'!$B$4*XLOOKUP(D324,'Reference Tables'!$A$4:$A$23,'Reference Tables'!$C$4:$C$23,0.75)</x:f>
        <x:v>86.8951927908863</x:v>
      </x:c>
      <x:c r="J324" s="102" t="n">
        <x:f>XLOOKUP(C324,'Reference Tables'!$E$4:$E$12,'Reference Tables'!$F$4:$F$12,0.05)</x:f>
        <x:v>0.14</x:v>
      </x:c>
      <x:c r="K324" s="103" t="n">
        <x:f>MIN(I324,F324*J324)</x:f>
        <x:v>64.43499465425892</x:v>
      </x:c>
      <x:c r="L324" s="103" t="n">
        <x:f>'Inputs &amp; Guide'!$B$5</x:f>
        <x:v>15</x:v>
      </x:c>
      <x:c r="M324" s="103" t="n">
        <x:f>I324*'Inputs &amp; Guide'!$B$6</x:f>
        <x:v>47.79235603498747</x:v>
      </x:c>
      <x:c r="N324" s="103" t="n">
        <x:f>MAX(0,MIN(K324-L324,M324))</x:f>
        <x:v>47.79235603498747</x:v>
      </x:c>
      <x:c r="O324" s="103" t="n">
        <x:f>MAX(0,N324-'Inputs &amp; Guide'!$B$7)</x:f>
        <x:v>0</x:v>
      </x:c>
      <x:c r="P324" s="103" t="n">
        <x:f>N324-O324</x:f>
        <x:v>47.79235603498747</x:v>
      </x:c>
      <x:c r="Q324" s="103" t="n">
        <x:f>I324*'Inputs &amp; Guide'!$B$8</x:f>
        <x:v>1.5641134702359532</x:v>
      </x:c>
      <x:c r="R324" s="104" t="n">
        <x:f>IFERROR(P324/Q324,0)</x:f>
        <x:v>30.555555555555564</x:v>
      </x:c>
      <x:c r="S324" s="105" t="n">
        <x:f>ROUND(E324*XLOOKUP(C324,'Reference Tables'!$E$4:$E$12,'Reference Tables'!$G$4:$G$12,1),1)</x:f>
        <x:v>5.7</x:v>
      </x:c>
      <x:c r="T324" s="106" t="str">
        <x:f>IF(R324&gt;='Inputs &amp; Guide'!$B$9,"HIGH",IF(R324&gt;=0.45,"WATCH","NORMAL"))</x:f>
        <x:v>HIGH</x:v>
      </x:c>
    </x:row>
    <x:row r="325">
      <x:c r="A325" s="95" t="n">
        <x:v>2569</x:v>
      </x:c>
      <x:c r="B325" s="96" t="n">
        <x:v>45399</x:v>
      </x:c>
      <x:c r="C325" s="97" t="str">
        <x:v>Hurricane</x:v>
      </x:c>
      <x:c r="D325" s="97" t="str">
        <x:v>China</x:v>
      </x:c>
      <x:c r="E325" s="98" t="n">
        <x:v>8.567329897749634</x:v>
      </x:c>
      <x:c r="F325" s="99" t="n">
        <x:v>948.5156864381352</x:v>
      </x:c>
      <x:c r="G325" s="100" t="str">
        <x:f>XLOOKUP(D325,'Reference Tables'!$A$4:$A$23,'Reference Tables'!$B$4:$B$23,"Other")</x:f>
        <x:v>Asia Pacific</x:v>
      </x:c>
      <x:c r="H325" s="100" t="str">
        <x:f>VLOOKUP(G325,'Reference Tables'!$I$4:$J$9,2,FALSE)</x:f>
        <x:v>High</x:v>
      </x:c>
      <x:c r="I325" s="101" t="n">
        <x:f>F325*'Inputs &amp; Guide'!$B$4*XLOOKUP(D325,'Reference Tables'!$A$4:$A$23,'Reference Tables'!$C$4:$C$23,0.75)</x:f>
        <x:v>163.90351061650978</x:v>
      </x:c>
      <x:c r="J325" s="102" t="n">
        <x:f>XLOOKUP(C325,'Reference Tables'!$E$4:$E$12,'Reference Tables'!$F$4:$F$12,0.05)</x:f>
        <x:v>0.18</x:v>
      </x:c>
      <x:c r="K325" s="103" t="n">
        <x:f>MIN(I325,F325*J325)</x:f>
        <x:v>163.90351061650978</x:v>
      </x:c>
      <x:c r="L325" s="103" t="n">
        <x:f>'Inputs &amp; Guide'!$B$5</x:f>
        <x:v>15</x:v>
      </x:c>
      <x:c r="M325" s="103" t="n">
        <x:f>I325*'Inputs &amp; Guide'!$B$6</x:f>
        <x:v>90.14693083908038</x:v>
      </x:c>
      <x:c r="N325" s="103" t="n">
        <x:f>MAX(0,MIN(K325-L325,M325))</x:f>
        <x:v>90.14693083908038</x:v>
      </x:c>
      <x:c r="O325" s="103" t="n">
        <x:f>MAX(0,N325-'Inputs &amp; Guide'!$B$7)</x:f>
        <x:v>30.146930839080383</x:v>
      </x:c>
      <x:c r="P325" s="103" t="n">
        <x:f>N325-O325</x:f>
        <x:v>60</x:v>
      </x:c>
      <x:c r="Q325" s="103" t="n">
        <x:f>I325*'Inputs &amp; Guide'!$B$8</x:f>
        <x:v>2.950263191097176</x:v>
      </x:c>
      <x:c r="R325" s="104" t="n">
        <x:f>IFERROR(P325/Q325,0)</x:f>
        <x:v>20.337168623144617</x:v>
      </x:c>
      <x:c r="S325" s="105" t="n">
        <x:f>ROUND(E325*XLOOKUP(C325,'Reference Tables'!$E$4:$E$12,'Reference Tables'!$G$4:$G$12,1),1)</x:f>
        <x:v>12</x:v>
      </x:c>
      <x:c r="T325" s="106" t="str">
        <x:f>IF(R325&gt;='Inputs &amp; Guide'!$B$9,"HIGH",IF(R325&gt;=0.45,"WATCH","NORMAL"))</x:f>
        <x:v>HIGH</x:v>
      </x:c>
    </x:row>
    <x:row r="326">
      <x:c r="A326" s="95" t="n">
        <x:v>2577</x:v>
      </x:c>
      <x:c r="B326" s="96" t="n">
        <x:v>45399.104166666664</x:v>
      </x:c>
      <x:c r="C326" s="97" t="str">
        <x:v>Wildfire</x:v>
      </x:c>
      <x:c r="D326" s="97" t="str">
        <x:v>USA</x:v>
      </x:c>
      <x:c r="E326" s="98" t="n">
        <x:v>5.441375717868798</x:v>
      </x:c>
      <x:c r="F326" s="99" t="n">
        <x:v>712.7202012178427</x:v>
      </x:c>
      <x:c r="G326" s="100" t="str">
        <x:f>XLOOKUP(D326,'Reference Tables'!$A$4:$A$23,'Reference Tables'!$B$4:$B$23,"Other")</x:f>
        <x:v>Other</x:v>
      </x:c>
      <x:c r="H326" s="100" t="str">
        <x:f>VLOOKUP(G326,'Reference Tables'!$I$4:$J$9,2,FALSE)</x:f>
        <x:v>Moderate</x:v>
      </x:c>
      <x:c r="I326" s="101" t="n">
        <x:f>F326*'Inputs &amp; Guide'!$B$4*XLOOKUP(D326,'Reference Tables'!$A$4:$A$23,'Reference Tables'!$C$4:$C$23,0.75)</x:f>
        <x:v>85.52642414614112</x:v>
      </x:c>
      <x:c r="J326" s="102" t="n">
        <x:f>XLOOKUP(C326,'Reference Tables'!$E$4:$E$12,'Reference Tables'!$F$4:$F$12,0.05)</x:f>
        <x:v>0.1</x:v>
      </x:c>
      <x:c r="K326" s="103" t="n">
        <x:f>MIN(I326,F326*J326)</x:f>
        <x:v>71.27202012178428</x:v>
      </x:c>
      <x:c r="L326" s="103" t="n">
        <x:f>'Inputs &amp; Guide'!$B$5</x:f>
        <x:v>15</x:v>
      </x:c>
      <x:c r="M326" s="103" t="n">
        <x:f>I326*'Inputs &amp; Guide'!$B$6</x:f>
        <x:v>47.039533280377626</x:v>
      </x:c>
      <x:c r="N326" s="103" t="n">
        <x:f>MAX(0,MIN(K326-L326,M326))</x:f>
        <x:v>47.039533280377626</x:v>
      </x:c>
      <x:c r="O326" s="103" t="n">
        <x:f>MAX(0,N326-'Inputs &amp; Guide'!$B$7)</x:f>
        <x:v>0</x:v>
      </x:c>
      <x:c r="P326" s="103" t="n">
        <x:f>N326-O326</x:f>
        <x:v>47.039533280377626</x:v>
      </x:c>
      <x:c r="Q326" s="103" t="n">
        <x:f>I326*'Inputs &amp; Guide'!$B$8</x:f>
        <x:v>1.53947563463054</x:v>
      </x:c>
      <x:c r="R326" s="104" t="n">
        <x:f>IFERROR(P326/Q326,0)</x:f>
        <x:v>30.555555555555564</x:v>
      </x:c>
      <x:c r="S326" s="105" t="n">
        <x:f>ROUND(E326*XLOOKUP(C326,'Reference Tables'!$E$4:$E$12,'Reference Tables'!$G$4:$G$12,1),1)</x:f>
        <x:v>6.3</x:v>
      </x:c>
      <x:c r="T326" s="106" t="str">
        <x:f>IF(R326&gt;='Inputs &amp; Guide'!$B$9,"HIGH",IF(R326&gt;=0.45,"WATCH","NORMAL"))</x:f>
        <x:v>HIGH</x:v>
      </x:c>
    </x:row>
    <x:row r="327">
      <x:c r="A327" s="95" t="n">
        <x:v>2585</x:v>
      </x:c>
      <x:c r="B327" s="96" t="n">
        <x:v>45399.4375</x:v>
      </x:c>
      <x:c r="C327" s="97" t="str">
        <x:v>Hurricane</x:v>
      </x:c>
      <x:c r="D327" s="97" t="str">
        <x:v>Brazil</x:v>
      </x:c>
      <x:c r="E327" s="98" t="n">
        <x:v>4.943770858637077</x:v>
      </x:c>
      <x:c r="F327" s="99" t="n">
        <x:v>563.2632130949934</x:v>
      </x:c>
      <x:c r="G327" s="100" t="str">
        <x:f>XLOOKUP(D327,'Reference Tables'!$A$4:$A$23,'Reference Tables'!$B$4:$B$23,"Other")</x:f>
        <x:v>Latin America</x:v>
      </x:c>
      <x:c r="H327" s="100" t="str">
        <x:f>VLOOKUP(G327,'Reference Tables'!$I$4:$J$9,2,FALSE)</x:f>
        <x:v>Moderate</x:v>
      </x:c>
      <x:c r="I327" s="101" t="n">
        <x:f>F327*'Inputs &amp; Guide'!$B$4*XLOOKUP(D327,'Reference Tables'!$A$4:$A$23,'Reference Tables'!$C$4:$C$23,0.75)</x:f>
        <x:v>73.90013355806313</x:v>
      </x:c>
      <x:c r="J327" s="102" t="n">
        <x:f>XLOOKUP(C327,'Reference Tables'!$E$4:$E$12,'Reference Tables'!$F$4:$F$12,0.05)</x:f>
        <x:v>0.18</x:v>
      </x:c>
      <x:c r="K327" s="103" t="n">
        <x:f>MIN(I327,F327*J327)</x:f>
        <x:v>73.90013355806313</x:v>
      </x:c>
      <x:c r="L327" s="103" t="n">
        <x:f>'Inputs &amp; Guide'!$B$5</x:f>
        <x:v>15</x:v>
      </x:c>
      <x:c r="M327" s="103" t="n">
        <x:f>I327*'Inputs &amp; Guide'!$B$6</x:f>
        <x:v>40.645073456934725</x:v>
      </x:c>
      <x:c r="N327" s="103" t="n">
        <x:f>MAX(0,MIN(K327-L327,M327))</x:f>
        <x:v>40.645073456934725</x:v>
      </x:c>
      <x:c r="O327" s="103" t="n">
        <x:f>MAX(0,N327-'Inputs &amp; Guide'!$B$7)</x:f>
        <x:v>0</x:v>
      </x:c>
      <x:c r="P327" s="103" t="n">
        <x:f>N327-O327</x:f>
        <x:v>40.645073456934725</x:v>
      </x:c>
      <x:c r="Q327" s="103" t="n">
        <x:f>I327*'Inputs &amp; Guide'!$B$8</x:f>
        <x:v>1.3302024040451363</x:v>
      </x:c>
      <x:c r="R327" s="104" t="n">
        <x:f>IFERROR(P327/Q327,0)</x:f>
        <x:v>30.555555555555557</x:v>
      </x:c>
      <x:c r="S327" s="105" t="n">
        <x:f>ROUND(E327*XLOOKUP(C327,'Reference Tables'!$E$4:$E$12,'Reference Tables'!$G$4:$G$12,1),1)</x:f>
        <x:v>6.9</x:v>
      </x:c>
      <x:c r="T327" s="106" t="str">
        <x:f>IF(R327&gt;='Inputs &amp; Guide'!$B$9,"HIGH",IF(R327&gt;=0.45,"WATCH","NORMAL"))</x:f>
        <x:v>HIGH</x:v>
      </x:c>
    </x:row>
    <x:row r="328">
      <x:c r="A328" s="95" t="n">
        <x:v>2593</x:v>
      </x:c>
      <x:c r="B328" s="96" t="n">
        <x:v>45400</x:v>
      </x:c>
      <x:c r="C328" s="97" t="str">
        <x:v>Earthquake</x:v>
      </x:c>
      <x:c r="D328" s="97" t="str">
        <x:v>USA</x:v>
      </x:c>
      <x:c r="E328" s="98" t="n">
        <x:v>8.132018662965397</x:v>
      </x:c>
      <x:c r="F328" s="99" t="n">
        <x:v>110.17992450849223</x:v>
      </x:c>
      <x:c r="G328" s="100" t="str">
        <x:f>XLOOKUP(D328,'Reference Tables'!$A$4:$A$23,'Reference Tables'!$B$4:$B$23,"Other")</x:f>
        <x:v>Other</x:v>
      </x:c>
      <x:c r="H328" s="100" t="str">
        <x:f>VLOOKUP(G328,'Reference Tables'!$I$4:$J$9,2,FALSE)</x:f>
        <x:v>Moderate</x:v>
      </x:c>
      <x:c r="I328" s="101" t="n">
        <x:f>F328*'Inputs &amp; Guide'!$B$4*XLOOKUP(D328,'Reference Tables'!$A$4:$A$23,'Reference Tables'!$C$4:$C$23,0.75)</x:f>
        <x:v>13.221590941019068</x:v>
      </x:c>
      <x:c r="J328" s="102" t="n">
        <x:f>XLOOKUP(C328,'Reference Tables'!$E$4:$E$12,'Reference Tables'!$F$4:$F$12,0.05)</x:f>
        <x:v>0.14</x:v>
      </x:c>
      <x:c r="K328" s="103" t="n">
        <x:f>MIN(I328,F328*J328)</x:f>
        <x:v>13.221590941019068</x:v>
      </x:c>
      <x:c r="L328" s="103" t="n">
        <x:f>'Inputs &amp; Guide'!$B$5</x:f>
        <x:v>15</x:v>
      </x:c>
      <x:c r="M328" s="103" t="n">
        <x:f>I328*'Inputs &amp; Guide'!$B$6</x:f>
        <x:v>7.271875017560488</x:v>
      </x:c>
      <x:c r="N328" s="103" t="n">
        <x:f>MAX(0,MIN(K328-L328,M328))</x:f>
        <x:v>0</x:v>
      </x:c>
      <x:c r="O328" s="103" t="n">
        <x:f>MAX(0,N328-'Inputs &amp; Guide'!$B$7)</x:f>
        <x:v>0</x:v>
      </x:c>
      <x:c r="P328" s="103" t="n">
        <x:f>N328-O328</x:f>
        <x:v>0</x:v>
      </x:c>
      <x:c r="Q328" s="103" t="n">
        <x:f>I328*'Inputs &amp; Guide'!$B$8</x:f>
        <x:v>0.2379886369383432</x:v>
      </x:c>
      <x:c r="R328" s="104" t="n">
        <x:f>IFERROR(P328/Q328,0)</x:f>
        <x:v>0</x:v>
      </x:c>
      <x:c r="S328" s="105" t="n">
        <x:f>ROUND(E328*XLOOKUP(C328,'Reference Tables'!$E$4:$E$12,'Reference Tables'!$G$4:$G$12,1),1)</x:f>
        <x:v>12.2</x:v>
      </x:c>
      <x:c r="T328" s="106" t="str">
        <x:f>IF(R328&gt;='Inputs &amp; Guide'!$B$9,"HIGH",IF(R328&gt;=0.45,"WATCH","NORMAL"))</x:f>
        <x:v>NORMAL</x:v>
      </x:c>
    </x:row>
    <x:row r="329">
      <x:c r="A329" s="95" t="n">
        <x:v>2601</x:v>
      </x:c>
      <x:c r="B329" s="96" t="n">
        <x:v>45400.104166666664</x:v>
      </x:c>
      <x:c r="C329" s="97" t="str">
        <x:v>Hurricane</x:v>
      </x:c>
      <x:c r="D329" s="97" t="str">
        <x:v>China</x:v>
      </x:c>
      <x:c r="E329" s="98" t="n">
        <x:v>4.060656369728775</x:v>
      </x:c>
      <x:c r="F329" s="99" t="n">
        <x:v>135.88419254150037</x:v>
      </x:c>
      <x:c r="G329" s="100" t="str">
        <x:f>XLOOKUP(D329,'Reference Tables'!$A$4:$A$23,'Reference Tables'!$B$4:$B$23,"Other")</x:f>
        <x:v>Asia Pacific</x:v>
      </x:c>
      <x:c r="H329" s="100" t="str">
        <x:f>VLOOKUP(G329,'Reference Tables'!$I$4:$J$9,2,FALSE)</x:f>
        <x:v>High</x:v>
      </x:c>
      <x:c r="I329" s="101" t="n">
        <x:f>F329*'Inputs &amp; Guide'!$B$4*XLOOKUP(D329,'Reference Tables'!$A$4:$A$23,'Reference Tables'!$C$4:$C$23,0.75)</x:f>
        <x:v>23.480788471171266</x:v>
      </x:c>
      <x:c r="J329" s="102" t="n">
        <x:f>XLOOKUP(C329,'Reference Tables'!$E$4:$E$12,'Reference Tables'!$F$4:$F$12,0.05)</x:f>
        <x:v>0.18</x:v>
      </x:c>
      <x:c r="K329" s="103" t="n">
        <x:f>MIN(I329,F329*J329)</x:f>
        <x:v>23.480788471171266</x:v>
      </x:c>
      <x:c r="L329" s="103" t="n">
        <x:f>'Inputs &amp; Guide'!$B$5</x:f>
        <x:v>15</x:v>
      </x:c>
      <x:c r="M329" s="103" t="n">
        <x:f>I329*'Inputs &amp; Guide'!$B$6</x:f>
        <x:v>12.914433659144198</x:v>
      </x:c>
      <x:c r="N329" s="103" t="n">
        <x:f>MAX(0,MIN(K329-L329,M329))</x:f>
        <x:v>8.480788471171266</x:v>
      </x:c>
      <x:c r="O329" s="103" t="n">
        <x:f>MAX(0,N329-'Inputs &amp; Guide'!$B$7)</x:f>
        <x:v>0</x:v>
      </x:c>
      <x:c r="P329" s="103" t="n">
        <x:f>N329-O329</x:f>
        <x:v>8.480788471171266</x:v>
      </x:c>
      <x:c r="Q329" s="103" t="n">
        <x:f>I329*'Inputs &amp; Guide'!$B$8</x:f>
        <x:v>0.42265419248108277</x:v>
      </x:c>
      <x:c r="R329" s="104" t="n">
        <x:f>IFERROR(P329/Q329,0)</x:f>
        <x:v>20.065549146423884</x:v>
      </x:c>
      <x:c r="S329" s="105" t="n">
        <x:f>ROUND(E329*XLOOKUP(C329,'Reference Tables'!$E$4:$E$12,'Reference Tables'!$G$4:$G$12,1),1)</x:f>
        <x:v>5.7</x:v>
      </x:c>
      <x:c r="T329" s="106" t="str">
        <x:f>IF(R329&gt;='Inputs &amp; Guide'!$B$9,"HIGH",IF(R329&gt;=0.45,"WATCH","NORMAL"))</x:f>
        <x:v>HIGH</x:v>
      </x:c>
    </x:row>
    <x:row r="330">
      <x:c r="A330" s="95" t="n">
        <x:v>2609</x:v>
      </x:c>
      <x:c r="B330" s="96" t="n">
        <x:v>45400.4375</x:v>
      </x:c>
      <x:c r="C330" s="97" t="str">
        <x:v>Hurricane</x:v>
      </x:c>
      <x:c r="D330" s="97" t="str">
        <x:v>Indonesia</x:v>
      </x:c>
      <x:c r="E330" s="98" t="n">
        <x:v>5.209469341477369</x:v>
      </x:c>
      <x:c r="F330" s="99" t="n">
        <x:v>456.2090696328375</x:v>
      </x:c>
      <x:c r="G330" s="100" t="str">
        <x:f>XLOOKUP(D330,'Reference Tables'!$A$4:$A$23,'Reference Tables'!$B$4:$B$23,"Other")</x:f>
        <x:v>Asia Pacific</x:v>
      </x:c>
      <x:c r="H330" s="100" t="str">
        <x:f>VLOOKUP(G330,'Reference Tables'!$I$4:$J$9,2,FALSE)</x:f>
        <x:v>High</x:v>
      </x:c>
      <x:c r="I330" s="101" t="n">
        <x:f>F330*'Inputs &amp; Guide'!$B$4*XLOOKUP(D330,'Reference Tables'!$A$4:$A$23,'Reference Tables'!$C$4:$C$23,0.75)</x:f>
        <x:v>75.18325467549163</x:v>
      </x:c>
      <x:c r="J330" s="102" t="n">
        <x:f>XLOOKUP(C330,'Reference Tables'!$E$4:$E$12,'Reference Tables'!$F$4:$F$12,0.05)</x:f>
        <x:v>0.18</x:v>
      </x:c>
      <x:c r="K330" s="103" t="n">
        <x:f>MIN(I330,F330*J330)</x:f>
        <x:v>75.18325467549163</x:v>
      </x:c>
      <x:c r="L330" s="103" t="n">
        <x:f>'Inputs &amp; Guide'!$B$5</x:f>
        <x:v>15</x:v>
      </x:c>
      <x:c r="M330" s="103" t="n">
        <x:f>I330*'Inputs &amp; Guide'!$B$6</x:f>
        <x:v>41.3507900715204</x:v>
      </x:c>
      <x:c r="N330" s="103" t="n">
        <x:f>MAX(0,MIN(K330-L330,M330))</x:f>
        <x:v>41.3507900715204</x:v>
      </x:c>
      <x:c r="O330" s="103" t="n">
        <x:f>MAX(0,N330-'Inputs &amp; Guide'!$B$7)</x:f>
        <x:v>0</x:v>
      </x:c>
      <x:c r="P330" s="103" t="n">
        <x:f>N330-O330</x:f>
        <x:v>41.3507900715204</x:v>
      </x:c>
      <x:c r="Q330" s="103" t="n">
        <x:f>I330*'Inputs &amp; Guide'!$B$8</x:f>
        <x:v>1.3532985841588492</x:v>
      </x:c>
      <x:c r="R330" s="104" t="n">
        <x:f>IFERROR(P330/Q330,0)</x:f>
        <x:v>30.55555555555556</x:v>
      </x:c>
      <x:c r="S330" s="105" t="n">
        <x:f>ROUND(E330*XLOOKUP(C330,'Reference Tables'!$E$4:$E$12,'Reference Tables'!$G$4:$G$12,1),1)</x:f>
        <x:v>7.3</x:v>
      </x:c>
      <x:c r="T330" s="106" t="str">
        <x:f>IF(R330&gt;='Inputs &amp; Guide'!$B$9,"HIGH",IF(R330&gt;=0.45,"WATCH","NORMAL"))</x:f>
        <x:v>HIGH</x:v>
      </x:c>
    </x:row>
    <x:row r="331">
      <x:c r="A331" s="95" t="n">
        <x:v>2617</x:v>
      </x:c>
      <x:c r="B331" s="96" t="n">
        <x:v>45401</x:v>
      </x:c>
      <x:c r="C331" s="97" t="str">
        <x:v>Hurricane</x:v>
      </x:c>
      <x:c r="D331" s="97" t="str">
        <x:v>USA</x:v>
      </x:c>
      <x:c r="E331" s="98" t="n">
        <x:v>4.402296846088041</x:v>
      </x:c>
      <x:c r="F331" s="99" t="n">
        <x:v>697.8016540135711</x:v>
      </x:c>
      <x:c r="G331" s="100" t="str">
        <x:f>XLOOKUP(D331,'Reference Tables'!$A$4:$A$23,'Reference Tables'!$B$4:$B$23,"Other")</x:f>
        <x:v>Other</x:v>
      </x:c>
      <x:c r="H331" s="100" t="str">
        <x:f>VLOOKUP(G331,'Reference Tables'!$I$4:$J$9,2,FALSE)</x:f>
        <x:v>Moderate</x:v>
      </x:c>
      <x:c r="I331" s="101" t="n">
        <x:f>F331*'Inputs &amp; Guide'!$B$4*XLOOKUP(D331,'Reference Tables'!$A$4:$A$23,'Reference Tables'!$C$4:$C$23,0.75)</x:f>
        <x:v>83.73619848162853</x:v>
      </x:c>
      <x:c r="J331" s="102" t="n">
        <x:f>XLOOKUP(C331,'Reference Tables'!$E$4:$E$12,'Reference Tables'!$F$4:$F$12,0.05)</x:f>
        <x:v>0.18</x:v>
      </x:c>
      <x:c r="K331" s="103" t="n">
        <x:f>MIN(I331,F331*J331)</x:f>
        <x:v>83.73619848162853</x:v>
      </x:c>
      <x:c r="L331" s="103" t="n">
        <x:f>'Inputs &amp; Guide'!$B$5</x:f>
        <x:v>15</x:v>
      </x:c>
      <x:c r="M331" s="103" t="n">
        <x:f>I331*'Inputs &amp; Guide'!$B$6</x:f>
        <x:v>46.0549091648957</x:v>
      </x:c>
      <x:c r="N331" s="103" t="n">
        <x:f>MAX(0,MIN(K331-L331,M331))</x:f>
        <x:v>46.0549091648957</x:v>
      </x:c>
      <x:c r="O331" s="103" t="n">
        <x:f>MAX(0,N331-'Inputs &amp; Guide'!$B$7)</x:f>
        <x:v>0</x:v>
      </x:c>
      <x:c r="P331" s="103" t="n">
        <x:f>N331-O331</x:f>
        <x:v>46.0549091648957</x:v>
      </x:c>
      <x:c r="Q331" s="103" t="n">
        <x:f>I331*'Inputs &amp; Guide'!$B$8</x:f>
        <x:v>1.5072515726693134</x:v>
      </x:c>
      <x:c r="R331" s="104" t="n">
        <x:f>IFERROR(P331/Q331,0)</x:f>
        <x:v>30.55555555555556</x:v>
      </x:c>
      <x:c r="S331" s="105" t="n">
        <x:f>ROUND(E331*XLOOKUP(C331,'Reference Tables'!$E$4:$E$12,'Reference Tables'!$G$4:$G$12,1),1)</x:f>
        <x:v>6.2</x:v>
      </x:c>
      <x:c r="T331" s="106" t="str">
        <x:f>IF(R331&gt;='Inputs &amp; Guide'!$B$9,"HIGH",IF(R331&gt;=0.45,"WATCH","NORMAL"))</x:f>
        <x:v>HIGH</x:v>
      </x:c>
    </x:row>
    <x:row r="332">
      <x:c r="A332" s="95" t="n">
        <x:v>2625</x:v>
      </x:c>
      <x:c r="B332" s="96" t="n">
        <x:v>45401.104166666664</x:v>
      </x:c>
      <x:c r="C332" s="97" t="str">
        <x:v>Hurricane</x:v>
      </x:c>
      <x:c r="D332" s="97" t="str">
        <x:v>India</x:v>
      </x:c>
      <x:c r="E332" s="98" t="n">
        <x:v>2.058678584668561</x:v>
      </x:c>
      <x:c r="F332" s="99" t="n">
        <x:v>230.10185600431606</x:v>
      </x:c>
      <x:c r="G332" s="100" t="str">
        <x:f>XLOOKUP(D332,'Reference Tables'!$A$4:$A$23,'Reference Tables'!$B$4:$B$23,"Other")</x:f>
        <x:v>Asia Pacific</x:v>
      </x:c>
      <x:c r="H332" s="100" t="str">
        <x:f>VLOOKUP(G332,'Reference Tables'!$I$4:$J$9,2,FALSE)</x:f>
        <x:v>High</x:v>
      </x:c>
      <x:c r="I332" s="101" t="n">
        <x:f>F332*'Inputs &amp; Guide'!$B$4*XLOOKUP(D332,'Reference Tables'!$A$4:$A$23,'Reference Tables'!$C$4:$C$23,0.75)</x:f>
        <x:v>33.50283023422842</x:v>
      </x:c>
      <x:c r="J332" s="102" t="n">
        <x:f>XLOOKUP(C332,'Reference Tables'!$E$4:$E$12,'Reference Tables'!$F$4:$F$12,0.05)</x:f>
        <x:v>0.18</x:v>
      </x:c>
      <x:c r="K332" s="103" t="n">
        <x:f>MIN(I332,F332*J332)</x:f>
        <x:v>33.50283023422842</x:v>
      </x:c>
      <x:c r="L332" s="103" t="n">
        <x:f>'Inputs &amp; Guide'!$B$5</x:f>
        <x:v>15</x:v>
      </x:c>
      <x:c r="M332" s="103" t="n">
        <x:f>I332*'Inputs &amp; Guide'!$B$6</x:f>
        <x:v>18.426556628825633</x:v>
      </x:c>
      <x:c r="N332" s="103" t="n">
        <x:f>MAX(0,MIN(K332-L332,M332))</x:f>
        <x:v>18.426556628825633</x:v>
      </x:c>
      <x:c r="O332" s="103" t="n">
        <x:f>MAX(0,N332-'Inputs &amp; Guide'!$B$7)</x:f>
        <x:v>0</x:v>
      </x:c>
      <x:c r="P332" s="103" t="n">
        <x:f>N332-O332</x:f>
        <x:v>18.426556628825633</x:v>
      </x:c>
      <x:c r="Q332" s="103" t="n">
        <x:f>I332*'Inputs &amp; Guide'!$B$8</x:f>
        <x:v>0.6030509442161115</x:v>
      </x:c>
      <x:c r="R332" s="104" t="n">
        <x:f>IFERROR(P332/Q332,0)</x:f>
        <x:v>30.55555555555556</x:v>
      </x:c>
      <x:c r="S332" s="105" t="n">
        <x:f>ROUND(E332*XLOOKUP(C332,'Reference Tables'!$E$4:$E$12,'Reference Tables'!$G$4:$G$12,1),1)</x:f>
        <x:v>2.9</x:v>
      </x:c>
      <x:c r="T332" s="106" t="str">
        <x:f>IF(R332&gt;='Inputs &amp; Guide'!$B$9,"HIGH",IF(R332&gt;=0.45,"WATCH","NORMAL"))</x:f>
        <x:v>HIGH</x:v>
      </x:c>
    </x:row>
    <x:row r="333">
      <x:c r="A333" s="95" t="n">
        <x:v>2633</x:v>
      </x:c>
      <x:c r="B333" s="96" t="n">
        <x:v>45401.4375</x:v>
      </x:c>
      <x:c r="C333" s="97" t="str">
        <x:v>Wildfire</x:v>
      </x:c>
      <x:c r="D333" s="97" t="str">
        <x:v>Japan</x:v>
      </x:c>
      <x:c r="E333" s="98" t="n">
        <x:v>2.6620722859440993</x:v>
      </x:c>
      <x:c r="F333" s="99" t="n">
        <x:v>613.4281868559517</x:v>
      </x:c>
      <x:c r="G333" s="100" t="str">
        <x:f>XLOOKUP(D333,'Reference Tables'!$A$4:$A$23,'Reference Tables'!$B$4:$B$23,"Other")</x:f>
        <x:v>Asia Pacific</x:v>
      </x:c>
      <x:c r="H333" s="100" t="str">
        <x:f>VLOOKUP(G333,'Reference Tables'!$I$4:$J$9,2,FALSE)</x:f>
        <x:v>High</x:v>
      </x:c>
      <x:c r="I333" s="101" t="n">
        <x:f>F333*'Inputs &amp; Guide'!$B$4*XLOOKUP(D333,'Reference Tables'!$A$4:$A$23,'Reference Tables'!$C$4:$C$23,0.75)</x:f>
        <x:v>115.81524167840368</x:v>
      </x:c>
      <x:c r="J333" s="102" t="n">
        <x:f>XLOOKUP(C333,'Reference Tables'!$E$4:$E$12,'Reference Tables'!$F$4:$F$12,0.05)</x:f>
        <x:v>0.1</x:v>
      </x:c>
      <x:c r="K333" s="103" t="n">
        <x:f>MIN(I333,F333*J333)</x:f>
        <x:v>61.34281868559518</x:v>
      </x:c>
      <x:c r="L333" s="103" t="n">
        <x:f>'Inputs &amp; Guide'!$B$5</x:f>
        <x:v>15</x:v>
      </x:c>
      <x:c r="M333" s="103" t="n">
        <x:f>I333*'Inputs &amp; Guide'!$B$6</x:f>
        <x:v>63.69838292312203</x:v>
      </x:c>
      <x:c r="N333" s="103" t="n">
        <x:f>MAX(0,MIN(K333-L333,M333))</x:f>
        <x:v>46.34281868559518</x:v>
      </x:c>
      <x:c r="O333" s="103" t="n">
        <x:f>MAX(0,N333-'Inputs &amp; Guide'!$B$7)</x:f>
        <x:v>0</x:v>
      </x:c>
      <x:c r="P333" s="103" t="n">
        <x:f>N333-O333</x:f>
        <x:v>46.34281868559518</x:v>
      </x:c>
      <x:c r="Q333" s="103" t="n">
        <x:f>I333*'Inputs &amp; Guide'!$B$8</x:f>
        <x:v>2.084674350211266</x:v>
      </x:c>
      <x:c r="R333" s="104" t="n">
        <x:f>IFERROR(P333/Q333,0)</x:f>
        <x:v>22.23024362577238</x:v>
      </x:c>
      <x:c r="S333" s="105" t="n">
        <x:f>ROUND(E333*XLOOKUP(C333,'Reference Tables'!$E$4:$E$12,'Reference Tables'!$G$4:$G$12,1),1)</x:f>
        <x:v>3.1</x:v>
      </x:c>
      <x:c r="T333" s="106" t="str">
        <x:f>IF(R333&gt;='Inputs &amp; Guide'!$B$9,"HIGH",IF(R333&gt;=0.45,"WATCH","NORMAL"))</x:f>
        <x:v>HIGH</x:v>
      </x:c>
    </x:row>
    <x:row r="334">
      <x:c r="A334" s="95" t="n">
        <x:v>2641</x:v>
      </x:c>
      <x:c r="B334" s="96" t="n">
        <x:v>45402</x:v>
      </x:c>
      <x:c r="C334" s="97" t="str">
        <x:v>Flood</x:v>
      </x:c>
      <x:c r="D334" s="97" t="str">
        <x:v>Indonesia</x:v>
      </x:c>
      <x:c r="E334" s="98" t="n">
        <x:v>9.077695394980285</x:v>
      </x:c>
      <x:c r="F334" s="99" t="n">
        <x:v>505.7346314142796</x:v>
      </x:c>
      <x:c r="G334" s="100" t="str">
        <x:f>XLOOKUP(D334,'Reference Tables'!$A$4:$A$23,'Reference Tables'!$B$4:$B$23,"Other")</x:f>
        <x:v>Asia Pacific</x:v>
      </x:c>
      <x:c r="H334" s="100" t="str">
        <x:f>VLOOKUP(G334,'Reference Tables'!$I$4:$J$9,2,FALSE)</x:f>
        <x:v>High</x:v>
      </x:c>
      <x:c r="I334" s="101" t="n">
        <x:f>F334*'Inputs &amp; Guide'!$B$4*XLOOKUP(D334,'Reference Tables'!$A$4:$A$23,'Reference Tables'!$C$4:$C$23,0.75)</x:f>
        <x:v>83.34506725707328</x:v>
      </x:c>
      <x:c r="J334" s="102" t="n">
        <x:f>XLOOKUP(C334,'Reference Tables'!$E$4:$E$12,'Reference Tables'!$F$4:$F$12,0.05)</x:f>
        <x:v>0.12</x:v>
      </x:c>
      <x:c r="K334" s="103" t="n">
        <x:f>MIN(I334,F334*J334)</x:f>
        <x:v>60.688155769713546</x:v>
      </x:c>
      <x:c r="L334" s="103" t="n">
        <x:f>'Inputs &amp; Guide'!$B$5</x:f>
        <x:v>15</x:v>
      </x:c>
      <x:c r="M334" s="103" t="n">
        <x:f>I334*'Inputs &amp; Guide'!$B$6</x:f>
        <x:v>45.83978699139031</x:v>
      </x:c>
      <x:c r="N334" s="103" t="n">
        <x:f>MAX(0,MIN(K334-L334,M334))</x:f>
        <x:v>45.688155769713546</x:v>
      </x:c>
      <x:c r="O334" s="103" t="n">
        <x:f>MAX(0,N334-'Inputs &amp; Guide'!$B$7)</x:f>
        <x:v>0</x:v>
      </x:c>
      <x:c r="P334" s="103" t="n">
        <x:f>N334-O334</x:f>
        <x:v>45.688155769713546</x:v>
      </x:c>
      <x:c r="Q334" s="103" t="n">
        <x:f>I334*'Inputs &amp; Guide'!$B$8</x:f>
        <x:v>1.5002112106273189</x:v>
      </x:c>
      <x:c r="R334" s="104" t="n">
        <x:f>IFERROR(P334/Q334,0)</x:f>
        <x:v>30.454482306267312</x:v>
      </x:c>
      <x:c r="S334" s="105" t="n">
        <x:f>ROUND(E334*XLOOKUP(C334,'Reference Tables'!$E$4:$E$12,'Reference Tables'!$G$4:$G$12,1),1)</x:f>
        <x:v>11.3</x:v>
      </x:c>
      <x:c r="T334" s="106" t="str">
        <x:f>IF(R334&gt;='Inputs &amp; Guide'!$B$9,"HIGH",IF(R334&gt;=0.45,"WATCH","NORMAL"))</x:f>
        <x:v>HIGH</x:v>
      </x:c>
    </x:row>
    <x:row r="335">
      <x:c r="A335" s="95" t="n">
        <x:v>2649</x:v>
      </x:c>
      <x:c r="B335" s="96" t="n">
        <x:v>45402.104166666664</x:v>
      </x:c>
      <x:c r="C335" s="97" t="str">
        <x:v>Hurricane</x:v>
      </x:c>
      <x:c r="D335" s="97" t="str">
        <x:v>Japan</x:v>
      </x:c>
      <x:c r="E335" s="98" t="n">
        <x:v>9.575779080010841</x:v>
      </x:c>
      <x:c r="F335" s="99" t="n">
        <x:v>600.2947343418758</x:v>
      </x:c>
      <x:c r="G335" s="100" t="str">
        <x:f>XLOOKUP(D335,'Reference Tables'!$A$4:$A$23,'Reference Tables'!$B$4:$B$23,"Other")</x:f>
        <x:v>Asia Pacific</x:v>
      </x:c>
      <x:c r="H335" s="100" t="str">
        <x:f>VLOOKUP(G335,'Reference Tables'!$I$4:$J$9,2,FALSE)</x:f>
        <x:v>High</x:v>
      </x:c>
      <x:c r="I335" s="101" t="n">
        <x:f>F335*'Inputs &amp; Guide'!$B$4*XLOOKUP(D335,'Reference Tables'!$A$4:$A$23,'Reference Tables'!$C$4:$C$23,0.75)</x:f>
        <x:v>113.33564584374615</x:v>
      </x:c>
      <x:c r="J335" s="102" t="n">
        <x:f>XLOOKUP(C335,'Reference Tables'!$E$4:$E$12,'Reference Tables'!$F$4:$F$12,0.05)</x:f>
        <x:v>0.18</x:v>
      </x:c>
      <x:c r="K335" s="103" t="n">
        <x:f>MIN(I335,F335*J335)</x:f>
        <x:v>108.05305218153764</x:v>
      </x:c>
      <x:c r="L335" s="103" t="n">
        <x:f>'Inputs &amp; Guide'!$B$5</x:f>
        <x:v>15</x:v>
      </x:c>
      <x:c r="M335" s="103" t="n">
        <x:f>I335*'Inputs &amp; Guide'!$B$6</x:f>
        <x:v>62.33460521406039</x:v>
      </x:c>
      <x:c r="N335" s="103" t="n">
        <x:f>MAX(0,MIN(K335-L335,M335))</x:f>
        <x:v>62.33460521406039</x:v>
      </x:c>
      <x:c r="O335" s="103" t="n">
        <x:f>MAX(0,N335-'Inputs &amp; Guide'!$B$7)</x:f>
        <x:v>2.334605214060389</x:v>
      </x:c>
      <x:c r="P335" s="103" t="n">
        <x:f>N335-O335</x:f>
        <x:v>60</x:v>
      </x:c>
      <x:c r="Q335" s="103" t="n">
        <x:f>I335*'Inputs &amp; Guide'!$B$8</x:f>
        <x:v>2.0400416251874307</x:v>
      </x:c>
      <x:c r="R335" s="104" t="n">
        <x:f>IFERROR(P335/Q335,0)</x:f>
        <x:v>29.411164585667436</x:v>
      </x:c>
      <x:c r="S335" s="105" t="n">
        <x:f>ROUND(E335*XLOOKUP(C335,'Reference Tables'!$E$4:$E$12,'Reference Tables'!$G$4:$G$12,1),1)</x:f>
        <x:v>13.4</x:v>
      </x:c>
      <x:c r="T335" s="106" t="str">
        <x:f>IF(R335&gt;='Inputs &amp; Guide'!$B$9,"HIGH",IF(R335&gt;=0.45,"WATCH","NORMAL"))</x:f>
        <x:v>HIGH</x:v>
      </x:c>
    </x:row>
    <x:row r="336">
      <x:c r="A336" s="95" t="n">
        <x:v>2657</x:v>
      </x:c>
      <x:c r="B336" s="96" t="n">
        <x:v>45402.4375</x:v>
      </x:c>
      <x:c r="C336" s="97" t="str">
        <x:v>Wildfire</x:v>
      </x:c>
      <x:c r="D336" s="97" t="str">
        <x:v>India</x:v>
      </x:c>
      <x:c r="E336" s="98" t="n">
        <x:v>6.4809974250033004</x:v>
      </x:c>
      <x:c r="F336" s="99" t="n">
        <x:v>518.8434914649731</x:v>
      </x:c>
      <x:c r="G336" s="100" t="str">
        <x:f>XLOOKUP(D336,'Reference Tables'!$A$4:$A$23,'Reference Tables'!$B$4:$B$23,"Other")</x:f>
        <x:v>Asia Pacific</x:v>
      </x:c>
      <x:c r="H336" s="100" t="str">
        <x:f>VLOOKUP(G336,'Reference Tables'!$I$4:$J$9,2,FALSE)</x:f>
        <x:v>High</x:v>
      </x:c>
      <x:c r="I336" s="101" t="n">
        <x:f>F336*'Inputs &amp; Guide'!$B$4*XLOOKUP(D336,'Reference Tables'!$A$4:$A$23,'Reference Tables'!$C$4:$C$23,0.75)</x:f>
        <x:v>75.54361235730009</x:v>
      </x:c>
      <x:c r="J336" s="102" t="n">
        <x:f>XLOOKUP(C336,'Reference Tables'!$E$4:$E$12,'Reference Tables'!$F$4:$F$12,0.05)</x:f>
        <x:v>0.1</x:v>
      </x:c>
      <x:c r="K336" s="103" t="n">
        <x:f>MIN(I336,F336*J336)</x:f>
        <x:v>51.884349146497314</x:v>
      </x:c>
      <x:c r="L336" s="103" t="n">
        <x:f>'Inputs &amp; Guide'!$B$5</x:f>
        <x:v>15</x:v>
      </x:c>
      <x:c r="M336" s="103" t="n">
        <x:f>I336*'Inputs &amp; Guide'!$B$6</x:f>
        <x:v>41.54898679651505</x:v>
      </x:c>
      <x:c r="N336" s="103" t="n">
        <x:f>MAX(0,MIN(K336-L336,M336))</x:f>
        <x:v>36.884349146497314</x:v>
      </x:c>
      <x:c r="O336" s="103" t="n">
        <x:f>MAX(0,N336-'Inputs &amp; Guide'!$B$7)</x:f>
        <x:v>0</x:v>
      </x:c>
      <x:c r="P336" s="103" t="n">
        <x:f>N336-O336</x:f>
        <x:v>36.884349146497314</x:v>
      </x:c>
      <x:c r="Q336" s="103" t="n">
        <x:f>I336*'Inputs &amp; Guide'!$B$8</x:f>
        <x:v>1.3597850224314016</x:v>
      </x:c>
      <x:c r="R336" s="104" t="n">
        <x:f>IFERROR(P336/Q336,0)</x:f>
        <x:v>27.125132677623718</x:v>
      </x:c>
      <x:c r="S336" s="105" t="n">
        <x:f>ROUND(E336*XLOOKUP(C336,'Reference Tables'!$E$4:$E$12,'Reference Tables'!$G$4:$G$12,1),1)</x:f>
        <x:v>7.5</x:v>
      </x:c>
      <x:c r="T336" s="106" t="str">
        <x:f>IF(R336&gt;='Inputs &amp; Guide'!$B$9,"HIGH",IF(R336&gt;=0.45,"WATCH","NORMAL"))</x:f>
        <x:v>HIGH</x:v>
      </x:c>
    </x:row>
    <x:row r="337">
      <x:c r="A337" s="95" t="n">
        <x:v>2665</x:v>
      </x:c>
      <x:c r="B337" s="96" t="n">
        <x:v>45403</x:v>
      </x:c>
      <x:c r="C337" s="97" t="str">
        <x:v>Earthquake</x:v>
      </x:c>
      <x:c r="D337" s="97" t="str">
        <x:v>China</x:v>
      </x:c>
      <x:c r="E337" s="98" t="n">
        <x:v>2.051462805328802</x:v>
      </x:c>
      <x:c r="F337" s="99" t="n">
        <x:v>997.5845546058055</x:v>
      </x:c>
      <x:c r="G337" s="100" t="str">
        <x:f>XLOOKUP(D337,'Reference Tables'!$A$4:$A$23,'Reference Tables'!$B$4:$B$23,"Other")</x:f>
        <x:v>Asia Pacific</x:v>
      </x:c>
      <x:c r="H337" s="100" t="str">
        <x:f>VLOOKUP(G337,'Reference Tables'!$I$4:$J$9,2,FALSE)</x:f>
        <x:v>High</x:v>
      </x:c>
      <x:c r="I337" s="101" t="n">
        <x:f>F337*'Inputs &amp; Guide'!$B$4*XLOOKUP(D337,'Reference Tables'!$A$4:$A$23,'Reference Tables'!$C$4:$C$23,0.75)</x:f>
        <x:v>172.3826110358832</x:v>
      </x:c>
      <x:c r="J337" s="102" t="n">
        <x:f>XLOOKUP(C337,'Reference Tables'!$E$4:$E$12,'Reference Tables'!$F$4:$F$12,0.05)</x:f>
        <x:v>0.14</x:v>
      </x:c>
      <x:c r="K337" s="103" t="n">
        <x:f>MIN(I337,F337*J337)</x:f>
        <x:v>139.66183764481278</x:v>
      </x:c>
      <x:c r="L337" s="103" t="n">
        <x:f>'Inputs &amp; Guide'!$B$5</x:f>
        <x:v>15</x:v>
      </x:c>
      <x:c r="M337" s="103" t="n">
        <x:f>I337*'Inputs &amp; Guide'!$B$6</x:f>
        <x:v>94.81043606973577</x:v>
      </x:c>
      <x:c r="N337" s="103" t="n">
        <x:f>MAX(0,MIN(K337-L337,M337))</x:f>
        <x:v>94.81043606973577</x:v>
      </x:c>
      <x:c r="O337" s="103" t="n">
        <x:f>MAX(0,N337-'Inputs &amp; Guide'!$B$7)</x:f>
        <x:v>34.81043606973577</x:v>
      </x:c>
      <x:c r="P337" s="103" t="n">
        <x:f>N337-O337</x:f>
        <x:v>60</x:v>
      </x:c>
      <x:c r="Q337" s="103" t="n">
        <x:f>I337*'Inputs &amp; Guide'!$B$8</x:f>
        <x:v>3.1028869986458973</x:v>
      </x:c>
      <x:c r="R337" s="104" t="n">
        <x:f>IFERROR(P337/Q337,0)</x:f>
        <x:v>19.336830514995892</x:v>
      </x:c>
      <x:c r="S337" s="105" t="n">
        <x:f>ROUND(E337*XLOOKUP(C337,'Reference Tables'!$E$4:$E$12,'Reference Tables'!$G$4:$G$12,1),1)</x:f>
        <x:v>3.1</x:v>
      </x:c>
      <x:c r="T337" s="106" t="str">
        <x:f>IF(R337&gt;='Inputs &amp; Guide'!$B$9,"HIGH",IF(R337&gt;=0.45,"WATCH","NORMAL"))</x:f>
        <x:v>HIGH</x:v>
      </x:c>
    </x:row>
    <x:row r="338">
      <x:c r="A338" s="95" t="n">
        <x:v>2673</x:v>
      </x:c>
      <x:c r="B338" s="96" t="n">
        <x:v>45403.104166666664</x:v>
      </x:c>
      <x:c r="C338" s="97" t="str">
        <x:v>Flood</x:v>
      </x:c>
      <x:c r="D338" s="97" t="str">
        <x:v>USA</x:v>
      </x:c>
      <x:c r="E338" s="98" t="n">
        <x:v>5.5427750758045615</x:v>
      </x:c>
      <x:c r="F338" s="99" t="n">
        <x:v>895.2636374477731</x:v>
      </x:c>
      <x:c r="G338" s="100" t="str">
        <x:f>XLOOKUP(D338,'Reference Tables'!$A$4:$A$23,'Reference Tables'!$B$4:$B$23,"Other")</x:f>
        <x:v>Other</x:v>
      </x:c>
      <x:c r="H338" s="100" t="str">
        <x:f>VLOOKUP(G338,'Reference Tables'!$I$4:$J$9,2,FALSE)</x:f>
        <x:v>Moderate</x:v>
      </x:c>
      <x:c r="I338" s="101" t="n">
        <x:f>F338*'Inputs &amp; Guide'!$B$4*XLOOKUP(D338,'Reference Tables'!$A$4:$A$23,'Reference Tables'!$C$4:$C$23,0.75)</x:f>
        <x:v>107.43163649373278</x:v>
      </x:c>
      <x:c r="J338" s="102" t="n">
        <x:f>XLOOKUP(C338,'Reference Tables'!$E$4:$E$12,'Reference Tables'!$F$4:$F$12,0.05)</x:f>
        <x:v>0.12</x:v>
      </x:c>
      <x:c r="K338" s="103" t="n">
        <x:f>MIN(I338,F338*J338)</x:f>
        <x:v>107.43163649373277</x:v>
      </x:c>
      <x:c r="L338" s="103" t="n">
        <x:f>'Inputs &amp; Guide'!$B$5</x:f>
        <x:v>15</x:v>
      </x:c>
      <x:c r="M338" s="103" t="n">
        <x:f>I338*'Inputs &amp; Guide'!$B$6</x:f>
        <x:v>59.087400071553034</x:v>
      </x:c>
      <x:c r="N338" s="103" t="n">
        <x:f>MAX(0,MIN(K338-L338,M338))</x:f>
        <x:v>59.087400071553034</x:v>
      </x:c>
      <x:c r="O338" s="103" t="n">
        <x:f>MAX(0,N338-'Inputs &amp; Guide'!$B$7)</x:f>
        <x:v>0</x:v>
      </x:c>
      <x:c r="P338" s="103" t="n">
        <x:f>N338-O338</x:f>
        <x:v>59.087400071553034</x:v>
      </x:c>
      <x:c r="Q338" s="103" t="n">
        <x:f>I338*'Inputs &amp; Guide'!$B$8</x:f>
        <x:v>1.93376945688719</x:v>
      </x:c>
      <x:c r="R338" s="104" t="n">
        <x:f>IFERROR(P338/Q338,0)</x:f>
        <x:v>30.55555555555556</x:v>
      </x:c>
      <x:c r="S338" s="105" t="n">
        <x:f>ROUND(E338*XLOOKUP(C338,'Reference Tables'!$E$4:$E$12,'Reference Tables'!$G$4:$G$12,1),1)</x:f>
        <x:v>6.9</x:v>
      </x:c>
      <x:c r="T338" s="106" t="str">
        <x:f>IF(R338&gt;='Inputs &amp; Guide'!$B$9,"HIGH",IF(R338&gt;=0.45,"WATCH","NORMAL"))</x:f>
        <x:v>HIGH</x:v>
      </x:c>
    </x:row>
    <x:row r="339">
      <x:c r="A339" s="95" t="n">
        <x:v>2681</x:v>
      </x:c>
      <x:c r="B339" s="96" t="n">
        <x:v>45403.4375</x:v>
      </x:c>
      <x:c r="C339" s="97" t="str">
        <x:v>Wildfire</x:v>
      </x:c>
      <x:c r="D339" s="97" t="str">
        <x:v>USA</x:v>
      </x:c>
      <x:c r="E339" s="98" t="n">
        <x:v>4.94044645003307</x:v>
      </x:c>
      <x:c r="F339" s="99" t="n">
        <x:v>169.6824678269655</x:v>
      </x:c>
      <x:c r="G339" s="100" t="str">
        <x:f>XLOOKUP(D339,'Reference Tables'!$A$4:$A$23,'Reference Tables'!$B$4:$B$23,"Other")</x:f>
        <x:v>Other</x:v>
      </x:c>
      <x:c r="H339" s="100" t="str">
        <x:f>VLOOKUP(G339,'Reference Tables'!$I$4:$J$9,2,FALSE)</x:f>
        <x:v>Moderate</x:v>
      </x:c>
      <x:c r="I339" s="101" t="n">
        <x:f>F339*'Inputs &amp; Guide'!$B$4*XLOOKUP(D339,'Reference Tables'!$A$4:$A$23,'Reference Tables'!$C$4:$C$23,0.75)</x:f>
        <x:v>20.36189613923586</x:v>
      </x:c>
      <x:c r="J339" s="102" t="n">
        <x:f>XLOOKUP(C339,'Reference Tables'!$E$4:$E$12,'Reference Tables'!$F$4:$F$12,0.05)</x:f>
        <x:v>0.1</x:v>
      </x:c>
      <x:c r="K339" s="103" t="n">
        <x:f>MIN(I339,F339*J339)</x:f>
        <x:v>16.96824678269655</x:v>
      </x:c>
      <x:c r="L339" s="103" t="n">
        <x:f>'Inputs &amp; Guide'!$B$5</x:f>
        <x:v>15</x:v>
      </x:c>
      <x:c r="M339" s="103" t="n">
        <x:f>I339*'Inputs &amp; Guide'!$B$6</x:f>
        <x:v>11.199042876579725</x:v>
      </x:c>
      <x:c r="N339" s="103" t="n">
        <x:f>MAX(0,MIN(K339-L339,M339))</x:f>
        <x:v>1.96824678269655</x:v>
      </x:c>
      <x:c r="O339" s="103" t="n">
        <x:f>MAX(0,N339-'Inputs &amp; Guide'!$B$7)</x:f>
        <x:v>0</x:v>
      </x:c>
      <x:c r="P339" s="103" t="n">
        <x:f>N339-O339</x:f>
        <x:v>1.96824678269655</x:v>
      </x:c>
      <x:c r="Q339" s="103" t="n">
        <x:f>I339*'Inputs &amp; Guide'!$B$8</x:f>
        <x:v>0.36651413050624543</x:v>
      </x:c>
      <x:c r="R339" s="104" t="n">
        <x:f>IFERROR(P339/Q339,0)</x:f>
        <x:v>5.370179807195758</x:v>
      </x:c>
      <x:c r="S339" s="105" t="n">
        <x:f>ROUND(E339*XLOOKUP(C339,'Reference Tables'!$E$4:$E$12,'Reference Tables'!$G$4:$G$12,1),1)</x:f>
        <x:v>5.7</x:v>
      </x:c>
      <x:c r="T339" s="106" t="str">
        <x:f>IF(R339&gt;='Inputs &amp; Guide'!$B$9,"HIGH",IF(R339&gt;=0.45,"WATCH","NORMAL"))</x:f>
        <x:v>HIGH</x:v>
      </x:c>
    </x:row>
    <x:row r="340">
      <x:c r="A340" s="95" t="n">
        <x:v>2689</x:v>
      </x:c>
      <x:c r="B340" s="96" t="n">
        <x:v>45404</x:v>
      </x:c>
      <x:c r="C340" s="97" t="str">
        <x:v>Earthquake</x:v>
      </x:c>
      <x:c r="D340" s="97" t="str">
        <x:v>Japan</x:v>
      </x:c>
      <x:c r="E340" s="98" t="n">
        <x:v>9.918037854772814</x:v>
      </x:c>
      <x:c r="F340" s="99" t="n">
        <x:v>618.383347581262</x:v>
      </x:c>
      <x:c r="G340" s="100" t="str">
        <x:f>XLOOKUP(D340,'Reference Tables'!$A$4:$A$23,'Reference Tables'!$B$4:$B$23,"Other")</x:f>
        <x:v>Asia Pacific</x:v>
      </x:c>
      <x:c r="H340" s="100" t="str">
        <x:f>VLOOKUP(G340,'Reference Tables'!$I$4:$J$9,2,FALSE)</x:f>
        <x:v>High</x:v>
      </x:c>
      <x:c r="I340" s="101" t="n">
        <x:f>F340*'Inputs &amp; Guide'!$B$4*XLOOKUP(D340,'Reference Tables'!$A$4:$A$23,'Reference Tables'!$C$4:$C$23,0.75)</x:f>
        <x:v>116.75077602334227</x:v>
      </x:c>
      <x:c r="J340" s="102" t="n">
        <x:f>XLOOKUP(C340,'Reference Tables'!$E$4:$E$12,'Reference Tables'!$F$4:$F$12,0.05)</x:f>
        <x:v>0.14</x:v>
      </x:c>
      <x:c r="K340" s="103" t="n">
        <x:f>MIN(I340,F340*J340)</x:f>
        <x:v>86.57366866137669</x:v>
      </x:c>
      <x:c r="L340" s="103" t="n">
        <x:f>'Inputs &amp; Guide'!$B$5</x:f>
        <x:v>15</x:v>
      </x:c>
      <x:c r="M340" s="103" t="n">
        <x:f>I340*'Inputs &amp; Guide'!$B$6</x:f>
        <x:v>64.21292681283825</x:v>
      </x:c>
      <x:c r="N340" s="103" t="n">
        <x:f>MAX(0,MIN(K340-L340,M340))</x:f>
        <x:v>64.21292681283825</x:v>
      </x:c>
      <x:c r="O340" s="103" t="n">
        <x:f>MAX(0,N340-'Inputs &amp; Guide'!$B$7)</x:f>
        <x:v>4.212926812838248</x:v>
      </x:c>
      <x:c r="P340" s="103" t="n">
        <x:f>N340-O340</x:f>
        <x:v>60</x:v>
      </x:c>
      <x:c r="Q340" s="103" t="n">
        <x:f>I340*'Inputs &amp; Guide'!$B$8</x:f>
        <x:v>2.1015139684201607</x:v>
      </x:c>
      <x:c r="R340" s="104" t="n">
        <x:f>IFERROR(P340/Q340,0)</x:f>
        <x:v>28.55084520095089</x:v>
      </x:c>
      <x:c r="S340" s="105" t="n">
        <x:f>ROUND(E340*XLOOKUP(C340,'Reference Tables'!$E$4:$E$12,'Reference Tables'!$G$4:$G$12,1),1)</x:f>
        <x:v>14.9</x:v>
      </x:c>
      <x:c r="T340" s="106" t="str">
        <x:f>IF(R340&gt;='Inputs &amp; Guide'!$B$9,"HIGH",IF(R340&gt;=0.45,"WATCH","NORMAL"))</x:f>
        <x:v>HIGH</x:v>
      </x:c>
    </x:row>
    <x:row r="341">
      <x:c r="A341" s="95" t="n">
        <x:v>2697</x:v>
      </x:c>
      <x:c r="B341" s="96" t="n">
        <x:v>45404.104166666664</x:v>
      </x:c>
      <x:c r="C341" s="97" t="str">
        <x:v>Hurricane</x:v>
      </x:c>
      <x:c r="D341" s="97" t="str">
        <x:v>USA</x:v>
      </x:c>
      <x:c r="E341" s="98" t="n">
        <x:v>7.881437326688664</x:v>
      </x:c>
      <x:c r="F341" s="99" t="n">
        <x:v>49.681721153770326</x:v>
      </x:c>
      <x:c r="G341" s="100" t="str">
        <x:f>XLOOKUP(D341,'Reference Tables'!$A$4:$A$23,'Reference Tables'!$B$4:$B$23,"Other")</x:f>
        <x:v>Other</x:v>
      </x:c>
      <x:c r="H341" s="100" t="str">
        <x:f>VLOOKUP(G341,'Reference Tables'!$I$4:$J$9,2,FALSE)</x:f>
        <x:v>Moderate</x:v>
      </x:c>
      <x:c r="I341" s="101" t="n">
        <x:f>F341*'Inputs &amp; Guide'!$B$4*XLOOKUP(D341,'Reference Tables'!$A$4:$A$23,'Reference Tables'!$C$4:$C$23,0.75)</x:f>
        <x:v>5.961806538452439</x:v>
      </x:c>
      <x:c r="J341" s="102" t="n">
        <x:f>XLOOKUP(C341,'Reference Tables'!$E$4:$E$12,'Reference Tables'!$F$4:$F$12,0.05)</x:f>
        <x:v>0.18</x:v>
      </x:c>
      <x:c r="K341" s="103" t="n">
        <x:f>MIN(I341,F341*J341)</x:f>
        <x:v>5.961806538452439</x:v>
      </x:c>
      <x:c r="L341" s="103" t="n">
        <x:f>'Inputs &amp; Guide'!$B$5</x:f>
        <x:v>15</x:v>
      </x:c>
      <x:c r="M341" s="103" t="n">
        <x:f>I341*'Inputs &amp; Guide'!$B$6</x:f>
        <x:v>3.2789935961488417</x:v>
      </x:c>
      <x:c r="N341" s="103" t="n">
        <x:f>MAX(0,MIN(K341-L341,M341))</x:f>
        <x:v>0</x:v>
      </x:c>
      <x:c r="O341" s="103" t="n">
        <x:f>MAX(0,N341-'Inputs &amp; Guide'!$B$7)</x:f>
        <x:v>0</x:v>
      </x:c>
      <x:c r="P341" s="103" t="n">
        <x:f>N341-O341</x:f>
        <x:v>0</x:v>
      </x:c>
      <x:c r="Q341" s="103" t="n">
        <x:f>I341*'Inputs &amp; Guide'!$B$8</x:f>
        <x:v>0.1073125176921439</x:v>
      </x:c>
      <x:c r="R341" s="104" t="n">
        <x:f>IFERROR(P341/Q341,0)</x:f>
        <x:v>0</x:v>
      </x:c>
      <x:c r="S341" s="105" t="n">
        <x:f>ROUND(E341*XLOOKUP(C341,'Reference Tables'!$E$4:$E$12,'Reference Tables'!$G$4:$G$12,1),1)</x:f>
        <x:v>11</x:v>
      </x:c>
      <x:c r="T341" s="106" t="str">
        <x:f>IF(R341&gt;='Inputs &amp; Guide'!$B$9,"HIGH",IF(R341&gt;=0.45,"WATCH","NORMAL"))</x:f>
        <x:v>NORMAL</x:v>
      </x:c>
    </x:row>
    <x:row r="342">
      <x:c r="A342" s="95" t="n">
        <x:v>2705</x:v>
      </x:c>
      <x:c r="B342" s="96" t="n">
        <x:v>45404.4375</x:v>
      </x:c>
      <x:c r="C342" s="97" t="str">
        <x:v>Hurricane</x:v>
      </x:c>
      <x:c r="D342" s="97" t="str">
        <x:v>China</x:v>
      </x:c>
      <x:c r="E342" s="98" t="n">
        <x:v>3.179218291674471</x:v>
      </x:c>
      <x:c r="F342" s="99" t="n">
        <x:v>649.2213691408377</x:v>
      </x:c>
      <x:c r="G342" s="100" t="str">
        <x:f>XLOOKUP(D342,'Reference Tables'!$A$4:$A$23,'Reference Tables'!$B$4:$B$23,"Other")</x:f>
        <x:v>Asia Pacific</x:v>
      </x:c>
      <x:c r="H342" s="100" t="str">
        <x:f>VLOOKUP(G342,'Reference Tables'!$I$4:$J$9,2,FALSE)</x:f>
        <x:v>High</x:v>
      </x:c>
      <x:c r="I342" s="101" t="n">
        <x:f>F342*'Inputs &amp; Guide'!$B$4*XLOOKUP(D342,'Reference Tables'!$A$4:$A$23,'Reference Tables'!$C$4:$C$23,0.75)</x:f>
        <x:v>112.18545258753677</x:v>
      </x:c>
      <x:c r="J342" s="102" t="n">
        <x:f>XLOOKUP(C342,'Reference Tables'!$E$4:$E$12,'Reference Tables'!$F$4:$F$12,0.05)</x:f>
        <x:v>0.18</x:v>
      </x:c>
      <x:c r="K342" s="103" t="n">
        <x:f>MIN(I342,F342*J342)</x:f>
        <x:v>112.18545258753677</x:v>
      </x:c>
      <x:c r="L342" s="103" t="n">
        <x:f>'Inputs &amp; Guide'!$B$5</x:f>
        <x:v>15</x:v>
      </x:c>
      <x:c r="M342" s="103" t="n">
        <x:f>I342*'Inputs &amp; Guide'!$B$6</x:f>
        <x:v>61.70199892314523</x:v>
      </x:c>
      <x:c r="N342" s="103" t="n">
        <x:f>MAX(0,MIN(K342-L342,M342))</x:f>
        <x:v>61.70199892314523</x:v>
      </x:c>
      <x:c r="O342" s="103" t="n">
        <x:f>MAX(0,N342-'Inputs &amp; Guide'!$B$7)</x:f>
        <x:v>1.7019989231452328</x:v>
      </x:c>
      <x:c r="P342" s="103" t="n">
        <x:f>N342-O342</x:f>
        <x:v>60</x:v>
      </x:c>
      <x:c r="Q342" s="103" t="n">
        <x:f>I342*'Inputs &amp; Guide'!$B$8</x:f>
        <x:v>2.0193381465756617</x:v>
      </x:c>
      <x:c r="R342" s="104" t="n">
        <x:f>IFERROR(P342/Q342,0)</x:f>
        <x:v>29.712705671284603</x:v>
      </x:c>
      <x:c r="S342" s="105" t="n">
        <x:f>ROUND(E342*XLOOKUP(C342,'Reference Tables'!$E$4:$E$12,'Reference Tables'!$G$4:$G$12,1),1)</x:f>
        <x:v>4.5</x:v>
      </x:c>
      <x:c r="T342" s="106" t="str">
        <x:f>IF(R342&gt;='Inputs &amp; Guide'!$B$9,"HIGH",IF(R342&gt;=0.45,"WATCH","NORMAL"))</x:f>
        <x:v>HIGH</x:v>
      </x:c>
    </x:row>
    <x:row r="343">
      <x:c r="A343" s="95" t="n">
        <x:v>2713</x:v>
      </x:c>
      <x:c r="B343" s="96" t="n">
        <x:v>45405</x:v>
      </x:c>
      <x:c r="C343" s="97" t="str">
        <x:v>Flood</x:v>
      </x:c>
      <x:c r="D343" s="97" t="str">
        <x:v>Japan</x:v>
      </x:c>
      <x:c r="E343" s="98" t="n">
        <x:v>1.0104858860130277</x:v>
      </x:c>
      <x:c r="F343" s="99" t="n">
        <x:v>407.1821181525782</x:v>
      </x:c>
      <x:c r="G343" s="100" t="str">
        <x:f>XLOOKUP(D343,'Reference Tables'!$A$4:$A$23,'Reference Tables'!$B$4:$B$23,"Other")</x:f>
        <x:v>Asia Pacific</x:v>
      </x:c>
      <x:c r="H343" s="100" t="str">
        <x:f>VLOOKUP(G343,'Reference Tables'!$I$4:$J$9,2,FALSE)</x:f>
        <x:v>High</x:v>
      </x:c>
      <x:c r="I343" s="101" t="n">
        <x:f>F343*'Inputs &amp; Guide'!$B$4*XLOOKUP(D343,'Reference Tables'!$A$4:$A$23,'Reference Tables'!$C$4:$C$23,0.75)</x:f>
        <x:v>76.87598390720676</x:v>
      </x:c>
      <x:c r="J343" s="102" t="n">
        <x:f>XLOOKUP(C343,'Reference Tables'!$E$4:$E$12,'Reference Tables'!$F$4:$F$12,0.05)</x:f>
        <x:v>0.12</x:v>
      </x:c>
      <x:c r="K343" s="103" t="n">
        <x:f>MIN(I343,F343*J343)</x:f>
        <x:v>48.86185417830938</x:v>
      </x:c>
      <x:c r="L343" s="103" t="n">
        <x:f>'Inputs &amp; Guide'!$B$5</x:f>
        <x:v>15</x:v>
      </x:c>
      <x:c r="M343" s="103" t="n">
        <x:f>I343*'Inputs &amp; Guide'!$B$6</x:f>
        <x:v>42.28179114896372</x:v>
      </x:c>
      <x:c r="N343" s="103" t="n">
        <x:f>MAX(0,MIN(K343-L343,M343))</x:f>
        <x:v>33.86185417830938</x:v>
      </x:c>
      <x:c r="O343" s="103" t="n">
        <x:f>MAX(0,N343-'Inputs &amp; Guide'!$B$7)</x:f>
        <x:v>0</x:v>
      </x:c>
      <x:c r="P343" s="103" t="n">
        <x:f>N343-O343</x:f>
        <x:v>33.86185417830938</x:v>
      </x:c>
      <x:c r="Q343" s="103" t="n">
        <x:f>I343*'Inputs &amp; Guide'!$B$8</x:f>
        <x:v>1.3837677103297215</x:v>
      </x:c>
      <x:c r="R343" s="104" t="n">
        <x:f>IFERROR(P343/Q343,0)</x:f>
        <x:v>24.470764800719945</x:v>
      </x:c>
      <x:c r="S343" s="105" t="n">
        <x:f>ROUND(E343*XLOOKUP(C343,'Reference Tables'!$E$4:$E$12,'Reference Tables'!$G$4:$G$12,1),1)</x:f>
        <x:v>1.3</x:v>
      </x:c>
      <x:c r="T343" s="106" t="str">
        <x:f>IF(R343&gt;='Inputs &amp; Guide'!$B$9,"HIGH",IF(R343&gt;=0.45,"WATCH","NORMAL"))</x:f>
        <x:v>HIGH</x:v>
      </x:c>
    </x:row>
    <x:row r="344">
      <x:c r="A344" s="95" t="n">
        <x:v>2721</x:v>
      </x:c>
      <x:c r="B344" s="96" t="n">
        <x:v>45405.104166666664</x:v>
      </x:c>
      <x:c r="C344" s="97" t="str">
        <x:v>Hurricane</x:v>
      </x:c>
      <x:c r="D344" s="97" t="str">
        <x:v>India</x:v>
      </x:c>
      <x:c r="E344" s="98" t="n">
        <x:v>2.1757906652170496</x:v>
      </x:c>
      <x:c r="F344" s="99" t="n">
        <x:v>480.945991511186</x:v>
      </x:c>
      <x:c r="G344" s="100" t="str">
        <x:f>XLOOKUP(D344,'Reference Tables'!$A$4:$A$23,'Reference Tables'!$B$4:$B$23,"Other")</x:f>
        <x:v>Asia Pacific</x:v>
      </x:c>
      <x:c r="H344" s="100" t="str">
        <x:f>VLOOKUP(G344,'Reference Tables'!$I$4:$J$9,2,FALSE)</x:f>
        <x:v>High</x:v>
      </x:c>
      <x:c r="I344" s="101" t="n">
        <x:f>F344*'Inputs &amp; Guide'!$B$4*XLOOKUP(D344,'Reference Tables'!$A$4:$A$23,'Reference Tables'!$C$4:$C$23,0.75)</x:f>
        <x:v>70.02573636402867</x:v>
      </x:c>
      <x:c r="J344" s="102" t="n">
        <x:f>XLOOKUP(C344,'Reference Tables'!$E$4:$E$12,'Reference Tables'!$F$4:$F$12,0.05)</x:f>
        <x:v>0.18</x:v>
      </x:c>
      <x:c r="K344" s="103" t="n">
        <x:f>MIN(I344,F344*J344)</x:f>
        <x:v>70.02573636402867</x:v>
      </x:c>
      <x:c r="L344" s="103" t="n">
        <x:f>'Inputs &amp; Guide'!$B$5</x:f>
        <x:v>15</x:v>
      </x:c>
      <x:c r="M344" s="103" t="n">
        <x:f>I344*'Inputs &amp; Guide'!$B$6</x:f>
        <x:v>38.51415500021577</x:v>
      </x:c>
      <x:c r="N344" s="103" t="n">
        <x:f>MAX(0,MIN(K344-L344,M344))</x:f>
        <x:v>38.51415500021577</x:v>
      </x:c>
      <x:c r="O344" s="103" t="n">
        <x:f>MAX(0,N344-'Inputs &amp; Guide'!$B$7)</x:f>
        <x:v>0</x:v>
      </x:c>
      <x:c r="P344" s="103" t="n">
        <x:f>N344-O344</x:f>
        <x:v>38.51415500021577</x:v>
      </x:c>
      <x:c r="Q344" s="103" t="n">
        <x:f>I344*'Inputs &amp; Guide'!$B$8</x:f>
        <x:v>1.260463254552516</x:v>
      </x:c>
      <x:c r="R344" s="104" t="n">
        <x:f>IFERROR(P344/Q344,0)</x:f>
        <x:v>30.555555555555557</x:v>
      </x:c>
      <x:c r="S344" s="105" t="n">
        <x:f>ROUND(E344*XLOOKUP(C344,'Reference Tables'!$E$4:$E$12,'Reference Tables'!$G$4:$G$12,1),1)</x:f>
        <x:v>3</x:v>
      </x:c>
      <x:c r="T344" s="106" t="str">
        <x:f>IF(R344&gt;='Inputs &amp; Guide'!$B$9,"HIGH",IF(R344&gt;=0.45,"WATCH","NORMAL"))</x:f>
        <x:v>HIGH</x:v>
      </x:c>
    </x:row>
    <x:row r="345">
      <x:c r="A345" s="95" t="n">
        <x:v>2729</x:v>
      </x:c>
      <x:c r="B345" s="96" t="n">
        <x:v>45405.4375</x:v>
      </x:c>
      <x:c r="C345" s="97" t="str">
        <x:v>Wildfire</x:v>
      </x:c>
      <x:c r="D345" s="97" t="str">
        <x:v>Indonesia</x:v>
      </x:c>
      <x:c r="E345" s="98" t="n">
        <x:v>8.231078767715664</x:v>
      </x:c>
      <x:c r="F345" s="99" t="n">
        <x:v>964.1403759631647</x:v>
      </x:c>
      <x:c r="G345" s="100" t="str">
        <x:f>XLOOKUP(D345,'Reference Tables'!$A$4:$A$23,'Reference Tables'!$B$4:$B$23,"Other")</x:f>
        <x:v>Asia Pacific</x:v>
      </x:c>
      <x:c r="H345" s="100" t="str">
        <x:f>VLOOKUP(G345,'Reference Tables'!$I$4:$J$9,2,FALSE)</x:f>
        <x:v>High</x:v>
      </x:c>
      <x:c r="I345" s="101" t="n">
        <x:f>F345*'Inputs &amp; Guide'!$B$4*XLOOKUP(D345,'Reference Tables'!$A$4:$A$23,'Reference Tables'!$C$4:$C$23,0.75)</x:f>
        <x:v>158.89033395872954</x:v>
      </x:c>
      <x:c r="J345" s="102" t="n">
        <x:f>XLOOKUP(C345,'Reference Tables'!$E$4:$E$12,'Reference Tables'!$F$4:$F$12,0.05)</x:f>
        <x:v>0.1</x:v>
      </x:c>
      <x:c r="K345" s="103" t="n">
        <x:f>MIN(I345,F345*J345)</x:f>
        <x:v>96.41403759631648</x:v>
      </x:c>
      <x:c r="L345" s="103" t="n">
        <x:f>'Inputs &amp; Guide'!$B$5</x:f>
        <x:v>15</x:v>
      </x:c>
      <x:c r="M345" s="103" t="n">
        <x:f>I345*'Inputs &amp; Guide'!$B$6</x:f>
        <x:v>87.38968367730125</x:v>
      </x:c>
      <x:c r="N345" s="103" t="n">
        <x:f>MAX(0,MIN(K345-L345,M345))</x:f>
        <x:v>81.41403759631648</x:v>
      </x:c>
      <x:c r="O345" s="103" t="n">
        <x:f>MAX(0,N345-'Inputs &amp; Guide'!$B$7)</x:f>
        <x:v>21.414037596316476</x:v>
      </x:c>
      <x:c r="P345" s="103" t="n">
        <x:f>N345-O345</x:f>
        <x:v>60</x:v>
      </x:c>
      <x:c r="Q345" s="103" t="n">
        <x:f>I345*'Inputs &amp; Guide'!$B$8</x:f>
        <x:v>2.8600260112571316</x:v>
      </x:c>
      <x:c r="R345" s="104" t="n">
        <x:f>IFERROR(P345/Q345,0)</x:f>
        <x:v>20.978830179809048</x:v>
      </x:c>
      <x:c r="S345" s="105" t="n">
        <x:f>ROUND(E345*XLOOKUP(C345,'Reference Tables'!$E$4:$E$12,'Reference Tables'!$G$4:$G$12,1),1)</x:f>
        <x:v>9.5</x:v>
      </x:c>
      <x:c r="T345" s="106" t="str">
        <x:f>IF(R345&gt;='Inputs &amp; Guide'!$B$9,"HIGH",IF(R345&gt;=0.45,"WATCH","NORMAL"))</x:f>
        <x:v>HIGH</x:v>
      </x:c>
    </x:row>
    <x:row r="346">
      <x:c r="A346" s="95" t="n">
        <x:v>2737</x:v>
      </x:c>
      <x:c r="B346" s="96" t="n">
        <x:v>45406</x:v>
      </x:c>
      <x:c r="C346" s="97" t="str">
        <x:v>Tornado</x:v>
      </x:c>
      <x:c r="D346" s="97" t="str">
        <x:v>Indonesia</x:v>
      </x:c>
      <x:c r="E346" s="98" t="n">
        <x:v>7.338883466699237</x:v>
      </x:c>
      <x:c r="F346" s="99" t="n">
        <x:v>414.6004955345488</x:v>
      </x:c>
      <x:c r="G346" s="100" t="str">
        <x:f>XLOOKUP(D346,'Reference Tables'!$A$4:$A$23,'Reference Tables'!$B$4:$B$23,"Other")</x:f>
        <x:v>Asia Pacific</x:v>
      </x:c>
      <x:c r="H346" s="100" t="str">
        <x:f>VLOOKUP(G346,'Reference Tables'!$I$4:$J$9,2,FALSE)</x:f>
        <x:v>High</x:v>
      </x:c>
      <x:c r="I346" s="101" t="n">
        <x:f>F346*'Inputs &amp; Guide'!$B$4*XLOOKUP(D346,'Reference Tables'!$A$4:$A$23,'Reference Tables'!$C$4:$C$23,0.75)</x:f>
        <x:v>68.32616166409365</x:v>
      </x:c>
      <x:c r="J346" s="102" t="n">
        <x:f>XLOOKUP(C346,'Reference Tables'!$E$4:$E$12,'Reference Tables'!$F$4:$F$12,0.05)</x:f>
        <x:v>0.09</x:v>
      </x:c>
      <x:c r="K346" s="103" t="n">
        <x:f>MIN(I346,F346*J346)</x:f>
        <x:v>37.31404459810939</x:v>
      </x:c>
      <x:c r="L346" s="103" t="n">
        <x:f>'Inputs &amp; Guide'!$B$5</x:f>
        <x:v>15</x:v>
      </x:c>
      <x:c r="M346" s="103" t="n">
        <x:f>I346*'Inputs &amp; Guide'!$B$6</x:f>
        <x:v>37.579388915251506</x:v>
      </x:c>
      <x:c r="N346" s="103" t="n">
        <x:f>MAX(0,MIN(K346-L346,M346))</x:f>
        <x:v>22.31404459810939</x:v>
      </x:c>
      <x:c r="O346" s="103" t="n">
        <x:f>MAX(0,N346-'Inputs &amp; Guide'!$B$7)</x:f>
        <x:v>0</x:v>
      </x:c>
      <x:c r="P346" s="103" t="n">
        <x:f>N346-O346</x:f>
        <x:v>22.31404459810939</x:v>
      </x:c>
      <x:c r="Q346" s="103" t="n">
        <x:f>I346*'Inputs &amp; Guide'!$B$8</x:f>
        <x:v>1.2298709099536855</x:v>
      </x:c>
      <x:c r="R346" s="104" t="n">
        <x:f>IFERROR(P346/Q346,0)</x:f>
        <x:v>18.14340384630261</x:v>
      </x:c>
      <x:c r="S346" s="105" t="n">
        <x:f>ROUND(E346*XLOOKUP(C346,'Reference Tables'!$E$4:$E$12,'Reference Tables'!$G$4:$G$12,1),1)</x:f>
        <x:v>7.7</x:v>
      </x:c>
      <x:c r="T346" s="106" t="str">
        <x:f>IF(R346&gt;='Inputs &amp; Guide'!$B$9,"HIGH",IF(R346&gt;=0.45,"WATCH","NORMAL"))</x:f>
        <x:v>HIGH</x:v>
      </x:c>
    </x:row>
    <x:row r="347">
      <x:c r="A347" s="95" t="n">
        <x:v>2745</x:v>
      </x:c>
      <x:c r="B347" s="96" t="n">
        <x:v>45406.104166666664</x:v>
      </x:c>
      <x:c r="C347" s="97" t="str">
        <x:v>Flood</x:v>
      </x:c>
      <x:c r="D347" s="97" t="str">
        <x:v>India</x:v>
      </x:c>
      <x:c r="E347" s="98" t="n">
        <x:v>3.589132716457909</x:v>
      </x:c>
      <x:c r="F347" s="99" t="n">
        <x:v>70.6107249422787</x:v>
      </x:c>
      <x:c r="G347" s="100" t="str">
        <x:f>XLOOKUP(D347,'Reference Tables'!$A$4:$A$23,'Reference Tables'!$B$4:$B$23,"Other")</x:f>
        <x:v>Asia Pacific</x:v>
      </x:c>
      <x:c r="H347" s="100" t="str">
        <x:f>VLOOKUP(G347,'Reference Tables'!$I$4:$J$9,2,FALSE)</x:f>
        <x:v>High</x:v>
      </x:c>
      <x:c r="I347" s="101" t="n">
        <x:f>F347*'Inputs &amp; Guide'!$B$4*XLOOKUP(D347,'Reference Tables'!$A$4:$A$23,'Reference Tables'!$C$4:$C$23,0.75)</x:f>
        <x:v>10.280921551595778</x:v>
      </x:c>
      <x:c r="J347" s="102" t="n">
        <x:f>XLOOKUP(C347,'Reference Tables'!$E$4:$E$12,'Reference Tables'!$F$4:$F$12,0.05)</x:f>
        <x:v>0.12</x:v>
      </x:c>
      <x:c r="K347" s="103" t="n">
        <x:f>MIN(I347,F347*J347)</x:f>
        <x:v>8.473286993073444</x:v>
      </x:c>
      <x:c r="L347" s="103" t="n">
        <x:f>'Inputs &amp; Guide'!$B$5</x:f>
        <x:v>15</x:v>
      </x:c>
      <x:c r="M347" s="103" t="n">
        <x:f>I347*'Inputs &amp; Guide'!$B$6</x:f>
        <x:v>5.654506853377678</x:v>
      </x:c>
      <x:c r="N347" s="103" t="n">
        <x:f>MAX(0,MIN(K347-L347,M347))</x:f>
        <x:v>0</x:v>
      </x:c>
      <x:c r="O347" s="103" t="n">
        <x:f>MAX(0,N347-'Inputs &amp; Guide'!$B$7)</x:f>
        <x:v>0</x:v>
      </x:c>
      <x:c r="P347" s="103" t="n">
        <x:f>N347-O347</x:f>
        <x:v>0</x:v>
      </x:c>
      <x:c r="Q347" s="103" t="n">
        <x:f>I347*'Inputs &amp; Guide'!$B$8</x:f>
        <x:v>0.18505658792872398</x:v>
      </x:c>
      <x:c r="R347" s="104" t="n">
        <x:f>IFERROR(P347/Q347,0)</x:f>
        <x:v>0</x:v>
      </x:c>
      <x:c r="S347" s="105" t="n">
        <x:f>ROUND(E347*XLOOKUP(C347,'Reference Tables'!$E$4:$E$12,'Reference Tables'!$G$4:$G$12,1),1)</x:f>
        <x:v>4.5</x:v>
      </x:c>
      <x:c r="T347" s="106" t="str">
        <x:f>IF(R347&gt;='Inputs &amp; Guide'!$B$9,"HIGH",IF(R347&gt;=0.45,"WATCH","NORMAL"))</x:f>
        <x:v>NORMAL</x:v>
      </x:c>
    </x:row>
    <x:row r="348">
      <x:c r="A348" s="95" t="n">
        <x:v>2753</x:v>
      </x:c>
      <x:c r="B348" s="96" t="n">
        <x:v>45406.4375</x:v>
      </x:c>
      <x:c r="C348" s="97" t="str">
        <x:v>Flood</x:v>
      </x:c>
      <x:c r="D348" s="97" t="str">
        <x:v>China</x:v>
      </x:c>
      <x:c r="E348" s="98" t="n">
        <x:v>9.424241365234494</x:v>
      </x:c>
      <x:c r="F348" s="99" t="n">
        <x:v>752.640076287341</x:v>
      </x:c>
      <x:c r="G348" s="100" t="str">
        <x:f>XLOOKUP(D348,'Reference Tables'!$A$4:$A$23,'Reference Tables'!$B$4:$B$23,"Other")</x:f>
        <x:v>Asia Pacific</x:v>
      </x:c>
      <x:c r="H348" s="100" t="str">
        <x:f>VLOOKUP(G348,'Reference Tables'!$I$4:$J$9,2,FALSE)</x:f>
        <x:v>High</x:v>
      </x:c>
      <x:c r="I348" s="101" t="n">
        <x:f>F348*'Inputs &amp; Guide'!$B$4*XLOOKUP(D348,'Reference Tables'!$A$4:$A$23,'Reference Tables'!$C$4:$C$23,0.75)</x:f>
        <x:v>130.05620518245254</x:v>
      </x:c>
      <x:c r="J348" s="102" t="n">
        <x:f>XLOOKUP(C348,'Reference Tables'!$E$4:$E$12,'Reference Tables'!$F$4:$F$12,0.05)</x:f>
        <x:v>0.12</x:v>
      </x:c>
      <x:c r="K348" s="103" t="n">
        <x:f>MIN(I348,F348*J348)</x:f>
        <x:v>90.31680915448092</x:v>
      </x:c>
      <x:c r="L348" s="103" t="n">
        <x:f>'Inputs &amp; Guide'!$B$5</x:f>
        <x:v>15</x:v>
      </x:c>
      <x:c r="M348" s="103" t="n">
        <x:f>I348*'Inputs &amp; Guide'!$B$6</x:f>
        <x:v>71.53091285034891</x:v>
      </x:c>
      <x:c r="N348" s="103" t="n">
        <x:f>MAX(0,MIN(K348-L348,M348))</x:f>
        <x:v>71.53091285034891</x:v>
      </x:c>
      <x:c r="O348" s="103" t="n">
        <x:f>MAX(0,N348-'Inputs &amp; Guide'!$B$7)</x:f>
        <x:v>11.530912850348912</x:v>
      </x:c>
      <x:c r="P348" s="103" t="n">
        <x:f>N348-O348</x:f>
        <x:v>60</x:v>
      </x:c>
      <x:c r="Q348" s="103" t="n">
        <x:f>I348*'Inputs &amp; Guide'!$B$8</x:f>
        <x:v>2.3410116932841456</x:v>
      </x:c>
      <x:c r="R348" s="104" t="n">
        <x:f>IFERROR(P348/Q348,0)</x:f>
        <x:v>25.62994459708466</x:v>
      </x:c>
      <x:c r="S348" s="105" t="n">
        <x:f>ROUND(E348*XLOOKUP(C348,'Reference Tables'!$E$4:$E$12,'Reference Tables'!$G$4:$G$12,1),1)</x:f>
        <x:v>11.8</x:v>
      </x:c>
      <x:c r="T348" s="106" t="str">
        <x:f>IF(R348&gt;='Inputs &amp; Guide'!$B$9,"HIGH",IF(R348&gt;=0.45,"WATCH","NORMAL"))</x:f>
        <x:v>HIGH</x:v>
      </x:c>
    </x:row>
    <x:row r="349">
      <x:c r="A349" s="95" t="n">
        <x:v>2761</x:v>
      </x:c>
      <x:c r="B349" s="96" t="n">
        <x:v>45407</x:v>
      </x:c>
      <x:c r="C349" s="97" t="str">
        <x:v>Flood</x:v>
      </x:c>
      <x:c r="D349" s="97" t="str">
        <x:v>USA</x:v>
      </x:c>
      <x:c r="E349" s="98" t="n">
        <x:v>8.452300973414067</x:v>
      </x:c>
      <x:c r="F349" s="99" t="n">
        <x:v>851.4618327871351</x:v>
      </x:c>
      <x:c r="G349" s="100" t="str">
        <x:f>XLOOKUP(D349,'Reference Tables'!$A$4:$A$23,'Reference Tables'!$B$4:$B$23,"Other")</x:f>
        <x:v>Other</x:v>
      </x:c>
      <x:c r="H349" s="100" t="str">
        <x:f>VLOOKUP(G349,'Reference Tables'!$I$4:$J$9,2,FALSE)</x:f>
        <x:v>Moderate</x:v>
      </x:c>
      <x:c r="I349" s="101" t="n">
        <x:f>F349*'Inputs &amp; Guide'!$B$4*XLOOKUP(D349,'Reference Tables'!$A$4:$A$23,'Reference Tables'!$C$4:$C$23,0.75)</x:f>
        <x:v>102.17541993445622</x:v>
      </x:c>
      <x:c r="J349" s="102" t="n">
        <x:f>XLOOKUP(C349,'Reference Tables'!$E$4:$E$12,'Reference Tables'!$F$4:$F$12,0.05)</x:f>
        <x:v>0.12</x:v>
      </x:c>
      <x:c r="K349" s="103" t="n">
        <x:f>MIN(I349,F349*J349)</x:f>
        <x:v>102.17541993445622</x:v>
      </x:c>
      <x:c r="L349" s="103" t="n">
        <x:f>'Inputs &amp; Guide'!$B$5</x:f>
        <x:v>15</x:v>
      </x:c>
      <x:c r="M349" s="103" t="n">
        <x:f>I349*'Inputs &amp; Guide'!$B$6</x:f>
        <x:v>56.196480963950926</x:v>
      </x:c>
      <x:c r="N349" s="103" t="n">
        <x:f>MAX(0,MIN(K349-L349,M349))</x:f>
        <x:v>56.196480963950926</x:v>
      </x:c>
      <x:c r="O349" s="103" t="n">
        <x:f>MAX(0,N349-'Inputs &amp; Guide'!$B$7)</x:f>
        <x:v>0</x:v>
      </x:c>
      <x:c r="P349" s="103" t="n">
        <x:f>N349-O349</x:f>
        <x:v>56.196480963950926</x:v>
      </x:c>
      <x:c r="Q349" s="103" t="n">
        <x:f>I349*'Inputs &amp; Guide'!$B$8</x:f>
        <x:v>1.8391575588202118</x:v>
      </x:c>
      <x:c r="R349" s="104" t="n">
        <x:f>IFERROR(P349/Q349,0)</x:f>
        <x:v>30.55555555555556</x:v>
      </x:c>
      <x:c r="S349" s="105" t="n">
        <x:f>ROUND(E349*XLOOKUP(C349,'Reference Tables'!$E$4:$E$12,'Reference Tables'!$G$4:$G$12,1),1)</x:f>
        <x:v>10.6</x:v>
      </x:c>
      <x:c r="T349" s="106" t="str">
        <x:f>IF(R349&gt;='Inputs &amp; Guide'!$B$9,"HIGH",IF(R349&gt;=0.45,"WATCH","NORMAL"))</x:f>
        <x:v>HIGH</x:v>
      </x:c>
    </x:row>
    <x:row r="350">
      <x:c r="A350" s="95" t="n">
        <x:v>2769</x:v>
      </x:c>
      <x:c r="B350" s="96" t="n">
        <x:v>45407.104166666664</x:v>
      </x:c>
      <x:c r="C350" s="97" t="str">
        <x:v>Wildfire</x:v>
      </x:c>
      <x:c r="D350" s="97" t="str">
        <x:v>Brazil</x:v>
      </x:c>
      <x:c r="E350" s="98" t="n">
        <x:v>4.393166177267759</x:v>
      </x:c>
      <x:c r="F350" s="99" t="n">
        <x:v>646.6529867396185</x:v>
      </x:c>
      <x:c r="G350" s="100" t="str">
        <x:f>XLOOKUP(D350,'Reference Tables'!$A$4:$A$23,'Reference Tables'!$B$4:$B$23,"Other")</x:f>
        <x:v>Latin America</x:v>
      </x:c>
      <x:c r="H350" s="100" t="str">
        <x:f>VLOOKUP(G350,'Reference Tables'!$I$4:$J$9,2,FALSE)</x:f>
        <x:v>Moderate</x:v>
      </x:c>
      <x:c r="I350" s="101" t="n">
        <x:f>F350*'Inputs &amp; Guide'!$B$4*XLOOKUP(D350,'Reference Tables'!$A$4:$A$23,'Reference Tables'!$C$4:$C$23,0.75)</x:f>
        <x:v>84.84087186023795</x:v>
      </x:c>
      <x:c r="J350" s="102" t="n">
        <x:f>XLOOKUP(C350,'Reference Tables'!$E$4:$E$12,'Reference Tables'!$F$4:$F$12,0.05)</x:f>
        <x:v>0.1</x:v>
      </x:c>
      <x:c r="K350" s="103" t="n">
        <x:f>MIN(I350,F350*J350)</x:f>
        <x:v>64.66529867396186</x:v>
      </x:c>
      <x:c r="L350" s="103" t="n">
        <x:f>'Inputs &amp; Guide'!$B$5</x:f>
        <x:v>15</x:v>
      </x:c>
      <x:c r="M350" s="103" t="n">
        <x:f>I350*'Inputs &amp; Guide'!$B$6</x:f>
        <x:v>46.66247952313088</x:v>
      </x:c>
      <x:c r="N350" s="103" t="n">
        <x:f>MAX(0,MIN(K350-L350,M350))</x:f>
        <x:v>46.66247952313088</x:v>
      </x:c>
      <x:c r="O350" s="103" t="n">
        <x:f>MAX(0,N350-'Inputs &amp; Guide'!$B$7)</x:f>
        <x:v>0</x:v>
      </x:c>
      <x:c r="P350" s="103" t="n">
        <x:f>N350-O350</x:f>
        <x:v>46.66247952313088</x:v>
      </x:c>
      <x:c r="Q350" s="103" t="n">
        <x:f>I350*'Inputs &amp; Guide'!$B$8</x:f>
        <x:v>1.527135693484283</x:v>
      </x:c>
      <x:c r="R350" s="104" t="n">
        <x:f>IFERROR(P350/Q350,0)</x:f>
        <x:v>30.55555555555556</x:v>
      </x:c>
      <x:c r="S350" s="105" t="n">
        <x:f>ROUND(E350*XLOOKUP(C350,'Reference Tables'!$E$4:$E$12,'Reference Tables'!$G$4:$G$12,1),1)</x:f>
        <x:v>5.1</x:v>
      </x:c>
      <x:c r="T350" s="106" t="str">
        <x:f>IF(R350&gt;='Inputs &amp; Guide'!$B$9,"HIGH",IF(R350&gt;=0.45,"WATCH","NORMAL"))</x:f>
        <x:v>HIGH</x:v>
      </x:c>
    </x:row>
    <x:row r="351">
      <x:c r="A351" s="95" t="n">
        <x:v>2777</x:v>
      </x:c>
      <x:c r="B351" s="96" t="n">
        <x:v>45407.4375</x:v>
      </x:c>
      <x:c r="C351" s="97" t="str">
        <x:v>Tornado</x:v>
      </x:c>
      <x:c r="D351" s="97" t="str">
        <x:v>Japan</x:v>
      </x:c>
      <x:c r="E351" s="98" t="n">
        <x:v>3.191461180106435</x:v>
      </x:c>
      <x:c r="F351" s="99" t="n">
        <x:v>761.5098328675537</x:v>
      </x:c>
      <x:c r="G351" s="100" t="str">
        <x:f>XLOOKUP(D351,'Reference Tables'!$A$4:$A$23,'Reference Tables'!$B$4:$B$23,"Other")</x:f>
        <x:v>Asia Pacific</x:v>
      </x:c>
      <x:c r="H351" s="100" t="str">
        <x:f>VLOOKUP(G351,'Reference Tables'!$I$4:$J$9,2,FALSE)</x:f>
        <x:v>High</x:v>
      </x:c>
      <x:c r="I351" s="101" t="n">
        <x:f>F351*'Inputs &amp; Guide'!$B$4*XLOOKUP(D351,'Reference Tables'!$A$4:$A$23,'Reference Tables'!$C$4:$C$23,0.75)</x:f>
        <x:v>143.7730564453941</x:v>
      </x:c>
      <x:c r="J351" s="102" t="n">
        <x:f>XLOOKUP(C351,'Reference Tables'!$E$4:$E$12,'Reference Tables'!$F$4:$F$12,0.05)</x:f>
        <x:v>0.09</x:v>
      </x:c>
      <x:c r="K351" s="103" t="n">
        <x:f>MIN(I351,F351*J351)</x:f>
        <x:v>68.53588495807983</x:v>
      </x:c>
      <x:c r="L351" s="103" t="n">
        <x:f>'Inputs &amp; Guide'!$B$5</x:f>
        <x:v>15</x:v>
      </x:c>
      <x:c r="M351" s="103" t="n">
        <x:f>I351*'Inputs &amp; Guide'!$B$6</x:f>
        <x:v>79.07518104496677</x:v>
      </x:c>
      <x:c r="N351" s="103" t="n">
        <x:f>MAX(0,MIN(K351-L351,M351))</x:f>
        <x:v>53.53588495807983</x:v>
      </x:c>
      <x:c r="O351" s="103" t="n">
        <x:f>MAX(0,N351-'Inputs &amp; Guide'!$B$7)</x:f>
        <x:v>0</x:v>
      </x:c>
      <x:c r="P351" s="103" t="n">
        <x:f>N351-O351</x:f>
        <x:v>53.53588495807983</x:v>
      </x:c>
      <x:c r="Q351" s="103" t="n">
        <x:f>I351*'Inputs &amp; Guide'!$B$8</x:f>
        <x:v>2.5879150160170936</x:v>
      </x:c>
      <x:c r="R351" s="104" t="n">
        <x:f>IFERROR(P351/Q351,0)</x:f>
        <x:v>20.68687906161375</x:v>
      </x:c>
      <x:c r="S351" s="105" t="n">
        <x:f>ROUND(E351*XLOOKUP(C351,'Reference Tables'!$E$4:$E$12,'Reference Tables'!$G$4:$G$12,1),1)</x:f>
        <x:v>3.4</x:v>
      </x:c>
      <x:c r="T351" s="106" t="str">
        <x:f>IF(R351&gt;='Inputs &amp; Guide'!$B$9,"HIGH",IF(R351&gt;=0.45,"WATCH","NORMAL"))</x:f>
        <x:v>HIGH</x:v>
      </x:c>
    </x:row>
    <x:row r="352">
      <x:c r="A352" s="95" t="n">
        <x:v>2785</x:v>
      </x:c>
      <x:c r="B352" s="96" t="n">
        <x:v>45408</x:v>
      </x:c>
      <x:c r="C352" s="97" t="str">
        <x:v>Wildfire</x:v>
      </x:c>
      <x:c r="D352" s="97" t="str">
        <x:v>Brazil</x:v>
      </x:c>
      <x:c r="E352" s="98" t="n">
        <x:v>2.6664770267016435</x:v>
      </x:c>
      <x:c r="F352" s="99" t="n">
        <x:v>383.21943989341196</x:v>
      </x:c>
      <x:c r="G352" s="100" t="str">
        <x:f>XLOOKUP(D352,'Reference Tables'!$A$4:$A$23,'Reference Tables'!$B$4:$B$23,"Other")</x:f>
        <x:v>Latin America</x:v>
      </x:c>
      <x:c r="H352" s="100" t="str">
        <x:f>VLOOKUP(G352,'Reference Tables'!$I$4:$J$9,2,FALSE)</x:f>
        <x:v>Moderate</x:v>
      </x:c>
      <x:c r="I352" s="101" t="n">
        <x:f>F352*'Inputs &amp; Guide'!$B$4*XLOOKUP(D352,'Reference Tables'!$A$4:$A$23,'Reference Tables'!$C$4:$C$23,0.75)</x:f>
        <x:v>50.27839051401565</x:v>
      </x:c>
      <x:c r="J352" s="102" t="n">
        <x:f>XLOOKUP(C352,'Reference Tables'!$E$4:$E$12,'Reference Tables'!$F$4:$F$12,0.05)</x:f>
        <x:v>0.1</x:v>
      </x:c>
      <x:c r="K352" s="103" t="n">
        <x:f>MIN(I352,F352*J352)</x:f>
        <x:v>38.3219439893412</x:v>
      </x:c>
      <x:c r="L352" s="103" t="n">
        <x:f>'Inputs &amp; Guide'!$B$5</x:f>
        <x:v>15</x:v>
      </x:c>
      <x:c r="M352" s="103" t="n">
        <x:f>I352*'Inputs &amp; Guide'!$B$6</x:f>
        <x:v>27.65311478270861</x:v>
      </x:c>
      <x:c r="N352" s="103" t="n">
        <x:f>MAX(0,MIN(K352-L352,M352))</x:f>
        <x:v>23.3219439893412</x:v>
      </x:c>
      <x:c r="O352" s="103" t="n">
        <x:f>MAX(0,N352-'Inputs &amp; Guide'!$B$7)</x:f>
        <x:v>0</x:v>
      </x:c>
      <x:c r="P352" s="103" t="n">
        <x:f>N352-O352</x:f>
        <x:v>23.3219439893412</x:v>
      </x:c>
      <x:c r="Q352" s="103" t="n">
        <x:f>I352*'Inputs &amp; Guide'!$B$8</x:f>
        <x:v>0.9050110292522816</x:v>
      </x:c>
      <x:c r="R352" s="104" t="n">
        <x:f>IFERROR(P352/Q352,0)</x:f>
        <x:v>25.769789798705265</x:v>
      </x:c>
      <x:c r="S352" s="105" t="n">
        <x:f>ROUND(E352*XLOOKUP(C352,'Reference Tables'!$E$4:$E$12,'Reference Tables'!$G$4:$G$12,1),1)</x:f>
        <x:v>3.1</x:v>
      </x:c>
      <x:c r="T352" s="106" t="str">
        <x:f>IF(R352&gt;='Inputs &amp; Guide'!$B$9,"HIGH",IF(R352&gt;=0.45,"WATCH","NORMAL"))</x:f>
        <x:v>HIGH</x:v>
      </x:c>
    </x:row>
    <x:row r="353">
      <x:c r="A353" s="95" t="n">
        <x:v>2793</x:v>
      </x:c>
      <x:c r="B353" s="96" t="n">
        <x:v>45408.104166666664</x:v>
      </x:c>
      <x:c r="C353" s="97" t="str">
        <x:v>Flood</x:v>
      </x:c>
      <x:c r="D353" s="97" t="str">
        <x:v>Indonesia</x:v>
      </x:c>
      <x:c r="E353" s="98" t="n">
        <x:v>8.524525810076314</x:v>
      </x:c>
      <x:c r="F353" s="99" t="n">
        <x:v>449.5365055688467</x:v>
      </x:c>
      <x:c r="G353" s="100" t="str">
        <x:f>XLOOKUP(D353,'Reference Tables'!$A$4:$A$23,'Reference Tables'!$B$4:$B$23,"Other")</x:f>
        <x:v>Asia Pacific</x:v>
      </x:c>
      <x:c r="H353" s="100" t="str">
        <x:f>VLOOKUP(G353,'Reference Tables'!$I$4:$J$9,2,FALSE)</x:f>
        <x:v>High</x:v>
      </x:c>
      <x:c r="I353" s="101" t="n">
        <x:f>F353*'Inputs &amp; Guide'!$B$4*XLOOKUP(D353,'Reference Tables'!$A$4:$A$23,'Reference Tables'!$C$4:$C$23,0.75)</x:f>
        <x:v>74.08361611774593</x:v>
      </x:c>
      <x:c r="J353" s="102" t="n">
        <x:f>XLOOKUP(C353,'Reference Tables'!$E$4:$E$12,'Reference Tables'!$F$4:$F$12,0.05)</x:f>
        <x:v>0.12</x:v>
      </x:c>
      <x:c r="K353" s="103" t="n">
        <x:f>MIN(I353,F353*J353)</x:f>
        <x:v>53.9443806682616</x:v>
      </x:c>
      <x:c r="L353" s="103" t="n">
        <x:f>'Inputs &amp; Guide'!$B$5</x:f>
        <x:v>15</x:v>
      </x:c>
      <x:c r="M353" s="103" t="n">
        <x:f>I353*'Inputs &amp; Guide'!$B$6</x:f>
        <x:v>40.745988864760264</x:v>
      </x:c>
      <x:c r="N353" s="103" t="n">
        <x:f>MAX(0,MIN(K353-L353,M353))</x:f>
        <x:v>38.9443806682616</x:v>
      </x:c>
      <x:c r="O353" s="103" t="n">
        <x:f>MAX(0,N353-'Inputs &amp; Guide'!$B$7)</x:f>
        <x:v>0</x:v>
      </x:c>
      <x:c r="P353" s="103" t="n">
        <x:f>N353-O353</x:f>
        <x:v>38.9443806682616</x:v>
      </x:c>
      <x:c r="Q353" s="103" t="n">
        <x:f>I353*'Inputs &amp; Guide'!$B$8</x:f>
        <x:v>1.3335050901194268</x:v>
      </x:c>
      <x:c r="R353" s="104" t="n">
        <x:f>IFERROR(P353/Q353,0)</x:f>
        <x:v>29.204523444881488</x:v>
      </x:c>
      <x:c r="S353" s="105" t="n">
        <x:f>ROUND(E353*XLOOKUP(C353,'Reference Tables'!$E$4:$E$12,'Reference Tables'!$G$4:$G$12,1),1)</x:f>
        <x:v>10.7</x:v>
      </x:c>
      <x:c r="T353" s="106" t="str">
        <x:f>IF(R353&gt;='Inputs &amp; Guide'!$B$9,"HIGH",IF(R353&gt;=0.45,"WATCH","NORMAL"))</x:f>
        <x:v>HIGH</x:v>
      </x:c>
    </x:row>
    <x:row r="354">
      <x:c r="A354" s="95" t="n">
        <x:v>2801</x:v>
      </x:c>
      <x:c r="B354" s="96" t="n">
        <x:v>45408.4375</x:v>
      </x:c>
      <x:c r="C354" s="97" t="str">
        <x:v>Earthquake</x:v>
      </x:c>
      <x:c r="D354" s="97" t="str">
        <x:v>Indonesia</x:v>
      </x:c>
      <x:c r="E354" s="98" t="n">
        <x:v>1.877311779749212</x:v>
      </x:c>
      <x:c r="F354" s="99" t="n">
        <x:v>184.22686123149836</x:v>
      </x:c>
      <x:c r="G354" s="100" t="str">
        <x:f>XLOOKUP(D354,'Reference Tables'!$A$4:$A$23,'Reference Tables'!$B$4:$B$23,"Other")</x:f>
        <x:v>Asia Pacific</x:v>
      </x:c>
      <x:c r="H354" s="100" t="str">
        <x:f>VLOOKUP(G354,'Reference Tables'!$I$4:$J$9,2,FALSE)</x:f>
        <x:v>High</x:v>
      </x:c>
      <x:c r="I354" s="101" t="n">
        <x:f>F354*'Inputs &amp; Guide'!$B$4*XLOOKUP(D354,'Reference Tables'!$A$4:$A$23,'Reference Tables'!$C$4:$C$23,0.75)</x:f>
        <x:v>30.36058673095093</x:v>
      </x:c>
      <x:c r="J354" s="102" t="n">
        <x:f>XLOOKUP(C354,'Reference Tables'!$E$4:$E$12,'Reference Tables'!$F$4:$F$12,0.05)</x:f>
        <x:v>0.14</x:v>
      </x:c>
      <x:c r="K354" s="103" t="n">
        <x:f>MIN(I354,F354*J354)</x:f>
        <x:v>25.791760572409775</x:v>
      </x:c>
      <x:c r="L354" s="103" t="n">
        <x:f>'Inputs &amp; Guide'!$B$5</x:f>
        <x:v>15</x:v>
      </x:c>
      <x:c r="M354" s="103" t="n">
        <x:f>I354*'Inputs &amp; Guide'!$B$6</x:f>
        <x:v>16.698322702023013</x:v>
      </x:c>
      <x:c r="N354" s="103" t="n">
        <x:f>MAX(0,MIN(K354-L354,M354))</x:f>
        <x:v>10.791760572409775</x:v>
      </x:c>
      <x:c r="O354" s="103" t="n">
        <x:f>MAX(0,N354-'Inputs &amp; Guide'!$B$7)</x:f>
        <x:v>0</x:v>
      </x:c>
      <x:c r="P354" s="103" t="n">
        <x:f>N354-O354</x:f>
        <x:v>10.791760572409775</x:v>
      </x:c>
      <x:c r="Q354" s="103" t="n">
        <x:f>I354*'Inputs &amp; Guide'!$B$8</x:f>
        <x:v>0.5464905611571167</x:v>
      </x:c>
      <x:c r="R354" s="104" t="n">
        <x:f>IFERROR(P354/Q354,0)</x:f>
        <x:v>19.747386943993586</x:v>
      </x:c>
      <x:c r="S354" s="105" t="n">
        <x:f>ROUND(E354*XLOOKUP(C354,'Reference Tables'!$E$4:$E$12,'Reference Tables'!$G$4:$G$12,1),1)</x:f>
        <x:v>2.8</x:v>
      </x:c>
      <x:c r="T354" s="106" t="str">
        <x:f>IF(R354&gt;='Inputs &amp; Guide'!$B$9,"HIGH",IF(R354&gt;=0.45,"WATCH","NORMAL"))</x:f>
        <x:v>HIGH</x:v>
      </x:c>
    </x:row>
    <x:row r="355">
      <x:c r="A355" s="95" t="n">
        <x:v>2809</x:v>
      </x:c>
      <x:c r="B355" s="96" t="n">
        <x:v>45409</x:v>
      </x:c>
      <x:c r="C355" s="97" t="str">
        <x:v>Earthquake</x:v>
      </x:c>
      <x:c r="D355" s="97" t="str">
        <x:v>Indonesia</x:v>
      </x:c>
      <x:c r="E355" s="98" t="n">
        <x:v>7.175439090017992</x:v>
      </x:c>
      <x:c r="F355" s="99" t="n">
        <x:v>788.5405271418523</x:v>
      </x:c>
      <x:c r="G355" s="100" t="str">
        <x:f>XLOOKUP(D355,'Reference Tables'!$A$4:$A$23,'Reference Tables'!$B$4:$B$23,"Other")</x:f>
        <x:v>Asia Pacific</x:v>
      </x:c>
      <x:c r="H355" s="100" t="str">
        <x:f>VLOOKUP(G355,'Reference Tables'!$I$4:$J$9,2,FALSE)</x:f>
        <x:v>High</x:v>
      </x:c>
      <x:c r="I355" s="101" t="n">
        <x:f>F355*'Inputs &amp; Guide'!$B$4*XLOOKUP(D355,'Reference Tables'!$A$4:$A$23,'Reference Tables'!$C$4:$C$23,0.75)</x:f>
        <x:v>129.95147887297725</x:v>
      </x:c>
      <x:c r="J355" s="102" t="n">
        <x:f>XLOOKUP(C355,'Reference Tables'!$E$4:$E$12,'Reference Tables'!$F$4:$F$12,0.05)</x:f>
        <x:v>0.14</x:v>
      </x:c>
      <x:c r="K355" s="103" t="n">
        <x:f>MIN(I355,F355*J355)</x:f>
        <x:v>110.39567379985934</x:v>
      </x:c>
      <x:c r="L355" s="103" t="n">
        <x:f>'Inputs &amp; Guide'!$B$5</x:f>
        <x:v>15</x:v>
      </x:c>
      <x:c r="M355" s="103" t="n">
        <x:f>I355*'Inputs &amp; Guide'!$B$6</x:f>
        <x:v>71.4733133801375</x:v>
      </x:c>
      <x:c r="N355" s="103" t="n">
        <x:f>MAX(0,MIN(K355-L355,M355))</x:f>
        <x:v>71.4733133801375</x:v>
      </x:c>
      <x:c r="O355" s="103" t="n">
        <x:f>MAX(0,N355-'Inputs &amp; Guide'!$B$7)</x:f>
        <x:v>11.473313380137498</x:v>
      </x:c>
      <x:c r="P355" s="103" t="n">
        <x:f>N355-O355</x:f>
        <x:v>60</x:v>
      </x:c>
      <x:c r="Q355" s="103" t="n">
        <x:f>I355*'Inputs &amp; Guide'!$B$8</x:f>
        <x:v>2.3391266197135905</x:v>
      </x:c>
      <x:c r="R355" s="104" t="n">
        <x:f>IFERROR(P355/Q355,0)</x:f>
        <x:v>25.650599456367427</x:v>
      </x:c>
      <x:c r="S355" s="105" t="n">
        <x:f>ROUND(E355*XLOOKUP(C355,'Reference Tables'!$E$4:$E$12,'Reference Tables'!$G$4:$G$12,1),1)</x:f>
        <x:v>10.8</x:v>
      </x:c>
      <x:c r="T355" s="106" t="str">
        <x:f>IF(R355&gt;='Inputs &amp; Guide'!$B$9,"HIGH",IF(R355&gt;=0.45,"WATCH","NORMAL"))</x:f>
        <x:v>HIGH</x:v>
      </x:c>
    </x:row>
    <x:row r="356">
      <x:c r="A356" s="95" t="n">
        <x:v>2817</x:v>
      </x:c>
      <x:c r="B356" s="96" t="n">
        <x:v>45409.104166666664</x:v>
      </x:c>
      <x:c r="C356" s="97" t="str">
        <x:v>Earthquake</x:v>
      </x:c>
      <x:c r="D356" s="97" t="str">
        <x:v>USA</x:v>
      </x:c>
      <x:c r="E356" s="98" t="n">
        <x:v>8.781339503655374</x:v>
      </x:c>
      <x:c r="F356" s="99" t="n">
        <x:v>970.9958896231017</x:v>
      </x:c>
      <x:c r="G356" s="100" t="str">
        <x:f>XLOOKUP(D356,'Reference Tables'!$A$4:$A$23,'Reference Tables'!$B$4:$B$23,"Other")</x:f>
        <x:v>Other</x:v>
      </x:c>
      <x:c r="H356" s="100" t="str">
        <x:f>VLOOKUP(G356,'Reference Tables'!$I$4:$J$9,2,FALSE)</x:f>
        <x:v>Moderate</x:v>
      </x:c>
      <x:c r="I356" s="101" t="n">
        <x:f>F356*'Inputs &amp; Guide'!$B$4*XLOOKUP(D356,'Reference Tables'!$A$4:$A$23,'Reference Tables'!$C$4:$C$23,0.75)</x:f>
        <x:v>116.51950675477221</x:v>
      </x:c>
      <x:c r="J356" s="102" t="n">
        <x:f>XLOOKUP(C356,'Reference Tables'!$E$4:$E$12,'Reference Tables'!$F$4:$F$12,0.05)</x:f>
        <x:v>0.14</x:v>
      </x:c>
      <x:c r="K356" s="103" t="n">
        <x:f>MIN(I356,F356*J356)</x:f>
        <x:v>116.51950675477221</x:v>
      </x:c>
      <x:c r="L356" s="103" t="n">
        <x:f>'Inputs &amp; Guide'!$B$5</x:f>
        <x:v>15</x:v>
      </x:c>
      <x:c r="M356" s="103" t="n">
        <x:f>I356*'Inputs &amp; Guide'!$B$6</x:f>
        <x:v>64.08572871512472</x:v>
      </x:c>
      <x:c r="N356" s="103" t="n">
        <x:f>MAX(0,MIN(K356-L356,M356))</x:f>
        <x:v>64.08572871512472</x:v>
      </x:c>
      <x:c r="O356" s="103" t="n">
        <x:f>MAX(0,N356-'Inputs &amp; Guide'!$B$7)</x:f>
        <x:v>4.085728715124716</x:v>
      </x:c>
      <x:c r="P356" s="103" t="n">
        <x:f>N356-O356</x:f>
        <x:v>60</x:v>
      </x:c>
      <x:c r="Q356" s="103" t="n">
        <x:f>I356*'Inputs &amp; Guide'!$B$8</x:f>
        <x:v>2.0973511215858998</x:v>
      </x:c>
      <x:c r="R356" s="104" t="n">
        <x:f>IFERROR(P356/Q356,0)</x:f>
        <x:v>28.60751324968008</x:v>
      </x:c>
      <x:c r="S356" s="105" t="n">
        <x:f>ROUND(E356*XLOOKUP(C356,'Reference Tables'!$E$4:$E$12,'Reference Tables'!$G$4:$G$12,1),1)</x:f>
        <x:v>13.2</x:v>
      </x:c>
      <x:c r="T356" s="106" t="str">
        <x:f>IF(R356&gt;='Inputs &amp; Guide'!$B$9,"HIGH",IF(R356&gt;=0.45,"WATCH","NORMAL"))</x:f>
        <x:v>HIGH</x:v>
      </x:c>
    </x:row>
    <x:row r="357">
      <x:c r="A357" s="95" t="n">
        <x:v>2825</x:v>
      </x:c>
      <x:c r="B357" s="96" t="n">
        <x:v>45409.4375</x:v>
      </x:c>
      <x:c r="C357" s="97" t="str">
        <x:v>Flood</x:v>
      </x:c>
      <x:c r="D357" s="97" t="str">
        <x:v>China</x:v>
      </x:c>
      <x:c r="E357" s="98" t="n">
        <x:v>9.258878135713037</x:v>
      </x:c>
      <x:c r="F357" s="99" t="n">
        <x:v>713.0766705340275</x:v>
      </x:c>
      <x:c r="G357" s="100" t="str">
        <x:f>XLOOKUP(D357,'Reference Tables'!$A$4:$A$23,'Reference Tables'!$B$4:$B$23,"Other")</x:f>
        <x:v>Asia Pacific</x:v>
      </x:c>
      <x:c r="H357" s="100" t="str">
        <x:f>VLOOKUP(G357,'Reference Tables'!$I$4:$J$9,2,FALSE)</x:f>
        <x:v>High</x:v>
      </x:c>
      <x:c r="I357" s="101" t="n">
        <x:f>F357*'Inputs &amp; Guide'!$B$4*XLOOKUP(D357,'Reference Tables'!$A$4:$A$23,'Reference Tables'!$C$4:$C$23,0.75)</x:f>
        <x:v>123.21964866827996</x:v>
      </x:c>
      <x:c r="J357" s="102" t="n">
        <x:f>XLOOKUP(C357,'Reference Tables'!$E$4:$E$12,'Reference Tables'!$F$4:$F$12,0.05)</x:f>
        <x:v>0.12</x:v>
      </x:c>
      <x:c r="K357" s="103" t="n">
        <x:f>MIN(I357,F357*J357)</x:f>
        <x:v>85.5692004640833</x:v>
      </x:c>
      <x:c r="L357" s="103" t="n">
        <x:f>'Inputs &amp; Guide'!$B$5</x:f>
        <x:v>15</x:v>
      </x:c>
      <x:c r="M357" s="103" t="n">
        <x:f>I357*'Inputs &amp; Guide'!$B$6</x:f>
        <x:v>67.77080676755398</x:v>
      </x:c>
      <x:c r="N357" s="103" t="n">
        <x:f>MAX(0,MIN(K357-L357,M357))</x:f>
        <x:v>67.77080676755398</x:v>
      </x:c>
      <x:c r="O357" s="103" t="n">
        <x:f>MAX(0,N357-'Inputs &amp; Guide'!$B$7)</x:f>
        <x:v>7.770806767553978</x:v>
      </x:c>
      <x:c r="P357" s="103" t="n">
        <x:f>N357-O357</x:f>
        <x:v>60</x:v>
      </x:c>
      <x:c r="Q357" s="103" t="n">
        <x:f>I357*'Inputs &amp; Guide'!$B$8</x:f>
        <x:v>2.217953676029039</x:v>
      </x:c>
      <x:c r="R357" s="104" t="n">
        <x:f>IFERROR(P357/Q357,0)</x:f>
        <x:v>27.051962648481588</x:v>
      </x:c>
      <x:c r="S357" s="105" t="n">
        <x:f>ROUND(E357*XLOOKUP(C357,'Reference Tables'!$E$4:$E$12,'Reference Tables'!$G$4:$G$12,1),1)</x:f>
        <x:v>11.6</x:v>
      </x:c>
      <x:c r="T357" s="106" t="str">
        <x:f>IF(R357&gt;='Inputs &amp; Guide'!$B$9,"HIGH",IF(R357&gt;=0.45,"WATCH","NORMAL"))</x:f>
        <x:v>HIGH</x:v>
      </x:c>
    </x:row>
    <x:row r="358">
      <x:c r="A358" s="95" t="n">
        <x:v>2833</x:v>
      </x:c>
      <x:c r="B358" s="96" t="n">
        <x:v>45410</x:v>
      </x:c>
      <x:c r="C358" s="97" t="str">
        <x:v>Earthquake</x:v>
      </x:c>
      <x:c r="D358" s="97" t="str">
        <x:v>Japan</x:v>
      </x:c>
      <x:c r="E358" s="98" t="n">
        <x:v>1.4561755861274874</x:v>
      </x:c>
      <x:c r="F358" s="99" t="n">
        <x:v>105.32021885756366</x:v>
      </x:c>
      <x:c r="G358" s="100" t="str">
        <x:f>XLOOKUP(D358,'Reference Tables'!$A$4:$A$23,'Reference Tables'!$B$4:$B$23,"Other")</x:f>
        <x:v>Asia Pacific</x:v>
      </x:c>
      <x:c r="H358" s="100" t="str">
        <x:f>VLOOKUP(G358,'Reference Tables'!$I$4:$J$9,2,FALSE)</x:f>
        <x:v>High</x:v>
      </x:c>
      <x:c r="I358" s="101" t="n">
        <x:f>F358*'Inputs &amp; Guide'!$B$4*XLOOKUP(D358,'Reference Tables'!$A$4:$A$23,'Reference Tables'!$C$4:$C$23,0.75)</x:f>
        <x:v>19.88445732030802</x:v>
      </x:c>
      <x:c r="J358" s="102" t="n">
        <x:f>XLOOKUP(C358,'Reference Tables'!$E$4:$E$12,'Reference Tables'!$F$4:$F$12,0.05)</x:f>
        <x:v>0.14</x:v>
      </x:c>
      <x:c r="K358" s="103" t="n">
        <x:f>MIN(I358,F358*J358)</x:f>
        <x:v>14.744830640058915</x:v>
      </x:c>
      <x:c r="L358" s="103" t="n">
        <x:f>'Inputs &amp; Guide'!$B$5</x:f>
        <x:v>15</x:v>
      </x:c>
      <x:c r="M358" s="103" t="n">
        <x:f>I358*'Inputs &amp; Guide'!$B$6</x:f>
        <x:v>10.936451526169412</x:v>
      </x:c>
      <x:c r="N358" s="103" t="n">
        <x:f>MAX(0,MIN(K358-L358,M358))</x:f>
        <x:v>0</x:v>
      </x:c>
      <x:c r="O358" s="103" t="n">
        <x:f>MAX(0,N358-'Inputs &amp; Guide'!$B$7)</x:f>
        <x:v>0</x:v>
      </x:c>
      <x:c r="P358" s="103" t="n">
        <x:f>N358-O358</x:f>
        <x:v>0</x:v>
      </x:c>
      <x:c r="Q358" s="103" t="n">
        <x:f>I358*'Inputs &amp; Guide'!$B$8</x:f>
        <x:v>0.3579202317655443</x:v>
      </x:c>
      <x:c r="R358" s="104" t="n">
        <x:f>IFERROR(P358/Q358,0)</x:f>
        <x:v>0</x:v>
      </x:c>
      <x:c r="S358" s="105" t="n">
        <x:f>ROUND(E358*XLOOKUP(C358,'Reference Tables'!$E$4:$E$12,'Reference Tables'!$G$4:$G$12,1),1)</x:f>
        <x:v>2.2</x:v>
      </x:c>
      <x:c r="T358" s="106" t="str">
        <x:f>IF(R358&gt;='Inputs &amp; Guide'!$B$9,"HIGH",IF(R358&gt;=0.45,"WATCH","NORMAL"))</x:f>
        <x:v>NORMAL</x:v>
      </x:c>
    </x:row>
    <x:row r="359">
      <x:c r="A359" s="95" t="n">
        <x:v>2841</x:v>
      </x:c>
      <x:c r="B359" s="96" t="n">
        <x:v>45410.104166666664</x:v>
      </x:c>
      <x:c r="C359" s="97" t="str">
        <x:v>Tornado</x:v>
      </x:c>
      <x:c r="D359" s="97" t="str">
        <x:v>Brazil</x:v>
      </x:c>
      <x:c r="E359" s="98" t="n">
        <x:v>5.220905936787969</x:v>
      </x:c>
      <x:c r="F359" s="99" t="n">
        <x:v>257.019554519175</x:v>
      </x:c>
      <x:c r="G359" s="100" t="str">
        <x:f>XLOOKUP(D359,'Reference Tables'!$A$4:$A$23,'Reference Tables'!$B$4:$B$23,"Other")</x:f>
        <x:v>Latin America</x:v>
      </x:c>
      <x:c r="H359" s="100" t="str">
        <x:f>VLOOKUP(G359,'Reference Tables'!$I$4:$J$9,2,FALSE)</x:f>
        <x:v>Moderate</x:v>
      </x:c>
      <x:c r="I359" s="101" t="n">
        <x:f>F359*'Inputs &amp; Guide'!$B$4*XLOOKUP(D359,'Reference Tables'!$A$4:$A$23,'Reference Tables'!$C$4:$C$23,0.75)</x:f>
        <x:v>33.720965552915764</x:v>
      </x:c>
      <x:c r="J359" s="102" t="n">
        <x:f>XLOOKUP(C359,'Reference Tables'!$E$4:$E$12,'Reference Tables'!$F$4:$F$12,0.05)</x:f>
        <x:v>0.09</x:v>
      </x:c>
      <x:c r="K359" s="103" t="n">
        <x:f>MIN(I359,F359*J359)</x:f>
        <x:v>23.13175990672575</x:v>
      </x:c>
      <x:c r="L359" s="103" t="n">
        <x:f>'Inputs &amp; Guide'!$B$5</x:f>
        <x:v>15</x:v>
      </x:c>
      <x:c r="M359" s="103" t="n">
        <x:f>I359*'Inputs &amp; Guide'!$B$6</x:f>
        <x:v>18.54653105410367</x:v>
      </x:c>
      <x:c r="N359" s="103" t="n">
        <x:f>MAX(0,MIN(K359-L359,M359))</x:f>
        <x:v>8.131759906725751</x:v>
      </x:c>
      <x:c r="O359" s="103" t="n">
        <x:f>MAX(0,N359-'Inputs &amp; Guide'!$B$7)</x:f>
        <x:v>0</x:v>
      </x:c>
      <x:c r="P359" s="103" t="n">
        <x:f>N359-O359</x:f>
        <x:v>8.131759906725751</x:v>
      </x:c>
      <x:c r="Q359" s="103" t="n">
        <x:f>I359*'Inputs &amp; Guide'!$B$8</x:f>
        <x:v>0.6069773799524837</x:v>
      </x:c>
      <x:c r="R359" s="104" t="n">
        <x:f>IFERROR(P359/Q359,0)</x:f>
        <x:v>13.397138304169316</x:v>
      </x:c>
      <x:c r="S359" s="105" t="n">
        <x:f>ROUND(E359*XLOOKUP(C359,'Reference Tables'!$E$4:$E$12,'Reference Tables'!$G$4:$G$12,1),1)</x:f>
        <x:v>5.5</x:v>
      </x:c>
      <x:c r="T359" s="106" t="str">
        <x:f>IF(R359&gt;='Inputs &amp; Guide'!$B$9,"HIGH",IF(R359&gt;=0.45,"WATCH","NORMAL"))</x:f>
        <x:v>HIGH</x:v>
      </x:c>
    </x:row>
    <x:row r="360">
      <x:c r="A360" s="95" t="n">
        <x:v>2849</x:v>
      </x:c>
      <x:c r="B360" s="96" t="n">
        <x:v>45410.4375</x:v>
      </x:c>
      <x:c r="C360" s="97" t="str">
        <x:v>Earthquake</x:v>
      </x:c>
      <x:c r="D360" s="97" t="str">
        <x:v>Japan</x:v>
      </x:c>
      <x:c r="E360" s="98" t="n">
        <x:v>8.55108468402017</x:v>
      </x:c>
      <x:c r="F360" s="99" t="n">
        <x:v>689.0080899322007</x:v>
      </x:c>
      <x:c r="G360" s="100" t="str">
        <x:f>XLOOKUP(D360,'Reference Tables'!$A$4:$A$23,'Reference Tables'!$B$4:$B$23,"Other")</x:f>
        <x:v>Asia Pacific</x:v>
      </x:c>
      <x:c r="H360" s="100" t="str">
        <x:f>VLOOKUP(G360,'Reference Tables'!$I$4:$J$9,2,FALSE)</x:f>
        <x:v>High</x:v>
      </x:c>
      <x:c r="I360" s="101" t="n">
        <x:f>F360*'Inputs &amp; Guide'!$B$4*XLOOKUP(D360,'Reference Tables'!$A$4:$A$23,'Reference Tables'!$C$4:$C$23,0.75)</x:f>
        <x:v>130.08472737919948</x:v>
      </x:c>
      <x:c r="J360" s="102" t="n">
        <x:f>XLOOKUP(C360,'Reference Tables'!$E$4:$E$12,'Reference Tables'!$F$4:$F$12,0.05)</x:f>
        <x:v>0.14</x:v>
      </x:c>
      <x:c r="K360" s="103" t="n">
        <x:f>MIN(I360,F360*J360)</x:f>
        <x:v>96.46113259050811</x:v>
      </x:c>
      <x:c r="L360" s="103" t="n">
        <x:f>'Inputs &amp; Guide'!$B$5</x:f>
        <x:v>15</x:v>
      </x:c>
      <x:c r="M360" s="103" t="n">
        <x:f>I360*'Inputs &amp; Guide'!$B$6</x:f>
        <x:v>71.54660005855972</x:v>
      </x:c>
      <x:c r="N360" s="103" t="n">
        <x:f>MAX(0,MIN(K360-L360,M360))</x:f>
        <x:v>71.54660005855972</x:v>
      </x:c>
      <x:c r="O360" s="103" t="n">
        <x:f>MAX(0,N360-'Inputs &amp; Guide'!$B$7)</x:f>
        <x:v>11.546600058559719</x:v>
      </x:c>
      <x:c r="P360" s="103" t="n">
        <x:f>N360-O360</x:f>
        <x:v>60</x:v>
      </x:c>
      <x:c r="Q360" s="103" t="n">
        <x:f>I360*'Inputs &amp; Guide'!$B$8</x:f>
        <x:v>2.3415250928255906</x:v>
      </x:c>
      <x:c r="R360" s="104" t="n">
        <x:f>IFERROR(P360/Q360,0)</x:f>
        <x:v>25.62432501101073</x:v>
      </x:c>
      <x:c r="S360" s="105" t="n">
        <x:f>ROUND(E360*XLOOKUP(C360,'Reference Tables'!$E$4:$E$12,'Reference Tables'!$G$4:$G$12,1),1)</x:f>
        <x:v>12.8</x:v>
      </x:c>
      <x:c r="T360" s="106" t="str">
        <x:f>IF(R360&gt;='Inputs &amp; Guide'!$B$9,"HIGH",IF(R360&gt;=0.45,"WATCH","NORMAL"))</x:f>
        <x:v>HIGH</x:v>
      </x:c>
    </x:row>
    <x:row r="361">
      <x:c r="A361" s="95" t="n">
        <x:v>2857</x:v>
      </x:c>
      <x:c r="B361" s="96" t="n">
        <x:v>45411</x:v>
      </x:c>
      <x:c r="C361" s="97" t="str">
        <x:v>Hurricane</x:v>
      </x:c>
      <x:c r="D361" s="97" t="str">
        <x:v>Indonesia</x:v>
      </x:c>
      <x:c r="E361" s="98" t="n">
        <x:v>9.215512664879999</x:v>
      </x:c>
      <x:c r="F361" s="99" t="n">
        <x:v>840.4935510958966</x:v>
      </x:c>
      <x:c r="G361" s="100" t="str">
        <x:f>XLOOKUP(D361,'Reference Tables'!$A$4:$A$23,'Reference Tables'!$B$4:$B$23,"Other")</x:f>
        <x:v>Asia Pacific</x:v>
      </x:c>
      <x:c r="H361" s="100" t="str">
        <x:f>VLOOKUP(G361,'Reference Tables'!$I$4:$J$9,2,FALSE)</x:f>
        <x:v>High</x:v>
      </x:c>
      <x:c r="I361" s="101" t="n">
        <x:f>F361*'Inputs &amp; Guide'!$B$4*XLOOKUP(D361,'Reference Tables'!$A$4:$A$23,'Reference Tables'!$C$4:$C$23,0.75)</x:f>
        <x:v>138.51333722060377</x:v>
      </x:c>
      <x:c r="J361" s="102" t="n">
        <x:f>XLOOKUP(C361,'Reference Tables'!$E$4:$E$12,'Reference Tables'!$F$4:$F$12,0.05)</x:f>
        <x:v>0.18</x:v>
      </x:c>
      <x:c r="K361" s="103" t="n">
        <x:f>MIN(I361,F361*J361)</x:f>
        <x:v>138.51333722060377</x:v>
      </x:c>
      <x:c r="L361" s="103" t="n">
        <x:f>'Inputs &amp; Guide'!$B$5</x:f>
        <x:v>15</x:v>
      </x:c>
      <x:c r="M361" s="103" t="n">
        <x:f>I361*'Inputs &amp; Guide'!$B$6</x:f>
        <x:v>76.18233547133208</x:v>
      </x:c>
      <x:c r="N361" s="103" t="n">
        <x:f>MAX(0,MIN(K361-L361,M361))</x:f>
        <x:v>76.18233547133208</x:v>
      </x:c>
      <x:c r="O361" s="103" t="n">
        <x:f>MAX(0,N361-'Inputs &amp; Guide'!$B$7)</x:f>
        <x:v>16.18233547133208</x:v>
      </x:c>
      <x:c r="P361" s="103" t="n">
        <x:f>N361-O361</x:f>
        <x:v>60</x:v>
      </x:c>
      <x:c r="Q361" s="103" t="n">
        <x:f>I361*'Inputs &amp; Guide'!$B$8</x:f>
        <x:v>2.493240069970868</x:v>
      </x:c>
      <x:c r="R361" s="104" t="n">
        <x:f>IFERROR(P361/Q361,0)</x:f>
        <x:v>24.06507127919738</x:v>
      </x:c>
      <x:c r="S361" s="105" t="n">
        <x:f>ROUND(E361*XLOOKUP(C361,'Reference Tables'!$E$4:$E$12,'Reference Tables'!$G$4:$G$12,1),1)</x:f>
        <x:v>12.9</x:v>
      </x:c>
      <x:c r="T361" s="106" t="str">
        <x:f>IF(R361&gt;='Inputs &amp; Guide'!$B$9,"HIGH",IF(R361&gt;=0.45,"WATCH","NORMAL"))</x:f>
        <x:v>HIGH</x:v>
      </x:c>
    </x:row>
    <x:row r="362">
      <x:c r="A362" s="95" t="n">
        <x:v>2865</x:v>
      </x:c>
      <x:c r="B362" s="96" t="n">
        <x:v>45411.104166666664</x:v>
      </x:c>
      <x:c r="C362" s="97" t="str">
        <x:v>Tornado</x:v>
      </x:c>
      <x:c r="D362" s="97" t="str">
        <x:v>Brazil</x:v>
      </x:c>
      <x:c r="E362" s="98" t="n">
        <x:v>2.062268327721543</x:v>
      </x:c>
      <x:c r="F362" s="99" t="n">
        <x:v>889.4372308438202</x:v>
      </x:c>
      <x:c r="G362" s="100" t="str">
        <x:f>XLOOKUP(D362,'Reference Tables'!$A$4:$A$23,'Reference Tables'!$B$4:$B$23,"Other")</x:f>
        <x:v>Latin America</x:v>
      </x:c>
      <x:c r="H362" s="100" t="str">
        <x:f>VLOOKUP(G362,'Reference Tables'!$I$4:$J$9,2,FALSE)</x:f>
        <x:v>Moderate</x:v>
      </x:c>
      <x:c r="I362" s="101" t="n">
        <x:f>F362*'Inputs &amp; Guide'!$B$4*XLOOKUP(D362,'Reference Tables'!$A$4:$A$23,'Reference Tables'!$C$4:$C$23,0.75)</x:f>
        <x:v>116.6941646867092</x:v>
      </x:c>
      <x:c r="J362" s="102" t="n">
        <x:f>XLOOKUP(C362,'Reference Tables'!$E$4:$E$12,'Reference Tables'!$F$4:$F$12,0.05)</x:f>
        <x:v>0.09</x:v>
      </x:c>
      <x:c r="K362" s="103" t="n">
        <x:f>MIN(I362,F362*J362)</x:f>
        <x:v>80.04935077594382</x:v>
      </x:c>
      <x:c r="L362" s="103" t="n">
        <x:f>'Inputs &amp; Guide'!$B$5</x:f>
        <x:v>15</x:v>
      </x:c>
      <x:c r="M362" s="103" t="n">
        <x:f>I362*'Inputs &amp; Guide'!$B$6</x:f>
        <x:v>64.18179057769007</x:v>
      </x:c>
      <x:c r="N362" s="103" t="n">
        <x:f>MAX(0,MIN(K362-L362,M362))</x:f>
        <x:v>64.18179057769007</x:v>
      </x:c>
      <x:c r="O362" s="103" t="n">
        <x:f>MAX(0,N362-'Inputs &amp; Guide'!$B$7)</x:f>
        <x:v>4.181790577690066</x:v>
      </x:c>
      <x:c r="P362" s="103" t="n">
        <x:f>N362-O362</x:f>
        <x:v>60</x:v>
      </x:c>
      <x:c r="Q362" s="103" t="n">
        <x:f>I362*'Inputs &amp; Guide'!$B$8</x:f>
        <x:v>2.1004949643607653</x:v>
      </x:c>
      <x:c r="R362" s="104" t="n">
        <x:f>IFERROR(P362/Q362,0)</x:f>
        <x:v>28.564695949299523</x:v>
      </x:c>
      <x:c r="S362" s="105" t="n">
        <x:f>ROUND(E362*XLOOKUP(C362,'Reference Tables'!$E$4:$E$12,'Reference Tables'!$G$4:$G$12,1),1)</x:f>
        <x:v>2.2</x:v>
      </x:c>
      <x:c r="T362" s="106" t="str">
        <x:f>IF(R362&gt;='Inputs &amp; Guide'!$B$9,"HIGH",IF(R362&gt;=0.45,"WATCH","NORMAL"))</x:f>
        <x:v>HIGH</x:v>
      </x:c>
    </x:row>
    <x:row r="363">
      <x:c r="A363" s="95" t="n">
        <x:v>2873</x:v>
      </x:c>
      <x:c r="B363" s="96" t="n">
        <x:v>45411.4375</x:v>
      </x:c>
      <x:c r="C363" s="97" t="str">
        <x:v>Tornado</x:v>
      </x:c>
      <x:c r="D363" s="97" t="str">
        <x:v>Japan</x:v>
      </x:c>
      <x:c r="E363" s="98" t="n">
        <x:v>3.473475157130582</x:v>
      </x:c>
      <x:c r="F363" s="99" t="n">
        <x:v>273.4001248664194</x:v>
      </x:c>
      <x:c r="G363" s="100" t="str">
        <x:f>XLOOKUP(D363,'Reference Tables'!$A$4:$A$23,'Reference Tables'!$B$4:$B$23,"Other")</x:f>
        <x:v>Asia Pacific</x:v>
      </x:c>
      <x:c r="H363" s="100" t="str">
        <x:f>VLOOKUP(G363,'Reference Tables'!$I$4:$J$9,2,FALSE)</x:f>
        <x:v>High</x:v>
      </x:c>
      <x:c r="I363" s="101" t="n">
        <x:f>F363*'Inputs &amp; Guide'!$B$4*XLOOKUP(D363,'Reference Tables'!$A$4:$A$23,'Reference Tables'!$C$4:$C$23,0.75)</x:f>
        <x:v>51.61794357477998</x:v>
      </x:c>
      <x:c r="J363" s="102" t="n">
        <x:f>XLOOKUP(C363,'Reference Tables'!$E$4:$E$12,'Reference Tables'!$F$4:$F$12,0.05)</x:f>
        <x:v>0.09</x:v>
      </x:c>
      <x:c r="K363" s="103" t="n">
        <x:f>MIN(I363,F363*J363)</x:f>
        <x:v>24.606011237977743</x:v>
      </x:c>
      <x:c r="L363" s="103" t="n">
        <x:f>'Inputs &amp; Guide'!$B$5</x:f>
        <x:v>15</x:v>
      </x:c>
      <x:c r="M363" s="103" t="n">
        <x:f>I363*'Inputs &amp; Guide'!$B$6</x:f>
        <x:v>28.38986896612899</x:v>
      </x:c>
      <x:c r="N363" s="103" t="n">
        <x:f>MAX(0,MIN(K363-L363,M363))</x:f>
        <x:v>9.606011237977743</x:v>
      </x:c>
      <x:c r="O363" s="103" t="n">
        <x:f>MAX(0,N363-'Inputs &amp; Guide'!$B$7)</x:f>
        <x:v>0</x:v>
      </x:c>
      <x:c r="P363" s="103" t="n">
        <x:f>N363-O363</x:f>
        <x:v>9.606011237977743</x:v>
      </x:c>
      <x:c r="Q363" s="103" t="n">
        <x:f>I363*'Inputs &amp; Guide'!$B$8</x:f>
        <x:v>0.9291229843460396</x:v>
      </x:c>
      <x:c r="R363" s="104" t="n">
        <x:f>IFERROR(P363/Q363,0)</x:f>
        <x:v>10.338794109951875</x:v>
      </x:c>
      <x:c r="S363" s="105" t="n">
        <x:f>ROUND(E363*XLOOKUP(C363,'Reference Tables'!$E$4:$E$12,'Reference Tables'!$G$4:$G$12,1),1)</x:f>
        <x:v>3.6</x:v>
      </x:c>
      <x:c r="T363" s="106" t="str">
        <x:f>IF(R363&gt;='Inputs &amp; Guide'!$B$9,"HIGH",IF(R363&gt;=0.45,"WATCH","NORMAL"))</x:f>
        <x:v>HIGH</x:v>
      </x:c>
    </x:row>
    <x:row r="364">
      <x:c r="A364" s="95" t="n">
        <x:v>2881</x:v>
      </x:c>
      <x:c r="B364" s="96" t="n">
        <x:v>45412</x:v>
      </x:c>
      <x:c r="C364" s="97" t="str">
        <x:v>Wildfire</x:v>
      </x:c>
      <x:c r="D364" s="97" t="str">
        <x:v>Indonesia</x:v>
      </x:c>
      <x:c r="E364" s="98" t="n">
        <x:v>7.187053798704076</x:v>
      </x:c>
      <x:c r="F364" s="99" t="n">
        <x:v>599.9140392211877</x:v>
      </x:c>
      <x:c r="G364" s="100" t="str">
        <x:f>XLOOKUP(D364,'Reference Tables'!$A$4:$A$23,'Reference Tables'!$B$4:$B$23,"Other")</x:f>
        <x:v>Asia Pacific</x:v>
      </x:c>
      <x:c r="H364" s="100" t="str">
        <x:f>VLOOKUP(G364,'Reference Tables'!$I$4:$J$9,2,FALSE)</x:f>
        <x:v>High</x:v>
      </x:c>
      <x:c r="I364" s="101" t="n">
        <x:f>F364*'Inputs &amp; Guide'!$B$4*XLOOKUP(D364,'Reference Tables'!$A$4:$A$23,'Reference Tables'!$C$4:$C$23,0.75)</x:f>
        <x:v>98.86583366365174</x:v>
      </x:c>
      <x:c r="J364" s="102" t="n">
        <x:f>XLOOKUP(C364,'Reference Tables'!$E$4:$E$12,'Reference Tables'!$F$4:$F$12,0.05)</x:f>
        <x:v>0.1</x:v>
      </x:c>
      <x:c r="K364" s="103" t="n">
        <x:f>MIN(I364,F364*J364)</x:f>
        <x:v>59.99140392211878</x:v>
      </x:c>
      <x:c r="L364" s="103" t="n">
        <x:f>'Inputs &amp; Guide'!$B$5</x:f>
        <x:v>15</x:v>
      </x:c>
      <x:c r="M364" s="103" t="n">
        <x:f>I364*'Inputs &amp; Guide'!$B$6</x:f>
        <x:v>54.376208515008464</x:v>
      </x:c>
      <x:c r="N364" s="103" t="n">
        <x:f>MAX(0,MIN(K364-L364,M364))</x:f>
        <x:v>44.99140392211878</x:v>
      </x:c>
      <x:c r="O364" s="103" t="n">
        <x:f>MAX(0,N364-'Inputs &amp; Guide'!$B$7)</x:f>
        <x:v>0</x:v>
      </x:c>
      <x:c r="P364" s="103" t="n">
        <x:f>N364-O364</x:f>
        <x:v>44.99140392211878</x:v>
      </x:c>
      <x:c r="Q364" s="103" t="n">
        <x:f>I364*'Inputs &amp; Guide'!$B$8</x:f>
        <x:v>1.7795850059457312</x:v>
      </x:c>
      <x:c r="R364" s="104" t="n">
        <x:f>IFERROR(P364/Q364,0)</x:f>
        <x:v>25.28196392518425</x:v>
      </x:c>
      <x:c r="S364" s="105" t="n">
        <x:f>ROUND(E364*XLOOKUP(C364,'Reference Tables'!$E$4:$E$12,'Reference Tables'!$G$4:$G$12,1),1)</x:f>
        <x:v>8.3</x:v>
      </x:c>
      <x:c r="T364" s="106" t="str">
        <x:f>IF(R364&gt;='Inputs &amp; Guide'!$B$9,"HIGH",IF(R364&gt;=0.45,"WATCH","NORMAL"))</x:f>
        <x:v>HIGH</x:v>
      </x:c>
    </x:row>
    <x:row r="365">
      <x:c r="A365" s="95" t="n">
        <x:v>2889</x:v>
      </x:c>
      <x:c r="B365" s="96" t="n">
        <x:v>45412.104166666664</x:v>
      </x:c>
      <x:c r="C365" s="97" t="str">
        <x:v>Hurricane</x:v>
      </x:c>
      <x:c r="D365" s="97" t="str">
        <x:v>India</x:v>
      </x:c>
      <x:c r="E365" s="98" t="n">
        <x:v>5.173611446100112</x:v>
      </x:c>
      <x:c r="F365" s="99" t="n">
        <x:v>95.98026456500256</x:v>
      </x:c>
      <x:c r="G365" s="100" t="str">
        <x:f>XLOOKUP(D365,'Reference Tables'!$A$4:$A$23,'Reference Tables'!$B$4:$B$23,"Other")</x:f>
        <x:v>Asia Pacific</x:v>
      </x:c>
      <x:c r="H365" s="100" t="str">
        <x:f>VLOOKUP(G365,'Reference Tables'!$I$4:$J$9,2,FALSE)</x:f>
        <x:v>High</x:v>
      </x:c>
      <x:c r="I365" s="101" t="n">
        <x:f>F365*'Inputs &amp; Guide'!$B$4*XLOOKUP(D365,'Reference Tables'!$A$4:$A$23,'Reference Tables'!$C$4:$C$23,0.75)</x:f>
        <x:v>13.974726520664372</x:v>
      </x:c>
      <x:c r="J365" s="102" t="n">
        <x:f>XLOOKUP(C365,'Reference Tables'!$E$4:$E$12,'Reference Tables'!$F$4:$F$12,0.05)</x:f>
        <x:v>0.18</x:v>
      </x:c>
      <x:c r="K365" s="103" t="n">
        <x:f>MIN(I365,F365*J365)</x:f>
        <x:v>13.974726520664372</x:v>
      </x:c>
      <x:c r="L365" s="103" t="n">
        <x:f>'Inputs &amp; Guide'!$B$5</x:f>
        <x:v>15</x:v>
      </x:c>
      <x:c r="M365" s="103" t="n">
        <x:f>I365*'Inputs &amp; Guide'!$B$6</x:f>
        <x:v>7.686099586365406</x:v>
      </x:c>
      <x:c r="N365" s="103" t="n">
        <x:f>MAX(0,MIN(K365-L365,M365))</x:f>
        <x:v>0</x:v>
      </x:c>
      <x:c r="O365" s="103" t="n">
        <x:f>MAX(0,N365-'Inputs &amp; Guide'!$B$7)</x:f>
        <x:v>0</x:v>
      </x:c>
      <x:c r="P365" s="103" t="n">
        <x:f>N365-O365</x:f>
        <x:v>0</x:v>
      </x:c>
      <x:c r="Q365" s="103" t="n">
        <x:f>I365*'Inputs &amp; Guide'!$B$8</x:f>
        <x:v>0.2515450773719587</x:v>
      </x:c>
      <x:c r="R365" s="104" t="n">
        <x:f>IFERROR(P365/Q365,0)</x:f>
        <x:v>0</x:v>
      </x:c>
      <x:c r="S365" s="105" t="n">
        <x:f>ROUND(E365*XLOOKUP(C365,'Reference Tables'!$E$4:$E$12,'Reference Tables'!$G$4:$G$12,1),1)</x:f>
        <x:v>7.2</x:v>
      </x:c>
      <x:c r="T365" s="106" t="str">
        <x:f>IF(R365&gt;='Inputs &amp; Guide'!$B$9,"HIGH",IF(R365&gt;=0.45,"WATCH","NORMAL"))</x:f>
        <x:v>NORMAL</x:v>
      </x:c>
    </x:row>
    <x:row r="366">
      <x:c r="A366" s="95" t="n">
        <x:v>2897</x:v>
      </x:c>
      <x:c r="B366" s="96" t="n">
        <x:v>45412.4375</x:v>
      </x:c>
      <x:c r="C366" s="97" t="str">
        <x:v>Tornado</x:v>
      </x:c>
      <x:c r="D366" s="97" t="str">
        <x:v>India</x:v>
      </x:c>
      <x:c r="E366" s="98" t="n">
        <x:v>4.134291236382362</x:v>
      </x:c>
      <x:c r="F366" s="99" t="n">
        <x:v>461.2051618291291</x:v>
      </x:c>
      <x:c r="G366" s="100" t="str">
        <x:f>XLOOKUP(D366,'Reference Tables'!$A$4:$A$23,'Reference Tables'!$B$4:$B$23,"Other")</x:f>
        <x:v>Asia Pacific</x:v>
      </x:c>
      <x:c r="H366" s="100" t="str">
        <x:f>VLOOKUP(G366,'Reference Tables'!$I$4:$J$9,2,FALSE)</x:f>
        <x:v>High</x:v>
      </x:c>
      <x:c r="I366" s="101" t="n">
        <x:f>F366*'Inputs &amp; Guide'!$B$4*XLOOKUP(D366,'Reference Tables'!$A$4:$A$23,'Reference Tables'!$C$4:$C$23,0.75)</x:f>
        <x:v>67.1514715623212</x:v>
      </x:c>
      <x:c r="J366" s="102" t="n">
        <x:f>XLOOKUP(C366,'Reference Tables'!$E$4:$E$12,'Reference Tables'!$F$4:$F$12,0.05)</x:f>
        <x:v>0.09</x:v>
      </x:c>
      <x:c r="K366" s="103" t="n">
        <x:f>MIN(I366,F366*J366)</x:f>
        <x:v>41.50846456462162</x:v>
      </x:c>
      <x:c r="L366" s="103" t="n">
        <x:f>'Inputs &amp; Guide'!$B$5</x:f>
        <x:v>15</x:v>
      </x:c>
      <x:c r="M366" s="103" t="n">
        <x:f>I366*'Inputs &amp; Guide'!$B$6</x:f>
        <x:v>36.93330935927666</x:v>
      </x:c>
      <x:c r="N366" s="103" t="n">
        <x:f>MAX(0,MIN(K366-L366,M366))</x:f>
        <x:v>26.50846456462162</x:v>
      </x:c>
      <x:c r="O366" s="103" t="n">
        <x:f>MAX(0,N366-'Inputs &amp; Guide'!$B$7)</x:f>
        <x:v>0</x:v>
      </x:c>
      <x:c r="P366" s="103" t="n">
        <x:f>N366-O366</x:f>
        <x:v>26.50846456462162</x:v>
      </x:c>
      <x:c r="Q366" s="103" t="n">
        <x:f>I366*'Inputs &amp; Guide'!$B$8</x:f>
        <x:v>1.2087264881217816</x:v>
      </x:c>
      <x:c r="R366" s="104" t="n">
        <x:f>IFERROR(P366/Q366,0)</x:f>
        <x:v>21.930903992856685</x:v>
      </x:c>
      <x:c r="S366" s="105" t="n">
        <x:f>ROUND(E366*XLOOKUP(C366,'Reference Tables'!$E$4:$E$12,'Reference Tables'!$G$4:$G$12,1),1)</x:f>
        <x:v>4.3</x:v>
      </x:c>
      <x:c r="T366" s="106" t="str">
        <x:f>IF(R366&gt;='Inputs &amp; Guide'!$B$9,"HIGH",IF(R366&gt;=0.45,"WATCH","NORMAL"))</x:f>
        <x:v>HIGH</x:v>
      </x:c>
    </x:row>
    <x:row r="367">
      <x:c r="A367" s="95" t="n">
        <x:v>2905</x:v>
      </x:c>
      <x:c r="B367" s="96" t="n">
        <x:v>45413</x:v>
      </x:c>
      <x:c r="C367" s="97" t="str">
        <x:v>Hurricane</x:v>
      </x:c>
      <x:c r="D367" s="97" t="str">
        <x:v>Brazil</x:v>
      </x:c>
      <x:c r="E367" s="98" t="n">
        <x:v>9.803650435342659</x:v>
      </x:c>
      <x:c r="F367" s="99" t="n">
        <x:v>283.96871182643406</x:v>
      </x:c>
      <x:c r="G367" s="100" t="str">
        <x:f>XLOOKUP(D367,'Reference Tables'!$A$4:$A$23,'Reference Tables'!$B$4:$B$23,"Other")</x:f>
        <x:v>Latin America</x:v>
      </x:c>
      <x:c r="H367" s="100" t="str">
        <x:f>VLOOKUP(G367,'Reference Tables'!$I$4:$J$9,2,FALSE)</x:f>
        <x:v>Moderate</x:v>
      </x:c>
      <x:c r="I367" s="101" t="n">
        <x:f>F367*'Inputs &amp; Guide'!$B$4*XLOOKUP(D367,'Reference Tables'!$A$4:$A$23,'Reference Tables'!$C$4:$C$23,0.75)</x:f>
        <x:v>37.256694991628144</x:v>
      </x:c>
      <x:c r="J367" s="102" t="n">
        <x:f>XLOOKUP(C367,'Reference Tables'!$E$4:$E$12,'Reference Tables'!$F$4:$F$12,0.05)</x:f>
        <x:v>0.18</x:v>
      </x:c>
      <x:c r="K367" s="103" t="n">
        <x:f>MIN(I367,F367*J367)</x:f>
        <x:v>37.256694991628144</x:v>
      </x:c>
      <x:c r="L367" s="103" t="n">
        <x:f>'Inputs &amp; Guide'!$B$5</x:f>
        <x:v>15</x:v>
      </x:c>
      <x:c r="M367" s="103" t="n">
        <x:f>I367*'Inputs &amp; Guide'!$B$6</x:f>
        <x:v>20.491182245395482</x:v>
      </x:c>
      <x:c r="N367" s="103" t="n">
        <x:f>MAX(0,MIN(K367-L367,M367))</x:f>
        <x:v>20.491182245395482</x:v>
      </x:c>
      <x:c r="O367" s="103" t="n">
        <x:f>MAX(0,N367-'Inputs &amp; Guide'!$B$7)</x:f>
        <x:v>0</x:v>
      </x:c>
      <x:c r="P367" s="103" t="n">
        <x:f>N367-O367</x:f>
        <x:v>20.491182245395482</x:v>
      </x:c>
      <x:c r="Q367" s="103" t="n">
        <x:f>I367*'Inputs &amp; Guide'!$B$8</x:f>
        <x:v>0.6706205098493065</x:v>
      </x:c>
      <x:c r="R367" s="104" t="n">
        <x:f>IFERROR(P367/Q367,0)</x:f>
        <x:v>30.55555555555556</x:v>
      </x:c>
      <x:c r="S367" s="105" t="n">
        <x:f>ROUND(E367*XLOOKUP(C367,'Reference Tables'!$E$4:$E$12,'Reference Tables'!$G$4:$G$12,1),1)</x:f>
        <x:v>13.7</x:v>
      </x:c>
      <x:c r="T367" s="106" t="str">
        <x:f>IF(R367&gt;='Inputs &amp; Guide'!$B$9,"HIGH",IF(R367&gt;=0.45,"WATCH","NORMAL"))</x:f>
        <x:v>HIGH</x:v>
      </x:c>
    </x:row>
    <x:row r="368">
      <x:c r="A368" s="95" t="n">
        <x:v>2913</x:v>
      </x:c>
      <x:c r="B368" s="96" t="n">
        <x:v>45413.104166666664</x:v>
      </x:c>
      <x:c r="C368" s="97" t="str">
        <x:v>Tornado</x:v>
      </x:c>
      <x:c r="D368" s="97" t="str">
        <x:v>India</x:v>
      </x:c>
      <x:c r="E368" s="98" t="n">
        <x:v>1.7114843537308546</x:v>
      </x:c>
      <x:c r="F368" s="99" t="n">
        <x:v>444.44635943700615</x:v>
      </x:c>
      <x:c r="G368" s="100" t="str">
        <x:f>XLOOKUP(D368,'Reference Tables'!$A$4:$A$23,'Reference Tables'!$B$4:$B$23,"Other")</x:f>
        <x:v>Asia Pacific</x:v>
      </x:c>
      <x:c r="H368" s="100" t="str">
        <x:f>VLOOKUP(G368,'Reference Tables'!$I$4:$J$9,2,FALSE)</x:f>
        <x:v>High</x:v>
      </x:c>
      <x:c r="I368" s="101" t="n">
        <x:f>F368*'Inputs &amp; Guide'!$B$4*XLOOKUP(D368,'Reference Tables'!$A$4:$A$23,'Reference Tables'!$C$4:$C$23,0.75)</x:f>
        <x:v>64.71138993402809</x:v>
      </x:c>
      <x:c r="J368" s="102" t="n">
        <x:f>XLOOKUP(C368,'Reference Tables'!$E$4:$E$12,'Reference Tables'!$F$4:$F$12,0.05)</x:f>
        <x:v>0.09</x:v>
      </x:c>
      <x:c r="K368" s="103" t="n">
        <x:f>MIN(I368,F368*J368)</x:f>
        <x:v>40.000172349330555</x:v>
      </x:c>
      <x:c r="L368" s="103" t="n">
        <x:f>'Inputs &amp; Guide'!$B$5</x:f>
        <x:v>15</x:v>
      </x:c>
      <x:c r="M368" s="103" t="n">
        <x:f>I368*'Inputs &amp; Guide'!$B$6</x:f>
        <x:v>35.591264463715454</x:v>
      </x:c>
      <x:c r="N368" s="103" t="n">
        <x:f>MAX(0,MIN(K368-L368,M368))</x:f>
        <x:v>25.000172349330555</x:v>
      </x:c>
      <x:c r="O368" s="103" t="n">
        <x:f>MAX(0,N368-'Inputs &amp; Guide'!$B$7)</x:f>
        <x:v>0</x:v>
      </x:c>
      <x:c r="P368" s="103" t="n">
        <x:f>N368-O368</x:f>
        <x:v>25.000172349330555</x:v>
      </x:c>
      <x:c r="Q368" s="103" t="n">
        <x:f>I368*'Inputs &amp; Guide'!$B$8</x:f>
        <x:v>1.1648050188125056</x:v>
      </x:c>
      <x:c r="R368" s="104" t="n">
        <x:f>IFERROR(P368/Q368,0)</x:f>
        <x:v>21.462967574450964</x:v>
      </x:c>
      <x:c r="S368" s="105" t="n">
        <x:f>ROUND(E368*XLOOKUP(C368,'Reference Tables'!$E$4:$E$12,'Reference Tables'!$G$4:$G$12,1),1)</x:f>
        <x:v>1.8</x:v>
      </x:c>
      <x:c r="T368" s="106" t="str">
        <x:f>IF(R368&gt;='Inputs &amp; Guide'!$B$9,"HIGH",IF(R368&gt;=0.45,"WATCH","NORMAL"))</x:f>
        <x:v>HIGH</x:v>
      </x:c>
    </x:row>
    <x:row r="369">
      <x:c r="A369" s="95" t="n">
        <x:v>2921</x:v>
      </x:c>
      <x:c r="B369" s="96" t="n">
        <x:v>45413.4375</x:v>
      </x:c>
      <x:c r="C369" s="97" t="str">
        <x:v>Hurricane</x:v>
      </x:c>
      <x:c r="D369" s="97" t="str">
        <x:v>Brazil</x:v>
      </x:c>
      <x:c r="E369" s="98" t="n">
        <x:v>7.31309871837113</x:v>
      </x:c>
      <x:c r="F369" s="99" t="n">
        <x:v>892.1479088266351</x:v>
      </x:c>
      <x:c r="G369" s="100" t="str">
        <x:f>XLOOKUP(D369,'Reference Tables'!$A$4:$A$23,'Reference Tables'!$B$4:$B$23,"Other")</x:f>
        <x:v>Latin America</x:v>
      </x:c>
      <x:c r="H369" s="100" t="str">
        <x:f>VLOOKUP(G369,'Reference Tables'!$I$4:$J$9,2,FALSE)</x:f>
        <x:v>Moderate</x:v>
      </x:c>
      <x:c r="I369" s="101" t="n">
        <x:f>F369*'Inputs &amp; Guide'!$B$4*XLOOKUP(D369,'Reference Tables'!$A$4:$A$23,'Reference Tables'!$C$4:$C$23,0.75)</x:f>
        <x:v>117.04980563805451</x:v>
      </x:c>
      <x:c r="J369" s="102" t="n">
        <x:f>XLOOKUP(C369,'Reference Tables'!$E$4:$E$12,'Reference Tables'!$F$4:$F$12,0.05)</x:f>
        <x:v>0.18</x:v>
      </x:c>
      <x:c r="K369" s="103" t="n">
        <x:f>MIN(I369,F369*J369)</x:f>
        <x:v>117.04980563805451</x:v>
      </x:c>
      <x:c r="L369" s="103" t="n">
        <x:f>'Inputs &amp; Guide'!$B$5</x:f>
        <x:v>15</x:v>
      </x:c>
      <x:c r="M369" s="103" t="n">
        <x:f>I369*'Inputs &amp; Guide'!$B$6</x:f>
        <x:v>64.37739310092998</x:v>
      </x:c>
      <x:c r="N369" s="103" t="n">
        <x:f>MAX(0,MIN(K369-L369,M369))</x:f>
        <x:v>64.37739310092998</x:v>
      </x:c>
      <x:c r="O369" s="103" t="n">
        <x:f>MAX(0,N369-'Inputs &amp; Guide'!$B$7)</x:f>
        <x:v>4.377393100929979</x:v>
      </x:c>
      <x:c r="P369" s="103" t="n">
        <x:f>N369-O369</x:f>
        <x:v>60</x:v>
      </x:c>
      <x:c r="Q369" s="103" t="n">
        <x:f>I369*'Inputs &amp; Guide'!$B$8</x:f>
        <x:v>2.106896501484981</x:v>
      </x:c>
      <x:c r="R369" s="104" t="n">
        <x:f>IFERROR(P369/Q369,0)</x:f>
        <x:v>28.47790575270824</x:v>
      </x:c>
      <x:c r="S369" s="105" t="n">
        <x:f>ROUND(E369*XLOOKUP(C369,'Reference Tables'!$E$4:$E$12,'Reference Tables'!$G$4:$G$12,1),1)</x:f>
        <x:v>10.2</x:v>
      </x:c>
      <x:c r="T369" s="106" t="str">
        <x:f>IF(R369&gt;='Inputs &amp; Guide'!$B$9,"HIGH",IF(R369&gt;=0.45,"WATCH","NORMAL"))</x:f>
        <x:v>HIGH</x:v>
      </x:c>
    </x:row>
    <x:row r="370">
      <x:c r="A370" s="95" t="n">
        <x:v>2929</x:v>
      </x:c>
      <x:c r="B370" s="96" t="n">
        <x:v>45414</x:v>
      </x:c>
      <x:c r="C370" s="97" t="str">
        <x:v>Tornado</x:v>
      </x:c>
      <x:c r="D370" s="97" t="str">
        <x:v>Indonesia</x:v>
      </x:c>
      <x:c r="E370" s="98" t="n">
        <x:v>2.6340512734528065</x:v>
      </x:c>
      <x:c r="F370" s="99" t="n">
        <x:v>999.4510555829781</x:v>
      </x:c>
      <x:c r="G370" s="100" t="str">
        <x:f>XLOOKUP(D370,'Reference Tables'!$A$4:$A$23,'Reference Tables'!$B$4:$B$23,"Other")</x:f>
        <x:v>Asia Pacific</x:v>
      </x:c>
      <x:c r="H370" s="100" t="str">
        <x:f>VLOOKUP(G370,'Reference Tables'!$I$4:$J$9,2,FALSE)</x:f>
        <x:v>High</x:v>
      </x:c>
      <x:c r="I370" s="101" t="n">
        <x:f>F370*'Inputs &amp; Guide'!$B$4*XLOOKUP(D370,'Reference Tables'!$A$4:$A$23,'Reference Tables'!$C$4:$C$23,0.75)</x:f>
        <x:v>164.70953396007482</x:v>
      </x:c>
      <x:c r="J370" s="102" t="n">
        <x:f>XLOOKUP(C370,'Reference Tables'!$E$4:$E$12,'Reference Tables'!$F$4:$F$12,0.05)</x:f>
        <x:v>0.09</x:v>
      </x:c>
      <x:c r="K370" s="103" t="n">
        <x:f>MIN(I370,F370*J370)</x:f>
        <x:v>89.95059500246803</x:v>
      </x:c>
      <x:c r="L370" s="103" t="n">
        <x:f>'Inputs &amp; Guide'!$B$5</x:f>
        <x:v>15</x:v>
      </x:c>
      <x:c r="M370" s="103" t="n">
        <x:f>I370*'Inputs &amp; Guide'!$B$6</x:f>
        <x:v>90.59024367804116</x:v>
      </x:c>
      <x:c r="N370" s="103" t="n">
        <x:f>MAX(0,MIN(K370-L370,M370))</x:f>
        <x:v>74.95059500246803</x:v>
      </x:c>
      <x:c r="O370" s="103" t="n">
        <x:f>MAX(0,N370-'Inputs &amp; Guide'!$B$7)</x:f>
        <x:v>14.950595002468035</x:v>
      </x:c>
      <x:c r="P370" s="103" t="n">
        <x:f>N370-O370</x:f>
        <x:v>60</x:v>
      </x:c>
      <x:c r="Q370" s="103" t="n">
        <x:f>I370*'Inputs &amp; Guide'!$B$8</x:f>
        <x:v>2.9647716112813467</x:v>
      </x:c>
      <x:c r="R370" s="104" t="n">
        <x:f>IFERROR(P370/Q370,0)</x:f>
        <x:v>20.237646559921206</x:v>
      </x:c>
      <x:c r="S370" s="105" t="n">
        <x:f>ROUND(E370*XLOOKUP(C370,'Reference Tables'!$E$4:$E$12,'Reference Tables'!$G$4:$G$12,1),1)</x:f>
        <x:v>2.8</x:v>
      </x:c>
      <x:c r="T370" s="106" t="str">
        <x:f>IF(R370&gt;='Inputs &amp; Guide'!$B$9,"HIGH",IF(R370&gt;=0.45,"WATCH","NORMAL"))</x:f>
        <x:v>HIGH</x:v>
      </x:c>
    </x:row>
    <x:row r="371">
      <x:c r="A371" s="95" t="n">
        <x:v>2937</x:v>
      </x:c>
      <x:c r="B371" s="96" t="n">
        <x:v>45414.104166666664</x:v>
      </x:c>
      <x:c r="C371" s="97" t="str">
        <x:v>Hurricane</x:v>
      </x:c>
      <x:c r="D371" s="97" t="str">
        <x:v>Japan</x:v>
      </x:c>
      <x:c r="E371" s="98" t="n">
        <x:v>2.830660352302091</x:v>
      </x:c>
      <x:c r="F371" s="99" t="n">
        <x:v>737.1998477153821</x:v>
      </x:c>
      <x:c r="G371" s="100" t="str">
        <x:f>XLOOKUP(D371,'Reference Tables'!$A$4:$A$23,'Reference Tables'!$B$4:$B$23,"Other")</x:f>
        <x:v>Asia Pacific</x:v>
      </x:c>
      <x:c r="H371" s="100" t="str">
        <x:f>VLOOKUP(G371,'Reference Tables'!$I$4:$J$9,2,FALSE)</x:f>
        <x:v>High</x:v>
      </x:c>
      <x:c r="I371" s="101" t="n">
        <x:f>F371*'Inputs &amp; Guide'!$B$4*XLOOKUP(D371,'Reference Tables'!$A$4:$A$23,'Reference Tables'!$C$4:$C$23,0.75)</x:f>
        <x:v>139.18333124866416</x:v>
      </x:c>
      <x:c r="J371" s="102" t="n">
        <x:f>XLOOKUP(C371,'Reference Tables'!$E$4:$E$12,'Reference Tables'!$F$4:$F$12,0.05)</x:f>
        <x:v>0.18</x:v>
      </x:c>
      <x:c r="K371" s="103" t="n">
        <x:f>MIN(I371,F371*J371)</x:f>
        <x:v>132.69597258876877</x:v>
      </x:c>
      <x:c r="L371" s="103" t="n">
        <x:f>'Inputs &amp; Guide'!$B$5</x:f>
        <x:v>15</x:v>
      </x:c>
      <x:c r="M371" s="103" t="n">
        <x:f>I371*'Inputs &amp; Guide'!$B$6</x:f>
        <x:v>76.55083218676529</x:v>
      </x:c>
      <x:c r="N371" s="103" t="n">
        <x:f>MAX(0,MIN(K371-L371,M371))</x:f>
        <x:v>76.55083218676529</x:v>
      </x:c>
      <x:c r="O371" s="103" t="n">
        <x:f>MAX(0,N371-'Inputs &amp; Guide'!$B$7)</x:f>
        <x:v>16.55083218676529</x:v>
      </x:c>
      <x:c r="P371" s="103" t="n">
        <x:f>N371-O371</x:f>
        <x:v>60</x:v>
      </x:c>
      <x:c r="Q371" s="103" t="n">
        <x:f>I371*'Inputs &amp; Guide'!$B$8</x:f>
        <x:v>2.505299962475955</x:v>
      </x:c>
      <x:c r="R371" s="104" t="n">
        <x:f>IFERROR(P371/Q371,0)</x:f>
        <x:v>23.949227996116996</x:v>
      </x:c>
      <x:c r="S371" s="105" t="n">
        <x:f>ROUND(E371*XLOOKUP(C371,'Reference Tables'!$E$4:$E$12,'Reference Tables'!$G$4:$G$12,1),1)</x:f>
        <x:v>4</x:v>
      </x:c>
      <x:c r="T371" s="106" t="str">
        <x:f>IF(R371&gt;='Inputs &amp; Guide'!$B$9,"HIGH",IF(R371&gt;=0.45,"WATCH","NORMAL"))</x:f>
        <x:v>HIGH</x:v>
      </x:c>
    </x:row>
    <x:row r="372">
      <x:c r="A372" s="95" t="n">
        <x:v>2945</x:v>
      </x:c>
      <x:c r="B372" s="96" t="n">
        <x:v>45414.4375</x:v>
      </x:c>
      <x:c r="C372" s="97" t="str">
        <x:v>Flood</x:v>
      </x:c>
      <x:c r="D372" s="97" t="str">
        <x:v>Japan</x:v>
      </x:c>
      <x:c r="E372" s="98" t="n">
        <x:v>2.0868107199482884</x:v>
      </x:c>
      <x:c r="F372" s="99" t="n">
        <x:v>353.98132570466464</x:v>
      </x:c>
      <x:c r="G372" s="100" t="str">
        <x:f>XLOOKUP(D372,'Reference Tables'!$A$4:$A$23,'Reference Tables'!$B$4:$B$23,"Other")</x:f>
        <x:v>Asia Pacific</x:v>
      </x:c>
      <x:c r="H372" s="100" t="str">
        <x:f>VLOOKUP(G372,'Reference Tables'!$I$4:$J$9,2,FALSE)</x:f>
        <x:v>High</x:v>
      </x:c>
      <x:c r="I372" s="101" t="n">
        <x:f>F372*'Inputs &amp; Guide'!$B$4*XLOOKUP(D372,'Reference Tables'!$A$4:$A$23,'Reference Tables'!$C$4:$C$23,0.75)</x:f>
        <x:v>66.83167429304068</x:v>
      </x:c>
      <x:c r="J372" s="102" t="n">
        <x:f>XLOOKUP(C372,'Reference Tables'!$E$4:$E$12,'Reference Tables'!$F$4:$F$12,0.05)</x:f>
        <x:v>0.12</x:v>
      </x:c>
      <x:c r="K372" s="103" t="n">
        <x:f>MIN(I372,F372*J372)</x:f>
        <x:v>42.47775908455976</x:v>
      </x:c>
      <x:c r="L372" s="103" t="n">
        <x:f>'Inputs &amp; Guide'!$B$5</x:f>
        <x:v>15</x:v>
      </x:c>
      <x:c r="M372" s="103" t="n">
        <x:f>I372*'Inputs &amp; Guide'!$B$6</x:f>
        <x:v>36.75742086117238</x:v>
      </x:c>
      <x:c r="N372" s="103" t="n">
        <x:f>MAX(0,MIN(K372-L372,M372))</x:f>
        <x:v>27.477759084559757</x:v>
      </x:c>
      <x:c r="O372" s="103" t="n">
        <x:f>MAX(0,N372-'Inputs &amp; Guide'!$B$7)</x:f>
        <x:v>0</x:v>
      </x:c>
      <x:c r="P372" s="103" t="n">
        <x:f>N372-O372</x:f>
        <x:v>27.477759084559757</x:v>
      </x:c>
      <x:c r="Q372" s="103" t="n">
        <x:f>I372*'Inputs &amp; Guide'!$B$8</x:f>
        <x:v>1.2029701372747321</x:v>
      </x:c>
      <x:c r="R372" s="104" t="n">
        <x:f>IFERROR(P372/Q372,0)</x:f>
        <x:v>22.84159700490091</x:v>
      </x:c>
      <x:c r="S372" s="105" t="n">
        <x:f>ROUND(E372*XLOOKUP(C372,'Reference Tables'!$E$4:$E$12,'Reference Tables'!$G$4:$G$12,1),1)</x:f>
        <x:v>2.6</x:v>
      </x:c>
      <x:c r="T372" s="106" t="str">
        <x:f>IF(R372&gt;='Inputs &amp; Guide'!$B$9,"HIGH",IF(R372&gt;=0.45,"WATCH","NORMAL"))</x:f>
        <x:v>HIGH</x:v>
      </x:c>
    </x:row>
    <x:row r="373">
      <x:c r="A373" s="95" t="n">
        <x:v>2953</x:v>
      </x:c>
      <x:c r="B373" s="96" t="n">
        <x:v>45415</x:v>
      </x:c>
      <x:c r="C373" s="97" t="str">
        <x:v>Wildfire</x:v>
      </x:c>
      <x:c r="D373" s="97" t="str">
        <x:v>India</x:v>
      </x:c>
      <x:c r="E373" s="98" t="n">
        <x:v>9.551334108147676</x:v>
      </x:c>
      <x:c r="F373" s="99" t="n">
        <x:v>368.28416242704645</x:v>
      </x:c>
      <x:c r="G373" s="100" t="str">
        <x:f>XLOOKUP(D373,'Reference Tables'!$A$4:$A$23,'Reference Tables'!$B$4:$B$23,"Other")</x:f>
        <x:v>Asia Pacific</x:v>
      </x:c>
      <x:c r="H373" s="100" t="str">
        <x:f>VLOOKUP(G373,'Reference Tables'!$I$4:$J$9,2,FALSE)</x:f>
        <x:v>High</x:v>
      </x:c>
      <x:c r="I373" s="101" t="n">
        <x:f>F373*'Inputs &amp; Guide'!$B$4*XLOOKUP(D373,'Reference Tables'!$A$4:$A$23,'Reference Tables'!$C$4:$C$23,0.75)</x:f>
        <x:v>53.62217404937797</x:v>
      </x:c>
      <x:c r="J373" s="102" t="n">
        <x:f>XLOOKUP(C373,'Reference Tables'!$E$4:$E$12,'Reference Tables'!$F$4:$F$12,0.05)</x:f>
        <x:v>0.1</x:v>
      </x:c>
      <x:c r="K373" s="103" t="n">
        <x:f>MIN(I373,F373*J373)</x:f>
        <x:v>36.82841624270465</x:v>
      </x:c>
      <x:c r="L373" s="103" t="n">
        <x:f>'Inputs &amp; Guide'!$B$5</x:f>
        <x:v>15</x:v>
      </x:c>
      <x:c r="M373" s="103" t="n">
        <x:f>I373*'Inputs &amp; Guide'!$B$6</x:f>
        <x:v>29.492195727157885</x:v>
      </x:c>
      <x:c r="N373" s="103" t="n">
        <x:f>MAX(0,MIN(K373-L373,M373))</x:f>
        <x:v>21.828416242704648</x:v>
      </x:c>
      <x:c r="O373" s="103" t="n">
        <x:f>MAX(0,N373-'Inputs &amp; Guide'!$B$7)</x:f>
        <x:v>0</x:v>
      </x:c>
      <x:c r="P373" s="103" t="n">
        <x:f>N373-O373</x:f>
        <x:v>21.828416242704648</x:v>
      </x:c>
      <x:c r="Q373" s="103" t="n">
        <x:f>I373*'Inputs &amp; Guide'!$B$8</x:f>
        <x:v>0.9651991328888033</x:v>
      </x:c>
      <x:c r="R373" s="104" t="n">
        <x:f>IFERROR(P373/Q373,0)</x:f>
        <x:v>22.61545363947132</x:v>
      </x:c>
      <x:c r="S373" s="105" t="n">
        <x:f>ROUND(E373*XLOOKUP(C373,'Reference Tables'!$E$4:$E$12,'Reference Tables'!$G$4:$G$12,1),1)</x:f>
        <x:v>11</x:v>
      </x:c>
      <x:c r="T373" s="106" t="str">
        <x:f>IF(R373&gt;='Inputs &amp; Guide'!$B$9,"HIGH",IF(R373&gt;=0.45,"WATCH","NORMAL"))</x:f>
        <x:v>HIGH</x:v>
      </x:c>
    </x:row>
    <x:row r="374">
      <x:c r="A374" s="95" t="n">
        <x:v>2961</x:v>
      </x:c>
      <x:c r="B374" s="96" t="n">
        <x:v>45415.104166666664</x:v>
      </x:c>
      <x:c r="C374" s="97" t="str">
        <x:v>Wildfire</x:v>
      </x:c>
      <x:c r="D374" s="97" t="str">
        <x:v>India</x:v>
      </x:c>
      <x:c r="E374" s="98" t="n">
        <x:v>9.462375697061884</x:v>
      </x:c>
      <x:c r="F374" s="99" t="n">
        <x:v>533.5106299527381</x:v>
      </x:c>
      <x:c r="G374" s="100" t="str">
        <x:f>XLOOKUP(D374,'Reference Tables'!$A$4:$A$23,'Reference Tables'!$B$4:$B$23,"Other")</x:f>
        <x:v>Asia Pacific</x:v>
      </x:c>
      <x:c r="H374" s="100" t="str">
        <x:f>VLOOKUP(G374,'Reference Tables'!$I$4:$J$9,2,FALSE)</x:f>
        <x:v>High</x:v>
      </x:c>
      <x:c r="I374" s="101" t="n">
        <x:f>F374*'Inputs &amp; Guide'!$B$4*XLOOKUP(D374,'Reference Tables'!$A$4:$A$23,'Reference Tables'!$C$4:$C$23,0.75)</x:f>
        <x:v>77.67914772111867</x:v>
      </x:c>
      <x:c r="J374" s="102" t="n">
        <x:f>XLOOKUP(C374,'Reference Tables'!$E$4:$E$12,'Reference Tables'!$F$4:$F$12,0.05)</x:f>
        <x:v>0.1</x:v>
      </x:c>
      <x:c r="K374" s="103" t="n">
        <x:f>MIN(I374,F374*J374)</x:f>
        <x:v>53.351062995273814</x:v>
      </x:c>
      <x:c r="L374" s="103" t="n">
        <x:f>'Inputs &amp; Guide'!$B$5</x:f>
        <x:v>15</x:v>
      </x:c>
      <x:c r="M374" s="103" t="n">
        <x:f>I374*'Inputs &amp; Guide'!$B$6</x:f>
        <x:v>42.72353124661527</x:v>
      </x:c>
      <x:c r="N374" s="103" t="n">
        <x:f>MAX(0,MIN(K374-L374,M374))</x:f>
        <x:v>38.351062995273814</x:v>
      </x:c>
      <x:c r="O374" s="103" t="n">
        <x:f>MAX(0,N374-'Inputs &amp; Guide'!$B$7)</x:f>
        <x:v>0</x:v>
      </x:c>
      <x:c r="P374" s="103" t="n">
        <x:f>N374-O374</x:f>
        <x:v>38.351062995273814</x:v>
      </x:c>
      <x:c r="Q374" s="103" t="n">
        <x:f>I374*'Inputs &amp; Guide'!$B$8</x:f>
        <x:v>1.398224658980136</x:v>
      </x:c>
      <x:c r="R374" s="104" t="n">
        <x:f>IFERROR(P374/Q374,0)</x:f>
        <x:v>27.428398397183933</x:v>
      </x:c>
      <x:c r="S374" s="105" t="n">
        <x:f>ROUND(E374*XLOOKUP(C374,'Reference Tables'!$E$4:$E$12,'Reference Tables'!$G$4:$G$12,1),1)</x:f>
        <x:v>10.9</x:v>
      </x:c>
      <x:c r="T374" s="106" t="str">
        <x:f>IF(R374&gt;='Inputs &amp; Guide'!$B$9,"HIGH",IF(R374&gt;=0.45,"WATCH","NORMAL"))</x:f>
        <x:v>HIGH</x:v>
      </x:c>
    </x:row>
    <x:row r="375">
      <x:c r="A375" s="95" t="n">
        <x:v>2969</x:v>
      </x:c>
      <x:c r="B375" s="96" t="n">
        <x:v>45415.4375</x:v>
      </x:c>
      <x:c r="C375" s="97" t="str">
        <x:v>Flood</x:v>
      </x:c>
      <x:c r="D375" s="97" t="str">
        <x:v>Brazil</x:v>
      </x:c>
      <x:c r="E375" s="98" t="n">
        <x:v>7.533474652964948</x:v>
      </x:c>
      <x:c r="F375" s="99" t="n">
        <x:v>798.9265017754313</x:v>
      </x:c>
      <x:c r="G375" s="100" t="str">
        <x:f>XLOOKUP(D375,'Reference Tables'!$A$4:$A$23,'Reference Tables'!$B$4:$B$23,"Other")</x:f>
        <x:v>Latin America</x:v>
      </x:c>
      <x:c r="H375" s="100" t="str">
        <x:f>VLOOKUP(G375,'Reference Tables'!$I$4:$J$9,2,FALSE)</x:f>
        <x:v>Moderate</x:v>
      </x:c>
      <x:c r="I375" s="101" t="n">
        <x:f>F375*'Inputs &amp; Guide'!$B$4*XLOOKUP(D375,'Reference Tables'!$A$4:$A$23,'Reference Tables'!$C$4:$C$23,0.75)</x:f>
        <x:v>104.8191570329366</x:v>
      </x:c>
      <x:c r="J375" s="102" t="n">
        <x:f>XLOOKUP(C375,'Reference Tables'!$E$4:$E$12,'Reference Tables'!$F$4:$F$12,0.05)</x:f>
        <x:v>0.12</x:v>
      </x:c>
      <x:c r="K375" s="103" t="n">
        <x:f>MIN(I375,F375*J375)</x:f>
        <x:v>95.87118021305176</x:v>
      </x:c>
      <x:c r="L375" s="103" t="n">
        <x:f>'Inputs &amp; Guide'!$B$5</x:f>
        <x:v>15</x:v>
      </x:c>
      <x:c r="M375" s="103" t="n">
        <x:f>I375*'Inputs &amp; Guide'!$B$6</x:f>
        <x:v>57.650536368115134</x:v>
      </x:c>
      <x:c r="N375" s="103" t="n">
        <x:f>MAX(0,MIN(K375-L375,M375))</x:f>
        <x:v>57.650536368115134</x:v>
      </x:c>
      <x:c r="O375" s="103" t="n">
        <x:f>MAX(0,N375-'Inputs &amp; Guide'!$B$7)</x:f>
        <x:v>0</x:v>
      </x:c>
      <x:c r="P375" s="103" t="n">
        <x:f>N375-O375</x:f>
        <x:v>57.650536368115134</x:v>
      </x:c>
      <x:c r="Q375" s="103" t="n">
        <x:f>I375*'Inputs &amp; Guide'!$B$8</x:f>
        <x:v>1.8867448265928586</x:v>
      </x:c>
      <x:c r="R375" s="104" t="n">
        <x:f>IFERROR(P375/Q375,0)</x:f>
        <x:v>30.55555555555556</x:v>
      </x:c>
      <x:c r="S375" s="105" t="n">
        <x:f>ROUND(E375*XLOOKUP(C375,'Reference Tables'!$E$4:$E$12,'Reference Tables'!$G$4:$G$12,1),1)</x:f>
        <x:v>9.4</x:v>
      </x:c>
      <x:c r="T375" s="106" t="str">
        <x:f>IF(R375&gt;='Inputs &amp; Guide'!$B$9,"HIGH",IF(R375&gt;=0.45,"WATCH","NORMAL"))</x:f>
        <x:v>HIGH</x:v>
      </x:c>
    </x:row>
    <x:row r="376">
      <x:c r="A376" s="95" t="n">
        <x:v>2977</x:v>
      </x:c>
      <x:c r="B376" s="96" t="n">
        <x:v>45416</x:v>
      </x:c>
      <x:c r="C376" s="97" t="str">
        <x:v>Tornado</x:v>
      </x:c>
      <x:c r="D376" s="97" t="str">
        <x:v>Indonesia</x:v>
      </x:c>
      <x:c r="E376" s="98" t="n">
        <x:v>2.2052628379098382</x:v>
      </x:c>
      <x:c r="F376" s="99" t="n">
        <x:v>851.1463367726585</x:v>
      </x:c>
      <x:c r="G376" s="100" t="str">
        <x:f>XLOOKUP(D376,'Reference Tables'!$A$4:$A$23,'Reference Tables'!$B$4:$B$23,"Other")</x:f>
        <x:v>Asia Pacific</x:v>
      </x:c>
      <x:c r="H376" s="100" t="str">
        <x:f>VLOOKUP(G376,'Reference Tables'!$I$4:$J$9,2,FALSE)</x:f>
        <x:v>High</x:v>
      </x:c>
      <x:c r="I376" s="101" t="n">
        <x:f>F376*'Inputs &amp; Guide'!$B$4*XLOOKUP(D376,'Reference Tables'!$A$4:$A$23,'Reference Tables'!$C$4:$C$23,0.75)</x:f>
        <x:v>140.26891630013415</x:v>
      </x:c>
      <x:c r="J376" s="102" t="n">
        <x:f>XLOOKUP(C376,'Reference Tables'!$E$4:$E$12,'Reference Tables'!$F$4:$F$12,0.05)</x:f>
        <x:v>0.09</x:v>
      </x:c>
      <x:c r="K376" s="103" t="n">
        <x:f>MIN(I376,F376*J376)</x:f>
        <x:v>76.60317030953927</x:v>
      </x:c>
      <x:c r="L376" s="103" t="n">
        <x:f>'Inputs &amp; Guide'!$B$5</x:f>
        <x:v>15</x:v>
      </x:c>
      <x:c r="M376" s="103" t="n">
        <x:f>I376*'Inputs &amp; Guide'!$B$6</x:f>
        <x:v>77.1479039650738</x:v>
      </x:c>
      <x:c r="N376" s="103" t="n">
        <x:f>MAX(0,MIN(K376-L376,M376))</x:f>
        <x:v>61.603170309539266</x:v>
      </x:c>
      <x:c r="O376" s="103" t="n">
        <x:f>MAX(0,N376-'Inputs &amp; Guide'!$B$7)</x:f>
        <x:v>1.6031703095392658</x:v>
      </x:c>
      <x:c r="P376" s="103" t="n">
        <x:f>N376-O376</x:f>
        <x:v>60</x:v>
      </x:c>
      <x:c r="Q376" s="103" t="n">
        <x:f>I376*'Inputs &amp; Guide'!$B$8</x:f>
        <x:v>2.5248404934024147</x:v>
      </x:c>
      <x:c r="R376" s="104" t="n">
        <x:f>IFERROR(P376/Q376,0)</x:f>
        <x:v>23.763877423854776</x:v>
      </x:c>
      <x:c r="S376" s="105" t="n">
        <x:f>ROUND(E376*XLOOKUP(C376,'Reference Tables'!$E$4:$E$12,'Reference Tables'!$G$4:$G$12,1),1)</x:f>
        <x:v>2.3</x:v>
      </x:c>
      <x:c r="T376" s="106" t="str">
        <x:f>IF(R376&gt;='Inputs &amp; Guide'!$B$9,"HIGH",IF(R376&gt;=0.45,"WATCH","NORMAL"))</x:f>
        <x:v>HIGH</x:v>
      </x:c>
    </x:row>
    <x:row r="377">
      <x:c r="A377" s="95" t="n">
        <x:v>2985</x:v>
      </x:c>
      <x:c r="B377" s="96" t="n">
        <x:v>45416.104166666664</x:v>
      </x:c>
      <x:c r="C377" s="97" t="str">
        <x:v>Hurricane</x:v>
      </x:c>
      <x:c r="D377" s="97" t="str">
        <x:v>Indonesia</x:v>
      </x:c>
      <x:c r="E377" s="98" t="n">
        <x:v>2.911201541268027</x:v>
      </x:c>
      <x:c r="F377" s="99" t="n">
        <x:v>49.33703763631395</x:v>
      </x:c>
      <x:c r="G377" s="100" t="str">
        <x:f>XLOOKUP(D377,'Reference Tables'!$A$4:$A$23,'Reference Tables'!$B$4:$B$23,"Other")</x:f>
        <x:v>Asia Pacific</x:v>
      </x:c>
      <x:c r="H377" s="100" t="str">
        <x:f>VLOOKUP(G377,'Reference Tables'!$I$4:$J$9,2,FALSE)</x:f>
        <x:v>High</x:v>
      </x:c>
      <x:c r="I377" s="101" t="n">
        <x:f>F377*'Inputs &amp; Guide'!$B$4*XLOOKUP(D377,'Reference Tables'!$A$4:$A$23,'Reference Tables'!$C$4:$C$23,0.75)</x:f>
        <x:v>8.13074380246454</x:v>
      </x:c>
      <x:c r="J377" s="102" t="n">
        <x:f>XLOOKUP(C377,'Reference Tables'!$E$4:$E$12,'Reference Tables'!$F$4:$F$12,0.05)</x:f>
        <x:v>0.18</x:v>
      </x:c>
      <x:c r="K377" s="103" t="n">
        <x:f>MIN(I377,F377*J377)</x:f>
        <x:v>8.13074380246454</x:v>
      </x:c>
      <x:c r="L377" s="103" t="n">
        <x:f>'Inputs &amp; Guide'!$B$5</x:f>
        <x:v>15</x:v>
      </x:c>
      <x:c r="M377" s="103" t="n">
        <x:f>I377*'Inputs &amp; Guide'!$B$6</x:f>
        <x:v>4.4719090913554975</x:v>
      </x:c>
      <x:c r="N377" s="103" t="n">
        <x:f>MAX(0,MIN(K377-L377,M377))</x:f>
        <x:v>0</x:v>
      </x:c>
      <x:c r="O377" s="103" t="n">
        <x:f>MAX(0,N377-'Inputs &amp; Guide'!$B$7)</x:f>
        <x:v>0</x:v>
      </x:c>
      <x:c r="P377" s="103" t="n">
        <x:f>N377-O377</x:f>
        <x:v>0</x:v>
      </x:c>
      <x:c r="Q377" s="103" t="n">
        <x:f>I377*'Inputs &amp; Guide'!$B$8</x:f>
        <x:v>0.14635338844436172</x:v>
      </x:c>
      <x:c r="R377" s="104" t="n">
        <x:f>IFERROR(P377/Q377,0)</x:f>
        <x:v>0</x:v>
      </x:c>
      <x:c r="S377" s="105" t="n">
        <x:f>ROUND(E377*XLOOKUP(C377,'Reference Tables'!$E$4:$E$12,'Reference Tables'!$G$4:$G$12,1),1)</x:f>
        <x:v>4.1</x:v>
      </x:c>
      <x:c r="T377" s="106" t="str">
        <x:f>IF(R377&gt;='Inputs &amp; Guide'!$B$9,"HIGH",IF(R377&gt;=0.45,"WATCH","NORMAL"))</x:f>
        <x:v>NORMAL</x:v>
      </x:c>
    </x:row>
    <x:row r="378">
      <x:c r="A378" s="95" t="n">
        <x:v>2993</x:v>
      </x:c>
      <x:c r="B378" s="96" t="n">
        <x:v>45416.4375</x:v>
      </x:c>
      <x:c r="C378" s="97" t="str">
        <x:v>Tornado</x:v>
      </x:c>
      <x:c r="D378" s="97" t="str">
        <x:v>Brazil</x:v>
      </x:c>
      <x:c r="E378" s="98" t="n">
        <x:v>2.9857763567606392</x:v>
      </x:c>
      <x:c r="F378" s="99" t="n">
        <x:v>761.9116907718073</x:v>
      </x:c>
      <x:c r="G378" s="100" t="str">
        <x:f>XLOOKUP(D378,'Reference Tables'!$A$4:$A$23,'Reference Tables'!$B$4:$B$23,"Other")</x:f>
        <x:v>Latin America</x:v>
      </x:c>
      <x:c r="H378" s="100" t="str">
        <x:f>VLOOKUP(G378,'Reference Tables'!$I$4:$J$9,2,FALSE)</x:f>
        <x:v>Moderate</x:v>
      </x:c>
      <x:c r="I378" s="101" t="n">
        <x:f>F378*'Inputs &amp; Guide'!$B$4*XLOOKUP(D378,'Reference Tables'!$A$4:$A$23,'Reference Tables'!$C$4:$C$23,0.75)</x:f>
        <x:v>99.96281382926111</x:v>
      </x:c>
      <x:c r="J378" s="102" t="n">
        <x:f>XLOOKUP(C378,'Reference Tables'!$E$4:$E$12,'Reference Tables'!$F$4:$F$12,0.05)</x:f>
        <x:v>0.09</x:v>
      </x:c>
      <x:c r="K378" s="103" t="n">
        <x:f>MIN(I378,F378*J378)</x:f>
        <x:v>68.57205216946267</x:v>
      </x:c>
      <x:c r="L378" s="103" t="n">
        <x:f>'Inputs &amp; Guide'!$B$5</x:f>
        <x:v>15</x:v>
      </x:c>
      <x:c r="M378" s="103" t="n">
        <x:f>I378*'Inputs &amp; Guide'!$B$6</x:f>
        <x:v>54.97954760609361</x:v>
      </x:c>
      <x:c r="N378" s="103" t="n">
        <x:f>MAX(0,MIN(K378-L378,M378))</x:f>
        <x:v>53.572052169462665</x:v>
      </x:c>
      <x:c r="O378" s="103" t="n">
        <x:f>MAX(0,N378-'Inputs &amp; Guide'!$B$7)</x:f>
        <x:v>0</x:v>
      </x:c>
      <x:c r="P378" s="103" t="n">
        <x:f>N378-O378</x:f>
        <x:v>53.572052169462665</x:v>
      </x:c>
      <x:c r="Q378" s="103" t="n">
        <x:f>I378*'Inputs &amp; Guide'!$B$8</x:f>
        <x:v>1.7993306489266998</x:v>
      </x:c>
      <x:c r="R378" s="104" t="n">
        <x:f>IFERROR(P378/Q378,0)</x:f>
        <x:v>29.77332276389466</x:v>
      </x:c>
      <x:c r="S378" s="105" t="n">
        <x:f>ROUND(E378*XLOOKUP(C378,'Reference Tables'!$E$4:$E$12,'Reference Tables'!$G$4:$G$12,1),1)</x:f>
        <x:v>3.1</x:v>
      </x:c>
      <x:c r="T378" s="106" t="str">
        <x:f>IF(R378&gt;='Inputs &amp; Guide'!$B$9,"HIGH",IF(R378&gt;=0.45,"WATCH","NORMAL"))</x:f>
        <x:v>HIGH</x:v>
      </x:c>
    </x:row>
    <x:row r="379">
      <x:c r="A379" s="95" t="n">
        <x:v>3001</x:v>
      </x:c>
      <x:c r="B379" s="96" t="n">
        <x:v>45417</x:v>
      </x:c>
      <x:c r="C379" s="97" t="str">
        <x:v>Hurricane</x:v>
      </x:c>
      <x:c r="D379" s="97" t="str">
        <x:v>India</x:v>
      </x:c>
      <x:c r="E379" s="98" t="n">
        <x:v>7.425821353907244</x:v>
      </x:c>
      <x:c r="F379" s="99" t="n">
        <x:v>638.6595928762517</x:v>
      </x:c>
      <x:c r="G379" s="100" t="str">
        <x:f>XLOOKUP(D379,'Reference Tables'!$A$4:$A$23,'Reference Tables'!$B$4:$B$23,"Other")</x:f>
        <x:v>Asia Pacific</x:v>
      </x:c>
      <x:c r="H379" s="100" t="str">
        <x:f>VLOOKUP(G379,'Reference Tables'!$I$4:$J$9,2,FALSE)</x:f>
        <x:v>High</x:v>
      </x:c>
      <x:c r="I379" s="101" t="n">
        <x:f>F379*'Inputs &amp; Guide'!$B$4*XLOOKUP(D379,'Reference Tables'!$A$4:$A$23,'Reference Tables'!$C$4:$C$23,0.75)</x:f>
        <x:v>92.98883672278225</x:v>
      </x:c>
      <x:c r="J379" s="102" t="n">
        <x:f>XLOOKUP(C379,'Reference Tables'!$E$4:$E$12,'Reference Tables'!$F$4:$F$12,0.05)</x:f>
        <x:v>0.18</x:v>
      </x:c>
      <x:c r="K379" s="103" t="n">
        <x:f>MIN(I379,F379*J379)</x:f>
        <x:v>92.98883672278225</x:v>
      </x:c>
      <x:c r="L379" s="103" t="n">
        <x:f>'Inputs &amp; Guide'!$B$5</x:f>
        <x:v>15</x:v>
      </x:c>
      <x:c r="M379" s="103" t="n">
        <x:f>I379*'Inputs &amp; Guide'!$B$6</x:f>
        <x:v>51.143860197530245</x:v>
      </x:c>
      <x:c r="N379" s="103" t="n">
        <x:f>MAX(0,MIN(K379-L379,M379))</x:f>
        <x:v>51.143860197530245</x:v>
      </x:c>
      <x:c r="O379" s="103" t="n">
        <x:f>MAX(0,N379-'Inputs &amp; Guide'!$B$7)</x:f>
        <x:v>0</x:v>
      </x:c>
      <x:c r="P379" s="103" t="n">
        <x:f>N379-O379</x:f>
        <x:v>51.143860197530245</x:v>
      </x:c>
      <x:c r="Q379" s="103" t="n">
        <x:f>I379*'Inputs &amp; Guide'!$B$8</x:f>
        <x:v>1.6737990610100804</x:v>
      </x:c>
      <x:c r="R379" s="104" t="n">
        <x:f>IFERROR(P379/Q379,0)</x:f>
        <x:v>30.55555555555556</x:v>
      </x:c>
      <x:c r="S379" s="105" t="n">
        <x:f>ROUND(E379*XLOOKUP(C379,'Reference Tables'!$E$4:$E$12,'Reference Tables'!$G$4:$G$12,1),1)</x:f>
        <x:v>10.4</x:v>
      </x:c>
      <x:c r="T379" s="106" t="str">
        <x:f>IF(R379&gt;='Inputs &amp; Guide'!$B$9,"HIGH",IF(R379&gt;=0.45,"WATCH","NORMAL"))</x:f>
        <x:v>HIGH</x:v>
      </x:c>
    </x:row>
    <x:row r="380">
      <x:c r="A380" s="95" t="n">
        <x:v>3009</x:v>
      </x:c>
      <x:c r="B380" s="96" t="n">
        <x:v>45417.104166666664</x:v>
      </x:c>
      <x:c r="C380" s="97" t="str">
        <x:v>Tornado</x:v>
      </x:c>
      <x:c r="D380" s="97" t="str">
        <x:v>India</x:v>
      </x:c>
      <x:c r="E380" s="98" t="n">
        <x:v>2.3973542094160964</x:v>
      </x:c>
      <x:c r="F380" s="99" t="n">
        <x:v>55.956694944271554</x:v>
      </x:c>
      <x:c r="G380" s="100" t="str">
        <x:f>XLOOKUP(D380,'Reference Tables'!$A$4:$A$23,'Reference Tables'!$B$4:$B$23,"Other")</x:f>
        <x:v>Asia Pacific</x:v>
      </x:c>
      <x:c r="H380" s="100" t="str">
        <x:f>VLOOKUP(G380,'Reference Tables'!$I$4:$J$9,2,FALSE)</x:f>
        <x:v>High</x:v>
      </x:c>
      <x:c r="I380" s="101" t="n">
        <x:f>F380*'Inputs &amp; Guide'!$B$4*XLOOKUP(D380,'Reference Tables'!$A$4:$A$23,'Reference Tables'!$C$4:$C$23,0.75)</x:f>
        <x:v>8.14729478388594</x:v>
      </x:c>
      <x:c r="J380" s="102" t="n">
        <x:f>XLOOKUP(C380,'Reference Tables'!$E$4:$E$12,'Reference Tables'!$F$4:$F$12,0.05)</x:f>
        <x:v>0.09</x:v>
      </x:c>
      <x:c r="K380" s="103" t="n">
        <x:f>MIN(I380,F380*J380)</x:f>
        <x:v>5.036102544984439</x:v>
      </x:c>
      <x:c r="L380" s="103" t="n">
        <x:f>'Inputs &amp; Guide'!$B$5</x:f>
        <x:v>15</x:v>
      </x:c>
      <x:c r="M380" s="103" t="n">
        <x:f>I380*'Inputs &amp; Guide'!$B$6</x:f>
        <x:v>4.481012131137267</x:v>
      </x:c>
      <x:c r="N380" s="103" t="n">
        <x:f>MAX(0,MIN(K380-L380,M380))</x:f>
        <x:v>0</x:v>
      </x:c>
      <x:c r="O380" s="103" t="n">
        <x:f>MAX(0,N380-'Inputs &amp; Guide'!$B$7)</x:f>
        <x:v>0</x:v>
      </x:c>
      <x:c r="P380" s="103" t="n">
        <x:f>N380-O380</x:f>
        <x:v>0</x:v>
      </x:c>
      <x:c r="Q380" s="103" t="n">
        <x:f>I380*'Inputs &amp; Guide'!$B$8</x:f>
        <x:v>0.1466513061099469</x:v>
      </x:c>
      <x:c r="R380" s="104" t="n">
        <x:f>IFERROR(P380/Q380,0)</x:f>
        <x:v>0</x:v>
      </x:c>
      <x:c r="S380" s="105" t="n">
        <x:f>ROUND(E380*XLOOKUP(C380,'Reference Tables'!$E$4:$E$12,'Reference Tables'!$G$4:$G$12,1),1)</x:f>
        <x:v>2.5</x:v>
      </x:c>
      <x:c r="T380" s="106" t="str">
        <x:f>IF(R380&gt;='Inputs &amp; Guide'!$B$9,"HIGH",IF(R380&gt;=0.45,"WATCH","NORMAL"))</x:f>
        <x:v>NORMAL</x:v>
      </x:c>
    </x:row>
    <x:row r="381">
      <x:c r="A381" s="95" t="n">
        <x:v>3017</x:v>
      </x:c>
      <x:c r="B381" s="96" t="n">
        <x:v>45417.4375</x:v>
      </x:c>
      <x:c r="C381" s="97" t="str">
        <x:v>Flood</x:v>
      </x:c>
      <x:c r="D381" s="97" t="str">
        <x:v>India</x:v>
      </x:c>
      <x:c r="E381" s="98" t="n">
        <x:v>5.00531483274083</x:v>
      </x:c>
      <x:c r="F381" s="99" t="n">
        <x:v>357.33450400766276</x:v>
      </x:c>
      <x:c r="G381" s="100" t="str">
        <x:f>XLOOKUP(D381,'Reference Tables'!$A$4:$A$23,'Reference Tables'!$B$4:$B$23,"Other")</x:f>
        <x:v>Asia Pacific</x:v>
      </x:c>
      <x:c r="H381" s="100" t="str">
        <x:f>VLOOKUP(G381,'Reference Tables'!$I$4:$J$9,2,FALSE)</x:f>
        <x:v>High</x:v>
      </x:c>
      <x:c r="I381" s="101" t="n">
        <x:f>F381*'Inputs &amp; Guide'!$B$4*XLOOKUP(D381,'Reference Tables'!$A$4:$A$23,'Reference Tables'!$C$4:$C$23,0.75)</x:f>
        <x:v>52.0279037835157</x:v>
      </x:c>
      <x:c r="J381" s="102" t="n">
        <x:f>XLOOKUP(C381,'Reference Tables'!$E$4:$E$12,'Reference Tables'!$F$4:$F$12,0.05)</x:f>
        <x:v>0.12</x:v>
      </x:c>
      <x:c r="K381" s="103" t="n">
        <x:f>MIN(I381,F381*J381)</x:f>
        <x:v>42.88014048091953</x:v>
      </x:c>
      <x:c r="L381" s="103" t="n">
        <x:f>'Inputs &amp; Guide'!$B$5</x:f>
        <x:v>15</x:v>
      </x:c>
      <x:c r="M381" s="103" t="n">
        <x:f>I381*'Inputs &amp; Guide'!$B$6</x:f>
        <x:v>28.615347080933635</x:v>
      </x:c>
      <x:c r="N381" s="103" t="n">
        <x:f>MAX(0,MIN(K381-L381,M381))</x:f>
        <x:v>27.88014048091953</x:v>
      </x:c>
      <x:c r="O381" s="103" t="n">
        <x:f>MAX(0,N381-'Inputs &amp; Guide'!$B$7)</x:f>
        <x:v>0</x:v>
      </x:c>
      <x:c r="P381" s="103" t="n">
        <x:f>N381-O381</x:f>
        <x:v>27.88014048091953</x:v>
      </x:c>
      <x:c r="Q381" s="103" t="n">
        <x:f>I381*'Inputs &amp; Guide'!$B$8</x:f>
        <x:v>0.9365022681032825</x:v>
      </x:c>
      <x:c r="R381" s="104" t="n">
        <x:f>IFERROR(P381/Q381,0)</x:f>
        <x:v>29.77049968857604</x:v>
      </x:c>
      <x:c r="S381" s="105" t="n">
        <x:f>ROUND(E381*XLOOKUP(C381,'Reference Tables'!$E$4:$E$12,'Reference Tables'!$G$4:$G$12,1),1)</x:f>
        <x:v>6.3</x:v>
      </x:c>
      <x:c r="T381" s="106" t="str">
        <x:f>IF(R381&gt;='Inputs &amp; Guide'!$B$9,"HIGH",IF(R381&gt;=0.45,"WATCH","NORMAL"))</x:f>
        <x:v>HIGH</x:v>
      </x:c>
    </x:row>
    <x:row r="382">
      <x:c r="A382" s="95" t="n">
        <x:v>3025</x:v>
      </x:c>
      <x:c r="B382" s="96" t="n">
        <x:v>45418</x:v>
      </x:c>
      <x:c r="C382" s="97" t="str">
        <x:v>Earthquake</x:v>
      </x:c>
      <x:c r="D382" s="97" t="str">
        <x:v>Indonesia</x:v>
      </x:c>
      <x:c r="E382" s="98" t="n">
        <x:v>3.583958916642182</x:v>
      </x:c>
      <x:c r="F382" s="99" t="n">
        <x:v>373.9244403691784</x:v>
      </x:c>
      <x:c r="G382" s="100" t="str">
        <x:f>XLOOKUP(D382,'Reference Tables'!$A$4:$A$23,'Reference Tables'!$B$4:$B$23,"Other")</x:f>
        <x:v>Asia Pacific</x:v>
      </x:c>
      <x:c r="H382" s="100" t="str">
        <x:f>VLOOKUP(G382,'Reference Tables'!$I$4:$J$9,2,FALSE)</x:f>
        <x:v>High</x:v>
      </x:c>
      <x:c r="I382" s="101" t="n">
        <x:f>F382*'Inputs &amp; Guide'!$B$4*XLOOKUP(D382,'Reference Tables'!$A$4:$A$23,'Reference Tables'!$C$4:$C$23,0.75)</x:f>
        <x:v>61.622747772840604</x:v>
      </x:c>
      <x:c r="J382" s="102" t="n">
        <x:f>XLOOKUP(C382,'Reference Tables'!$E$4:$E$12,'Reference Tables'!$F$4:$F$12,0.05)</x:f>
        <x:v>0.14</x:v>
      </x:c>
      <x:c r="K382" s="103" t="n">
        <x:f>MIN(I382,F382*J382)</x:f>
        <x:v>52.34942165168498</x:v>
      </x:c>
      <x:c r="L382" s="103" t="n">
        <x:f>'Inputs &amp; Guide'!$B$5</x:f>
        <x:v>15</x:v>
      </x:c>
      <x:c r="M382" s="103" t="n">
        <x:f>I382*'Inputs &amp; Guide'!$B$6</x:f>
        <x:v>33.89251127506233</x:v>
      </x:c>
      <x:c r="N382" s="103" t="n">
        <x:f>MAX(0,MIN(K382-L382,M382))</x:f>
        <x:v>33.89251127506233</x:v>
      </x:c>
      <x:c r="O382" s="103" t="n">
        <x:f>MAX(0,N382-'Inputs &amp; Guide'!$B$7)</x:f>
        <x:v>0</x:v>
      </x:c>
      <x:c r="P382" s="103" t="n">
        <x:f>N382-O382</x:f>
        <x:v>33.89251127506233</x:v>
      </x:c>
      <x:c r="Q382" s="103" t="n">
        <x:f>I382*'Inputs &amp; Guide'!$B$8</x:f>
        <x:v>1.1092094599111308</x:v>
      </x:c>
      <x:c r="R382" s="104" t="n">
        <x:f>IFERROR(P382/Q382,0)</x:f>
        <x:v>30.555555555555557</x:v>
      </x:c>
      <x:c r="S382" s="105" t="n">
        <x:f>ROUND(E382*XLOOKUP(C382,'Reference Tables'!$E$4:$E$12,'Reference Tables'!$G$4:$G$12,1),1)</x:f>
        <x:v>5.4</x:v>
      </x:c>
      <x:c r="T382" s="106" t="str">
        <x:f>IF(R382&gt;='Inputs &amp; Guide'!$B$9,"HIGH",IF(R382&gt;=0.45,"WATCH","NORMAL"))</x:f>
        <x:v>HIGH</x:v>
      </x:c>
    </x:row>
    <x:row r="383">
      <x:c r="A383" s="95" t="n">
        <x:v>3033</x:v>
      </x:c>
      <x:c r="B383" s="96" t="n">
        <x:v>45418.104166666664</x:v>
      </x:c>
      <x:c r="C383" s="97" t="str">
        <x:v>Wildfire</x:v>
      </x:c>
      <x:c r="D383" s="97" t="str">
        <x:v>Brazil</x:v>
      </x:c>
      <x:c r="E383" s="98" t="n">
        <x:v>3.2250404066230205</x:v>
      </x:c>
      <x:c r="F383" s="99" t="n">
        <x:v>432.3906911481323</x:v>
      </x:c>
      <x:c r="G383" s="100" t="str">
        <x:f>XLOOKUP(D383,'Reference Tables'!$A$4:$A$23,'Reference Tables'!$B$4:$B$23,"Other")</x:f>
        <x:v>Latin America</x:v>
      </x:c>
      <x:c r="H383" s="100" t="str">
        <x:f>VLOOKUP(G383,'Reference Tables'!$I$4:$J$9,2,FALSE)</x:f>
        <x:v>Moderate</x:v>
      </x:c>
      <x:c r="I383" s="101" t="n">
        <x:f>F383*'Inputs &amp; Guide'!$B$4*XLOOKUP(D383,'Reference Tables'!$A$4:$A$23,'Reference Tables'!$C$4:$C$23,0.75)</x:f>
        <x:v>56.72965867863496</x:v>
      </x:c>
      <x:c r="J383" s="102" t="n">
        <x:f>XLOOKUP(C383,'Reference Tables'!$E$4:$E$12,'Reference Tables'!$F$4:$F$12,0.05)</x:f>
        <x:v>0.1</x:v>
      </x:c>
      <x:c r="K383" s="103" t="n">
        <x:f>MIN(I383,F383*J383)</x:f>
        <x:v>43.23906911481323</x:v>
      </x:c>
      <x:c r="L383" s="103" t="n">
        <x:f>'Inputs &amp; Guide'!$B$5</x:f>
        <x:v>15</x:v>
      </x:c>
      <x:c r="M383" s="103" t="n">
        <x:f>I383*'Inputs &amp; Guide'!$B$6</x:f>
        <x:v>31.201312273249233</x:v>
      </x:c>
      <x:c r="N383" s="103" t="n">
        <x:f>MAX(0,MIN(K383-L383,M383))</x:f>
        <x:v>28.239069114813233</x:v>
      </x:c>
      <x:c r="O383" s="103" t="n">
        <x:f>MAX(0,N383-'Inputs &amp; Guide'!$B$7)</x:f>
        <x:v>0</x:v>
      </x:c>
      <x:c r="P383" s="103" t="n">
        <x:f>N383-O383</x:f>
        <x:v>28.239069114813233</x:v>
      </x:c>
      <x:c r="Q383" s="103" t="n">
        <x:f>I383*'Inputs &amp; Guide'!$B$8</x:f>
        <x:v>1.0211338562154293</x:v>
      </x:c>
      <x:c r="R383" s="104" t="n">
        <x:f>IFERROR(P383/Q383,0)</x:f>
        <x:v>27.654620344754896</x:v>
      </x:c>
      <x:c r="S383" s="105" t="n">
        <x:f>ROUND(E383*XLOOKUP(C383,'Reference Tables'!$E$4:$E$12,'Reference Tables'!$G$4:$G$12,1),1)</x:f>
        <x:v>3.7</x:v>
      </x:c>
      <x:c r="T383" s="106" t="str">
        <x:f>IF(R383&gt;='Inputs &amp; Guide'!$B$9,"HIGH",IF(R383&gt;=0.45,"WATCH","NORMAL"))</x:f>
        <x:v>HIGH</x:v>
      </x:c>
    </x:row>
    <x:row r="384">
      <x:c r="A384" s="95" t="n">
        <x:v>3041</x:v>
      </x:c>
      <x:c r="B384" s="96" t="n">
        <x:v>45418.4375</x:v>
      </x:c>
      <x:c r="C384" s="97" t="str">
        <x:v>Tornado</x:v>
      </x:c>
      <x:c r="D384" s="97" t="str">
        <x:v>USA</x:v>
      </x:c>
      <x:c r="E384" s="98" t="n">
        <x:v>7.07909996674416</x:v>
      </x:c>
      <x:c r="F384" s="99" t="n">
        <x:v>978.1414609563433</x:v>
      </x:c>
      <x:c r="G384" s="100" t="str">
        <x:f>XLOOKUP(D384,'Reference Tables'!$A$4:$A$23,'Reference Tables'!$B$4:$B$23,"Other")</x:f>
        <x:v>Other</x:v>
      </x:c>
      <x:c r="H384" s="100" t="str">
        <x:f>VLOOKUP(G384,'Reference Tables'!$I$4:$J$9,2,FALSE)</x:f>
        <x:v>Moderate</x:v>
      </x:c>
      <x:c r="I384" s="101" t="n">
        <x:f>F384*'Inputs &amp; Guide'!$B$4*XLOOKUP(D384,'Reference Tables'!$A$4:$A$23,'Reference Tables'!$C$4:$C$23,0.75)</x:f>
        <x:v>117.37697531476118</x:v>
      </x:c>
      <x:c r="J384" s="102" t="n">
        <x:f>XLOOKUP(C384,'Reference Tables'!$E$4:$E$12,'Reference Tables'!$F$4:$F$12,0.05)</x:f>
        <x:v>0.09</x:v>
      </x:c>
      <x:c r="K384" s="103" t="n">
        <x:f>MIN(I384,F384*J384)</x:f>
        <x:v>88.03273148607089</x:v>
      </x:c>
      <x:c r="L384" s="103" t="n">
        <x:f>'Inputs &amp; Guide'!$B$5</x:f>
        <x:v>15</x:v>
      </x:c>
      <x:c r="M384" s="103" t="n">
        <x:f>I384*'Inputs &amp; Guide'!$B$6</x:f>
        <x:v>64.55733642311866</x:v>
      </x:c>
      <x:c r="N384" s="103" t="n">
        <x:f>MAX(0,MIN(K384-L384,M384))</x:f>
        <x:v>64.55733642311866</x:v>
      </x:c>
      <x:c r="O384" s="103" t="n">
        <x:f>MAX(0,N384-'Inputs &amp; Guide'!$B$7)</x:f>
        <x:v>4.557336423118656</x:v>
      </x:c>
      <x:c r="P384" s="103" t="n">
        <x:f>N384-O384</x:f>
        <x:v>60</x:v>
      </x:c>
      <x:c r="Q384" s="103" t="n">
        <x:f>I384*'Inputs &amp; Guide'!$B$8</x:f>
        <x:v>2.112785555665701</x:v>
      </x:c>
      <x:c r="R384" s="104" t="n">
        <x:f>IFERROR(P384/Q384,0)</x:f>
        <x:v>28.398528113325288</x:v>
      </x:c>
      <x:c r="S384" s="105" t="n">
        <x:f>ROUND(E384*XLOOKUP(C384,'Reference Tables'!$E$4:$E$12,'Reference Tables'!$G$4:$G$12,1),1)</x:f>
        <x:v>7.4</x:v>
      </x:c>
      <x:c r="T384" s="106" t="str">
        <x:f>IF(R384&gt;='Inputs &amp; Guide'!$B$9,"HIGH",IF(R384&gt;=0.45,"WATCH","NORMAL"))</x:f>
        <x:v>HIGH</x:v>
      </x:c>
    </x:row>
    <x:row r="385">
      <x:c r="A385" s="95" t="n">
        <x:v>3049</x:v>
      </x:c>
      <x:c r="B385" s="96" t="n">
        <x:v>45419</x:v>
      </x:c>
      <x:c r="C385" s="97" t="str">
        <x:v>Earthquake</x:v>
      </x:c>
      <x:c r="D385" s="97" t="str">
        <x:v>China</x:v>
      </x:c>
      <x:c r="E385" s="98" t="n">
        <x:v>2.085426773532736</x:v>
      </x:c>
      <x:c r="F385" s="99" t="n">
        <x:v>827.9601431735307</x:v>
      </x:c>
      <x:c r="G385" s="100" t="str">
        <x:f>XLOOKUP(D385,'Reference Tables'!$A$4:$A$23,'Reference Tables'!$B$4:$B$23,"Other")</x:f>
        <x:v>Asia Pacific</x:v>
      </x:c>
      <x:c r="H385" s="100" t="str">
        <x:f>VLOOKUP(G385,'Reference Tables'!$I$4:$J$9,2,FALSE)</x:f>
        <x:v>High</x:v>
      </x:c>
      <x:c r="I385" s="101" t="n">
        <x:f>F385*'Inputs &amp; Guide'!$B$4*XLOOKUP(D385,'Reference Tables'!$A$4:$A$23,'Reference Tables'!$C$4:$C$23,0.75)</x:f>
        <x:v>143.0715127403861</x:v>
      </x:c>
      <x:c r="J385" s="102" t="n">
        <x:f>XLOOKUP(C385,'Reference Tables'!$E$4:$E$12,'Reference Tables'!$F$4:$F$12,0.05)</x:f>
        <x:v>0.14</x:v>
      </x:c>
      <x:c r="K385" s="103" t="n">
        <x:f>MIN(I385,F385*J385)</x:f>
        <x:v>115.9144200442943</x:v>
      </x:c>
      <x:c r="L385" s="103" t="n">
        <x:f>'Inputs &amp; Guide'!$B$5</x:f>
        <x:v>15</x:v>
      </x:c>
      <x:c r="M385" s="103" t="n">
        <x:f>I385*'Inputs &amp; Guide'!$B$6</x:f>
        <x:v>78.68933200721237</x:v>
      </x:c>
      <x:c r="N385" s="103" t="n">
        <x:f>MAX(0,MIN(K385-L385,M385))</x:f>
        <x:v>78.68933200721237</x:v>
      </x:c>
      <x:c r="O385" s="103" t="n">
        <x:f>MAX(0,N385-'Inputs &amp; Guide'!$B$7)</x:f>
        <x:v>18.68933200721237</x:v>
      </x:c>
      <x:c r="P385" s="103" t="n">
        <x:f>N385-O385</x:f>
        <x:v>60</x:v>
      </x:c>
      <x:c r="Q385" s="103" t="n">
        <x:f>I385*'Inputs &amp; Guide'!$B$8</x:f>
        <x:v>2.5752872293269498</x:v>
      </x:c>
      <x:c r="R385" s="104" t="n">
        <x:f>IFERROR(P385/Q385,0)</x:f>
        <x:v>23.298372048263126</x:v>
      </x:c>
      <x:c r="S385" s="105" t="n">
        <x:f>ROUND(E385*XLOOKUP(C385,'Reference Tables'!$E$4:$E$12,'Reference Tables'!$G$4:$G$12,1),1)</x:f>
        <x:v>3.1</x:v>
      </x:c>
      <x:c r="T385" s="106" t="str">
        <x:f>IF(R385&gt;='Inputs &amp; Guide'!$B$9,"HIGH",IF(R385&gt;=0.45,"WATCH","NORMAL"))</x:f>
        <x:v>HIGH</x:v>
      </x:c>
    </x:row>
    <x:row r="386">
      <x:c r="A386" s="95" t="n">
        <x:v>3057</x:v>
      </x:c>
      <x:c r="B386" s="96" t="n">
        <x:v>45419.104166666664</x:v>
      </x:c>
      <x:c r="C386" s="97" t="str">
        <x:v>Tornado</x:v>
      </x:c>
      <x:c r="D386" s="97" t="str">
        <x:v>USA</x:v>
      </x:c>
      <x:c r="E386" s="98" t="n">
        <x:v>2.5638751125004244</x:v>
      </x:c>
      <x:c r="F386" s="99" t="n">
        <x:v>305.39434815583115</x:v>
      </x:c>
      <x:c r="G386" s="100" t="str">
        <x:f>XLOOKUP(D386,'Reference Tables'!$A$4:$A$23,'Reference Tables'!$B$4:$B$23,"Other")</x:f>
        <x:v>Other</x:v>
      </x:c>
      <x:c r="H386" s="100" t="str">
        <x:f>VLOOKUP(G386,'Reference Tables'!$I$4:$J$9,2,FALSE)</x:f>
        <x:v>Moderate</x:v>
      </x:c>
      <x:c r="I386" s="101" t="n">
        <x:f>F386*'Inputs &amp; Guide'!$B$4*XLOOKUP(D386,'Reference Tables'!$A$4:$A$23,'Reference Tables'!$C$4:$C$23,0.75)</x:f>
        <x:v>36.64732177869974</x:v>
      </x:c>
      <x:c r="J386" s="102" t="n">
        <x:f>XLOOKUP(C386,'Reference Tables'!$E$4:$E$12,'Reference Tables'!$F$4:$F$12,0.05)</x:f>
        <x:v>0.09</x:v>
      </x:c>
      <x:c r="K386" s="103" t="n">
        <x:f>MIN(I386,F386*J386)</x:f>
        <x:v>27.485491334024804</x:v>
      </x:c>
      <x:c r="L386" s="103" t="n">
        <x:f>'Inputs &amp; Guide'!$B$5</x:f>
        <x:v>15</x:v>
      </x:c>
      <x:c r="M386" s="103" t="n">
        <x:f>I386*'Inputs &amp; Guide'!$B$6</x:f>
        <x:v>20.15602697828486</x:v>
      </x:c>
      <x:c r="N386" s="103" t="n">
        <x:f>MAX(0,MIN(K386-L386,M386))</x:f>
        <x:v>12.485491334024804</x:v>
      </x:c>
      <x:c r="O386" s="103" t="n">
        <x:f>MAX(0,N386-'Inputs &amp; Guide'!$B$7)</x:f>
        <x:v>0</x:v>
      </x:c>
      <x:c r="P386" s="103" t="n">
        <x:f>N386-O386</x:f>
        <x:v>12.485491334024804</x:v>
      </x:c>
      <x:c r="Q386" s="103" t="n">
        <x:f>I386*'Inputs &amp; Guide'!$B$8</x:f>
        <x:v>0.6596517920165953</x:v>
      </x:c>
      <x:c r="R386" s="104" t="n">
        <x:f>IFERROR(P386/Q386,0)</x:f>
        <x:v>18.927396976904898</x:v>
      </x:c>
      <x:c r="S386" s="105" t="n">
        <x:f>ROUND(E386*XLOOKUP(C386,'Reference Tables'!$E$4:$E$12,'Reference Tables'!$G$4:$G$12,1),1)</x:f>
        <x:v>2.7</x:v>
      </x:c>
      <x:c r="T386" s="106" t="str">
        <x:f>IF(R386&gt;='Inputs &amp; Guide'!$B$9,"HIGH",IF(R386&gt;=0.45,"WATCH","NORMAL"))</x:f>
        <x:v>HIGH</x:v>
      </x:c>
    </x:row>
    <x:row r="387">
      <x:c r="A387" s="95" t="n">
        <x:v>3065</x:v>
      </x:c>
      <x:c r="B387" s="96" t="n">
        <x:v>45419.4375</x:v>
      </x:c>
      <x:c r="C387" s="97" t="str">
        <x:v>Wildfire</x:v>
      </x:c>
      <x:c r="D387" s="97" t="str">
        <x:v>China</x:v>
      </x:c>
      <x:c r="E387" s="98" t="n">
        <x:v>9.09079752845865</x:v>
      </x:c>
      <x:c r="F387" s="99" t="n">
        <x:v>412.3243574069738</x:v>
      </x:c>
      <x:c r="G387" s="100" t="str">
        <x:f>XLOOKUP(D387,'Reference Tables'!$A$4:$A$23,'Reference Tables'!$B$4:$B$23,"Other")</x:f>
        <x:v>Asia Pacific</x:v>
      </x:c>
      <x:c r="H387" s="100" t="str">
        <x:f>VLOOKUP(G387,'Reference Tables'!$I$4:$J$9,2,FALSE)</x:f>
        <x:v>High</x:v>
      </x:c>
      <x:c r="I387" s="101" t="n">
        <x:f>F387*'Inputs &amp; Guide'!$B$4*XLOOKUP(D387,'Reference Tables'!$A$4:$A$23,'Reference Tables'!$C$4:$C$23,0.75)</x:f>
        <x:v>71.24964895992508</x:v>
      </x:c>
      <x:c r="J387" s="102" t="n">
        <x:f>XLOOKUP(C387,'Reference Tables'!$E$4:$E$12,'Reference Tables'!$F$4:$F$12,0.05)</x:f>
        <x:v>0.1</x:v>
      </x:c>
      <x:c r="K387" s="103" t="n">
        <x:f>MIN(I387,F387*J387)</x:f>
        <x:v>41.23243574069738</x:v>
      </x:c>
      <x:c r="L387" s="103" t="n">
        <x:f>'Inputs &amp; Guide'!$B$5</x:f>
        <x:v>15</x:v>
      </x:c>
      <x:c r="M387" s="103" t="n">
        <x:f>I387*'Inputs &amp; Guide'!$B$6</x:f>
        <x:v>39.1873069279588</x:v>
      </x:c>
      <x:c r="N387" s="103" t="n">
        <x:f>MAX(0,MIN(K387-L387,M387))</x:f>
        <x:v>26.232435740697383</x:v>
      </x:c>
      <x:c r="O387" s="103" t="n">
        <x:f>MAX(0,N387-'Inputs &amp; Guide'!$B$7)</x:f>
        <x:v>0</x:v>
      </x:c>
      <x:c r="P387" s="103" t="n">
        <x:f>N387-O387</x:f>
        <x:v>26.232435740697383</x:v>
      </x:c>
      <x:c r="Q387" s="103" t="n">
        <x:f>I387*'Inputs &amp; Guide'!$B$8</x:f>
        <x:v>1.2824936812786514</x:v>
      </x:c>
      <x:c r="R387" s="104" t="n">
        <x:f>IFERROR(P387/Q387,0)</x:f>
        <x:v>20.454241703977473</x:v>
      </x:c>
      <x:c r="S387" s="105" t="n">
        <x:f>ROUND(E387*XLOOKUP(C387,'Reference Tables'!$E$4:$E$12,'Reference Tables'!$G$4:$G$12,1),1)</x:f>
        <x:v>10.5</x:v>
      </x:c>
      <x:c r="T387" s="106" t="str">
        <x:f>IF(R387&gt;='Inputs &amp; Guide'!$B$9,"HIGH",IF(R387&gt;=0.45,"WATCH","NORMAL"))</x:f>
        <x:v>HIGH</x:v>
      </x:c>
    </x:row>
    <x:row r="388">
      <x:c r="A388" s="95" t="n">
        <x:v>3073</x:v>
      </x:c>
      <x:c r="B388" s="96" t="n">
        <x:v>45420</x:v>
      </x:c>
      <x:c r="C388" s="97" t="str">
        <x:v>Tornado</x:v>
      </x:c>
      <x:c r="D388" s="97" t="str">
        <x:v>India</x:v>
      </x:c>
      <x:c r="E388" s="98" t="n">
        <x:v>2.276607576071803</x:v>
      </x:c>
      <x:c r="F388" s="99" t="n">
        <x:v>345.5744107580868</x:v>
      </x:c>
      <x:c r="G388" s="100" t="str">
        <x:f>XLOOKUP(D388,'Reference Tables'!$A$4:$A$23,'Reference Tables'!$B$4:$B$23,"Other")</x:f>
        <x:v>Asia Pacific</x:v>
      </x:c>
      <x:c r="H388" s="100" t="str">
        <x:f>VLOOKUP(G388,'Reference Tables'!$I$4:$J$9,2,FALSE)</x:f>
        <x:v>High</x:v>
      </x:c>
      <x:c r="I388" s="101" t="n">
        <x:f>F388*'Inputs &amp; Guide'!$B$4*XLOOKUP(D388,'Reference Tables'!$A$4:$A$23,'Reference Tables'!$C$4:$C$23,0.75)</x:f>
        <x:v>50.31563420637744</x:v>
      </x:c>
      <x:c r="J388" s="102" t="n">
        <x:f>XLOOKUP(C388,'Reference Tables'!$E$4:$E$12,'Reference Tables'!$F$4:$F$12,0.05)</x:f>
        <x:v>0.09</x:v>
      </x:c>
      <x:c r="K388" s="103" t="n">
        <x:f>MIN(I388,F388*J388)</x:f>
        <x:v>31.10169696822781</x:v>
      </x:c>
      <x:c r="L388" s="103" t="n">
        <x:f>'Inputs &amp; Guide'!$B$5</x:f>
        <x:v>15</x:v>
      </x:c>
      <x:c r="M388" s="103" t="n">
        <x:f>I388*'Inputs &amp; Guide'!$B$6</x:f>
        <x:v>27.673598813507592</x:v>
      </x:c>
      <x:c r="N388" s="103" t="n">
        <x:f>MAX(0,MIN(K388-L388,M388))</x:f>
        <x:v>16.10169696822781</x:v>
      </x:c>
      <x:c r="O388" s="103" t="n">
        <x:f>MAX(0,N388-'Inputs &amp; Guide'!$B$7)</x:f>
        <x:v>0</x:v>
      </x:c>
      <x:c r="P388" s="103" t="n">
        <x:f>N388-O388</x:f>
        <x:v>16.10169696822781</x:v>
      </x:c>
      <x:c r="Q388" s="103" t="n">
        <x:f>I388*'Inputs &amp; Guide'!$B$8</x:f>
        <x:v>0.9056814157147939</x:v>
      </x:c>
      <x:c r="R388" s="104" t="n">
        <x:f>IFERROR(P388/Q388,0)</x:f>
        <x:v>17.778544076141625</x:v>
      </x:c>
      <x:c r="S388" s="105" t="n">
        <x:f>ROUND(E388*XLOOKUP(C388,'Reference Tables'!$E$4:$E$12,'Reference Tables'!$G$4:$G$12,1),1)</x:f>
        <x:v>2.4</x:v>
      </x:c>
      <x:c r="T388" s="106" t="str">
        <x:f>IF(R388&gt;='Inputs &amp; Guide'!$B$9,"HIGH",IF(R388&gt;=0.45,"WATCH","NORMAL"))</x:f>
        <x:v>HIGH</x:v>
      </x:c>
    </x:row>
    <x:row r="389">
      <x:c r="A389" s="95" t="n">
        <x:v>3081</x:v>
      </x:c>
      <x:c r="B389" s="96" t="n">
        <x:v>45420.104166666664</x:v>
      </x:c>
      <x:c r="C389" s="97" t="str">
        <x:v>Wildfire</x:v>
      </x:c>
      <x:c r="D389" s="97" t="str">
        <x:v>Indonesia</x:v>
      </x:c>
      <x:c r="E389" s="98" t="n">
        <x:v>5.798185100158132</x:v>
      </x:c>
      <x:c r="F389" s="99" t="n">
        <x:v>884.4348489942845</x:v>
      </x:c>
      <x:c r="G389" s="100" t="str">
        <x:f>XLOOKUP(D389,'Reference Tables'!$A$4:$A$23,'Reference Tables'!$B$4:$B$23,"Other")</x:f>
        <x:v>Asia Pacific</x:v>
      </x:c>
      <x:c r="H389" s="100" t="str">
        <x:f>VLOOKUP(G389,'Reference Tables'!$I$4:$J$9,2,FALSE)</x:f>
        <x:v>High</x:v>
      </x:c>
      <x:c r="I389" s="101" t="n">
        <x:f>F389*'Inputs &amp; Guide'!$B$4*XLOOKUP(D389,'Reference Tables'!$A$4:$A$23,'Reference Tables'!$C$4:$C$23,0.75)</x:f>
        <x:v>145.7548631142581</x:v>
      </x:c>
      <x:c r="J389" s="102" t="n">
        <x:f>XLOOKUP(C389,'Reference Tables'!$E$4:$E$12,'Reference Tables'!$F$4:$F$12,0.05)</x:f>
        <x:v>0.1</x:v>
      </x:c>
      <x:c r="K389" s="103" t="n">
        <x:f>MIN(I389,F389*J389)</x:f>
        <x:v>88.44348489942846</x:v>
      </x:c>
      <x:c r="L389" s="103" t="n">
        <x:f>'Inputs &amp; Guide'!$B$5</x:f>
        <x:v>15</x:v>
      </x:c>
      <x:c r="M389" s="103" t="n">
        <x:f>I389*'Inputs &amp; Guide'!$B$6</x:f>
        <x:v>80.16517471284196</x:v>
      </x:c>
      <x:c r="N389" s="103" t="n">
        <x:f>MAX(0,MIN(K389-L389,M389))</x:f>
        <x:v>73.44348489942846</x:v>
      </x:c>
      <x:c r="O389" s="103" t="n">
        <x:f>MAX(0,N389-'Inputs &amp; Guide'!$B$7)</x:f>
        <x:v>13.443484899428455</x:v>
      </x:c>
      <x:c r="P389" s="103" t="n">
        <x:f>N389-O389</x:f>
        <x:v>60</x:v>
      </x:c>
      <x:c r="Q389" s="103" t="n">
        <x:f>I389*'Inputs &amp; Guide'!$B$8</x:f>
        <x:v>2.6235875360566454</x:v>
      </x:c>
      <x:c r="R389" s="104" t="n">
        <x:f>IFERROR(P389/Q389,0)</x:f>
        <x:v>22.869448484338488</x:v>
      </x:c>
      <x:c r="S389" s="105" t="n">
        <x:f>ROUND(E389*XLOOKUP(C389,'Reference Tables'!$E$4:$E$12,'Reference Tables'!$G$4:$G$12,1),1)</x:f>
        <x:v>6.7</x:v>
      </x:c>
      <x:c r="T389" s="106" t="str">
        <x:f>IF(R389&gt;='Inputs &amp; Guide'!$B$9,"HIGH",IF(R389&gt;=0.45,"WATCH","NORMAL"))</x:f>
        <x:v>HIGH</x:v>
      </x:c>
    </x:row>
    <x:row r="390">
      <x:c r="A390" s="95" t="n">
        <x:v>3089</x:v>
      </x:c>
      <x:c r="B390" s="96" t="n">
        <x:v>45420.4375</x:v>
      </x:c>
      <x:c r="C390" s="97" t="str">
        <x:v>Earthquake</x:v>
      </x:c>
      <x:c r="D390" s="97" t="str">
        <x:v>India</x:v>
      </x:c>
      <x:c r="E390" s="98" t="n">
        <x:v>7.468529550691511</x:v>
      </x:c>
      <x:c r="F390" s="99" t="n">
        <x:v>372.1667266053227</x:v>
      </x:c>
      <x:c r="G390" s="100" t="str">
        <x:f>XLOOKUP(D390,'Reference Tables'!$A$4:$A$23,'Reference Tables'!$B$4:$B$23,"Other")</x:f>
        <x:v>Asia Pacific</x:v>
      </x:c>
      <x:c r="H390" s="100" t="str">
        <x:f>VLOOKUP(G390,'Reference Tables'!$I$4:$J$9,2,FALSE)</x:f>
        <x:v>High</x:v>
      </x:c>
      <x:c r="I390" s="101" t="n">
        <x:f>F390*'Inputs &amp; Guide'!$B$4*XLOOKUP(D390,'Reference Tables'!$A$4:$A$23,'Reference Tables'!$C$4:$C$23,0.75)</x:f>
        <x:v>54.187475393734985</x:v>
      </x:c>
      <x:c r="J390" s="102" t="n">
        <x:f>XLOOKUP(C390,'Reference Tables'!$E$4:$E$12,'Reference Tables'!$F$4:$F$12,0.05)</x:f>
        <x:v>0.14</x:v>
      </x:c>
      <x:c r="K390" s="103" t="n">
        <x:f>MIN(I390,F390*J390)</x:f>
        <x:v>52.103341724745185</x:v>
      </x:c>
      <x:c r="L390" s="103" t="n">
        <x:f>'Inputs &amp; Guide'!$B$5</x:f>
        <x:v>15</x:v>
      </x:c>
      <x:c r="M390" s="103" t="n">
        <x:f>I390*'Inputs &amp; Guide'!$B$6</x:f>
        <x:v>29.803111466554245</x:v>
      </x:c>
      <x:c r="N390" s="103" t="n">
        <x:f>MAX(0,MIN(K390-L390,M390))</x:f>
        <x:v>29.803111466554245</x:v>
      </x:c>
      <x:c r="O390" s="103" t="n">
        <x:f>MAX(0,N390-'Inputs &amp; Guide'!$B$7)</x:f>
        <x:v>0</x:v>
      </x:c>
      <x:c r="P390" s="103" t="n">
        <x:f>N390-O390</x:f>
        <x:v>29.803111466554245</x:v>
      </x:c>
      <x:c r="Q390" s="103" t="n">
        <x:f>I390*'Inputs &amp; Guide'!$B$8</x:f>
        <x:v>0.9753745570872296</x:v>
      </x:c>
      <x:c r="R390" s="104" t="n">
        <x:f>IFERROR(P390/Q390,0)</x:f>
        <x:v>30.55555555555556</x:v>
      </x:c>
      <x:c r="S390" s="105" t="n">
        <x:f>ROUND(E390*XLOOKUP(C390,'Reference Tables'!$E$4:$E$12,'Reference Tables'!$G$4:$G$12,1),1)</x:f>
        <x:v>11.2</x:v>
      </x:c>
      <x:c r="T390" s="106" t="str">
        <x:f>IF(R390&gt;='Inputs &amp; Guide'!$B$9,"HIGH",IF(R390&gt;=0.45,"WATCH","NORMAL"))</x:f>
        <x:v>HIGH</x:v>
      </x:c>
    </x:row>
    <x:row r="391">
      <x:c r="A391" s="95" t="n">
        <x:v>3097</x:v>
      </x:c>
      <x:c r="B391" s="96" t="n">
        <x:v>45421</x:v>
      </x:c>
      <x:c r="C391" s="97" t="str">
        <x:v>Flood</x:v>
      </x:c>
      <x:c r="D391" s="97" t="str">
        <x:v>India</x:v>
      </x:c>
      <x:c r="E391" s="98" t="n">
        <x:v>2.160591291127479</x:v>
      </x:c>
      <x:c r="F391" s="99" t="n">
        <x:v>950.0878390697738</x:v>
      </x:c>
      <x:c r="G391" s="100" t="str">
        <x:f>XLOOKUP(D391,'Reference Tables'!$A$4:$A$23,'Reference Tables'!$B$4:$B$23,"Other")</x:f>
        <x:v>Asia Pacific</x:v>
      </x:c>
      <x:c r="H391" s="100" t="str">
        <x:f>VLOOKUP(G391,'Reference Tables'!$I$4:$J$9,2,FALSE)</x:f>
        <x:v>High</x:v>
      </x:c>
      <x:c r="I391" s="101" t="n">
        <x:f>F391*'Inputs &amp; Guide'!$B$4*XLOOKUP(D391,'Reference Tables'!$A$4:$A$23,'Reference Tables'!$C$4:$C$23,0.75)</x:f>
        <x:v>138.33278936855908</x:v>
      </x:c>
      <x:c r="J391" s="102" t="n">
        <x:f>XLOOKUP(C391,'Reference Tables'!$E$4:$E$12,'Reference Tables'!$F$4:$F$12,0.05)</x:f>
        <x:v>0.12</x:v>
      </x:c>
      <x:c r="K391" s="103" t="n">
        <x:f>MIN(I391,F391*J391)</x:f>
        <x:v>114.01054068837286</x:v>
      </x:c>
      <x:c r="L391" s="103" t="n">
        <x:f>'Inputs &amp; Guide'!$B$5</x:f>
        <x:v>15</x:v>
      </x:c>
      <x:c r="M391" s="103" t="n">
        <x:f>I391*'Inputs &amp; Guide'!$B$6</x:f>
        <x:v>76.0830341527075</x:v>
      </x:c>
      <x:c r="N391" s="103" t="n">
        <x:f>MAX(0,MIN(K391-L391,M391))</x:f>
        <x:v>76.0830341527075</x:v>
      </x:c>
      <x:c r="O391" s="103" t="n">
        <x:f>MAX(0,N391-'Inputs &amp; Guide'!$B$7)</x:f>
        <x:v>16.083034152707498</x:v>
      </x:c>
      <x:c r="P391" s="103" t="n">
        <x:f>N391-O391</x:f>
        <x:v>60</x:v>
      </x:c>
      <x:c r="Q391" s="103" t="n">
        <x:f>I391*'Inputs &amp; Guide'!$B$8</x:f>
        <x:v>2.489990208634063</x:v>
      </x:c>
      <x:c r="R391" s="104" t="n">
        <x:f>IFERROR(P391/Q391,0)</x:f>
        <x:v>24.09648029616722</x:v>
      </x:c>
      <x:c r="S391" s="105" t="n">
        <x:f>ROUND(E391*XLOOKUP(C391,'Reference Tables'!$E$4:$E$12,'Reference Tables'!$G$4:$G$12,1),1)</x:f>
        <x:v>2.7</x:v>
      </x:c>
      <x:c r="T391" s="106" t="str">
        <x:f>IF(R391&gt;='Inputs &amp; Guide'!$B$9,"HIGH",IF(R391&gt;=0.45,"WATCH","NORMAL"))</x:f>
        <x:v>HIGH</x:v>
      </x:c>
    </x:row>
    <x:row r="392">
      <x:c r="A392" s="95" t="n">
        <x:v>3105</x:v>
      </x:c>
      <x:c r="B392" s="96" t="n">
        <x:v>45421.104166666664</x:v>
      </x:c>
      <x:c r="C392" s="97" t="str">
        <x:v>Wildfire</x:v>
      </x:c>
      <x:c r="D392" s="97" t="str">
        <x:v>Japan</x:v>
      </x:c>
      <x:c r="E392" s="98" t="n">
        <x:v>6.097138765161163</x:v>
      </x:c>
      <x:c r="F392" s="99" t="n">
        <x:v>339.0081749511355</x:v>
      </x:c>
      <x:c r="G392" s="100" t="str">
        <x:f>XLOOKUP(D392,'Reference Tables'!$A$4:$A$23,'Reference Tables'!$B$4:$B$23,"Other")</x:f>
        <x:v>Asia Pacific</x:v>
      </x:c>
      <x:c r="H392" s="100" t="str">
        <x:f>VLOOKUP(G392,'Reference Tables'!$I$4:$J$9,2,FALSE)</x:f>
        <x:v>High</x:v>
      </x:c>
      <x:c r="I392" s="101" t="n">
        <x:f>F392*'Inputs &amp; Guide'!$B$4*XLOOKUP(D392,'Reference Tables'!$A$4:$A$23,'Reference Tables'!$C$4:$C$23,0.75)</x:f>
        <x:v>64.00474343077438</x:v>
      </x:c>
      <x:c r="J392" s="102" t="n">
        <x:f>XLOOKUP(C392,'Reference Tables'!$E$4:$E$12,'Reference Tables'!$F$4:$F$12,0.05)</x:f>
        <x:v>0.1</x:v>
      </x:c>
      <x:c r="K392" s="103" t="n">
        <x:f>MIN(I392,F392*J392)</x:f>
        <x:v>33.90081749511355</x:v>
      </x:c>
      <x:c r="L392" s="103" t="n">
        <x:f>'Inputs &amp; Guide'!$B$5</x:f>
        <x:v>15</x:v>
      </x:c>
      <x:c r="M392" s="103" t="n">
        <x:f>I392*'Inputs &amp; Guide'!$B$6</x:f>
        <x:v>35.202608886925915</x:v>
      </x:c>
      <x:c r="N392" s="103" t="n">
        <x:f>MAX(0,MIN(K392-L392,M392))</x:f>
        <x:v>18.90081749511355</x:v>
      </x:c>
      <x:c r="O392" s="103" t="n">
        <x:f>MAX(0,N392-'Inputs &amp; Guide'!$B$7)</x:f>
        <x:v>0</x:v>
      </x:c>
      <x:c r="P392" s="103" t="n">
        <x:f>N392-O392</x:f>
        <x:v>18.90081749511355</x:v>
      </x:c>
      <x:c r="Q392" s="103" t="n">
        <x:f>I392*'Inputs &amp; Guide'!$B$8</x:f>
        <x:v>1.1520853817539387</x:v>
      </x:c>
      <x:c r="R392" s="104" t="n">
        <x:f>IFERROR(P392/Q392,0)</x:f>
        <x:v>16.40574370133825</x:v>
      </x:c>
      <x:c r="S392" s="105" t="n">
        <x:f>ROUND(E392*XLOOKUP(C392,'Reference Tables'!$E$4:$E$12,'Reference Tables'!$G$4:$G$12,1),1)</x:f>
        <x:v>7</x:v>
      </x:c>
      <x:c r="T392" s="106" t="str">
        <x:f>IF(R392&gt;='Inputs &amp; Guide'!$B$9,"HIGH",IF(R392&gt;=0.45,"WATCH","NORMAL"))</x:f>
        <x:v>HIGH</x:v>
      </x:c>
    </x:row>
    <x:row r="393">
      <x:c r="A393" s="95" t="n">
        <x:v>3113</x:v>
      </x:c>
      <x:c r="B393" s="96" t="n">
        <x:v>45421.4375</x:v>
      </x:c>
      <x:c r="C393" s="97" t="str">
        <x:v>Tornado</x:v>
      </x:c>
      <x:c r="D393" s="97" t="str">
        <x:v>USA</x:v>
      </x:c>
      <x:c r="E393" s="98" t="n">
        <x:v>6.102692931490008</x:v>
      </x:c>
      <x:c r="F393" s="99" t="n">
        <x:v>941.0228414119905</x:v>
      </x:c>
      <x:c r="G393" s="100" t="str">
        <x:f>XLOOKUP(D393,'Reference Tables'!$A$4:$A$23,'Reference Tables'!$B$4:$B$23,"Other")</x:f>
        <x:v>Other</x:v>
      </x:c>
      <x:c r="H393" s="100" t="str">
        <x:f>VLOOKUP(G393,'Reference Tables'!$I$4:$J$9,2,FALSE)</x:f>
        <x:v>Moderate</x:v>
      </x:c>
      <x:c r="I393" s="101" t="n">
        <x:f>F393*'Inputs &amp; Guide'!$B$4*XLOOKUP(D393,'Reference Tables'!$A$4:$A$23,'Reference Tables'!$C$4:$C$23,0.75)</x:f>
        <x:v>112.92274096943885</x:v>
      </x:c>
      <x:c r="J393" s="102" t="n">
        <x:f>XLOOKUP(C393,'Reference Tables'!$E$4:$E$12,'Reference Tables'!$F$4:$F$12,0.05)</x:f>
        <x:v>0.09</x:v>
      </x:c>
      <x:c r="K393" s="103" t="n">
        <x:f>MIN(I393,F393*J393)</x:f>
        <x:v>84.69205572707914</x:v>
      </x:c>
      <x:c r="L393" s="103" t="n">
        <x:f>'Inputs &amp; Guide'!$B$5</x:f>
        <x:v>15</x:v>
      </x:c>
      <x:c r="M393" s="103" t="n">
        <x:f>I393*'Inputs &amp; Guide'!$B$6</x:f>
        <x:v>62.107507533191374</x:v>
      </x:c>
      <x:c r="N393" s="103" t="n">
        <x:f>MAX(0,MIN(K393-L393,M393))</x:f>
        <x:v>62.107507533191374</x:v>
      </x:c>
      <x:c r="O393" s="103" t="n">
        <x:f>MAX(0,N393-'Inputs &amp; Guide'!$B$7)</x:f>
        <x:v>2.1075075331913737</x:v>
      </x:c>
      <x:c r="P393" s="103" t="n">
        <x:f>N393-O393</x:f>
        <x:v>60</x:v>
      </x:c>
      <x:c r="Q393" s="103" t="n">
        <x:f>I393*'Inputs &amp; Guide'!$B$8</x:f>
        <x:v>2.032609337449899</x:v>
      </x:c>
      <x:c r="R393" s="104" t="n">
        <x:f>IFERROR(P393/Q393,0)</x:f>
        <x:v>29.51870725698608</x:v>
      </x:c>
      <x:c r="S393" s="105" t="n">
        <x:f>ROUND(E393*XLOOKUP(C393,'Reference Tables'!$E$4:$E$12,'Reference Tables'!$G$4:$G$12,1),1)</x:f>
        <x:v>6.4</x:v>
      </x:c>
      <x:c r="T393" s="106" t="str">
        <x:f>IF(R393&gt;='Inputs &amp; Guide'!$B$9,"HIGH",IF(R393&gt;=0.45,"WATCH","NORMAL"))</x:f>
        <x:v>HIGH</x:v>
      </x:c>
    </x:row>
    <x:row r="394">
      <x:c r="A394" s="95" t="n">
        <x:v>3121</x:v>
      </x:c>
      <x:c r="B394" s="96" t="n">
        <x:v>45422</x:v>
      </x:c>
      <x:c r="C394" s="97" t="str">
        <x:v>Flood</x:v>
      </x:c>
      <x:c r="D394" s="97" t="str">
        <x:v>USA</x:v>
      </x:c>
      <x:c r="E394" s="98" t="n">
        <x:v>7.096928604357099</x:v>
      </x:c>
      <x:c r="F394" s="99" t="n">
        <x:v>283.892020886755</x:v>
      </x:c>
      <x:c r="G394" s="100" t="str">
        <x:f>XLOOKUP(D394,'Reference Tables'!$A$4:$A$23,'Reference Tables'!$B$4:$B$23,"Other")</x:f>
        <x:v>Other</x:v>
      </x:c>
      <x:c r="H394" s="100" t="str">
        <x:f>VLOOKUP(G394,'Reference Tables'!$I$4:$J$9,2,FALSE)</x:f>
        <x:v>Moderate</x:v>
      </x:c>
      <x:c r="I394" s="101" t="n">
        <x:f>F394*'Inputs &amp; Guide'!$B$4*XLOOKUP(D394,'Reference Tables'!$A$4:$A$23,'Reference Tables'!$C$4:$C$23,0.75)</x:f>
        <x:v>34.0670425064106</x:v>
      </x:c>
      <x:c r="J394" s="102" t="n">
        <x:f>XLOOKUP(C394,'Reference Tables'!$E$4:$E$12,'Reference Tables'!$F$4:$F$12,0.05)</x:f>
        <x:v>0.12</x:v>
      </x:c>
      <x:c r="K394" s="103" t="n">
        <x:f>MIN(I394,F394*J394)</x:f>
        <x:v>34.0670425064106</x:v>
      </x:c>
      <x:c r="L394" s="103" t="n">
        <x:f>'Inputs &amp; Guide'!$B$5</x:f>
        <x:v>15</x:v>
      </x:c>
      <x:c r="M394" s="103" t="n">
        <x:f>I394*'Inputs &amp; Guide'!$B$6</x:f>
        <x:v>18.736873378525832</x:v>
      </x:c>
      <x:c r="N394" s="103" t="n">
        <x:f>MAX(0,MIN(K394-L394,M394))</x:f>
        <x:v>18.736873378525832</x:v>
      </x:c>
      <x:c r="O394" s="103" t="n">
        <x:f>MAX(0,N394-'Inputs &amp; Guide'!$B$7)</x:f>
        <x:v>0</x:v>
      </x:c>
      <x:c r="P394" s="103" t="n">
        <x:f>N394-O394</x:f>
        <x:v>18.736873378525832</x:v>
      </x:c>
      <x:c r="Q394" s="103" t="n">
        <x:f>I394*'Inputs &amp; Guide'!$B$8</x:f>
        <x:v>0.6132067651153907</x:v>
      </x:c>
      <x:c r="R394" s="104" t="n">
        <x:f>IFERROR(P394/Q394,0)</x:f>
        <x:v>30.55555555555556</x:v>
      </x:c>
      <x:c r="S394" s="105" t="n">
        <x:f>ROUND(E394*XLOOKUP(C394,'Reference Tables'!$E$4:$E$12,'Reference Tables'!$G$4:$G$12,1),1)</x:f>
        <x:v>8.9</x:v>
      </x:c>
      <x:c r="T394" s="106" t="str">
        <x:f>IF(R394&gt;='Inputs &amp; Guide'!$B$9,"HIGH",IF(R394&gt;=0.45,"WATCH","NORMAL"))</x:f>
        <x:v>HIGH</x:v>
      </x:c>
    </x:row>
    <x:row r="395">
      <x:c r="A395" s="95" t="n">
        <x:v>3129</x:v>
      </x:c>
      <x:c r="B395" s="96" t="n">
        <x:v>45422.104166666664</x:v>
      </x:c>
      <x:c r="C395" s="97" t="str">
        <x:v>Hurricane</x:v>
      </x:c>
      <x:c r="D395" s="97" t="str">
        <x:v>USA</x:v>
      </x:c>
      <x:c r="E395" s="98" t="n">
        <x:v>9.992990627765579</x:v>
      </x:c>
      <x:c r="F395" s="99" t="n">
        <x:v>264.42811223736464</x:v>
      </x:c>
      <x:c r="G395" s="100" t="str">
        <x:f>XLOOKUP(D395,'Reference Tables'!$A$4:$A$23,'Reference Tables'!$B$4:$B$23,"Other")</x:f>
        <x:v>Other</x:v>
      </x:c>
      <x:c r="H395" s="100" t="str">
        <x:f>VLOOKUP(G395,'Reference Tables'!$I$4:$J$9,2,FALSE)</x:f>
        <x:v>Moderate</x:v>
      </x:c>
      <x:c r="I395" s="101" t="n">
        <x:f>F395*'Inputs &amp; Guide'!$B$4*XLOOKUP(D395,'Reference Tables'!$A$4:$A$23,'Reference Tables'!$C$4:$C$23,0.75)</x:f>
        <x:v>31.73137346848376</x:v>
      </x:c>
      <x:c r="J395" s="102" t="n">
        <x:f>XLOOKUP(C395,'Reference Tables'!$E$4:$E$12,'Reference Tables'!$F$4:$F$12,0.05)</x:f>
        <x:v>0.18</x:v>
      </x:c>
      <x:c r="K395" s="103" t="n">
        <x:f>MIN(I395,F395*J395)</x:f>
        <x:v>31.73137346848376</x:v>
      </x:c>
      <x:c r="L395" s="103" t="n">
        <x:f>'Inputs &amp; Guide'!$B$5</x:f>
        <x:v>15</x:v>
      </x:c>
      <x:c r="M395" s="103" t="n">
        <x:f>I395*'Inputs &amp; Guide'!$B$6</x:f>
        <x:v>17.45225540766607</x:v>
      </x:c>
      <x:c r="N395" s="103" t="n">
        <x:f>MAX(0,MIN(K395-L395,M395))</x:f>
        <x:v>16.73137346848376</x:v>
      </x:c>
      <x:c r="O395" s="103" t="n">
        <x:f>MAX(0,N395-'Inputs &amp; Guide'!$B$7)</x:f>
        <x:v>0</x:v>
      </x:c>
      <x:c r="P395" s="103" t="n">
        <x:f>N395-O395</x:f>
        <x:v>16.73137346848376</x:v>
      </x:c>
      <x:c r="Q395" s="103" t="n">
        <x:f>I395*'Inputs &amp; Guide'!$B$8</x:f>
        <x:v>0.5711647224327077</x:v>
      </x:c>
      <x:c r="R395" s="104" t="n">
        <x:f>IFERROR(P395/Q395,0)</x:f>
        <x:v>29.293429393225495</x:v>
      </x:c>
      <x:c r="S395" s="105" t="n">
        <x:f>ROUND(E395*XLOOKUP(C395,'Reference Tables'!$E$4:$E$12,'Reference Tables'!$G$4:$G$12,1),1)</x:f>
        <x:v>14</x:v>
      </x:c>
      <x:c r="T395" s="106" t="str">
        <x:f>IF(R395&gt;='Inputs &amp; Guide'!$B$9,"HIGH",IF(R395&gt;=0.45,"WATCH","NORMAL"))</x:f>
        <x:v>HIGH</x:v>
      </x:c>
    </x:row>
    <x:row r="396">
      <x:c r="A396" s="95" t="n">
        <x:v>3137</x:v>
      </x:c>
      <x:c r="B396" s="96" t="n">
        <x:v>45422.4375</x:v>
      </x:c>
      <x:c r="C396" s="97" t="str">
        <x:v>Earthquake</x:v>
      </x:c>
      <x:c r="D396" s="97" t="str">
        <x:v>Japan</x:v>
      </x:c>
      <x:c r="E396" s="98" t="n">
        <x:v>1.761736528481098</x:v>
      </x:c>
      <x:c r="F396" s="99" t="n">
        <x:v>84.73399342102226</x:v>
      </x:c>
      <x:c r="G396" s="100" t="str">
        <x:f>XLOOKUP(D396,'Reference Tables'!$A$4:$A$23,'Reference Tables'!$B$4:$B$23,"Other")</x:f>
        <x:v>Asia Pacific</x:v>
      </x:c>
      <x:c r="H396" s="100" t="str">
        <x:f>VLOOKUP(G396,'Reference Tables'!$I$4:$J$9,2,FALSE)</x:f>
        <x:v>High</x:v>
      </x:c>
      <x:c r="I396" s="101" t="n">
        <x:f>F396*'Inputs &amp; Guide'!$B$4*XLOOKUP(D396,'Reference Tables'!$A$4:$A$23,'Reference Tables'!$C$4:$C$23,0.75)</x:f>
        <x:v>15.997777957889003</x:v>
      </x:c>
      <x:c r="J396" s="102" t="n">
        <x:f>XLOOKUP(C396,'Reference Tables'!$E$4:$E$12,'Reference Tables'!$F$4:$F$12,0.05)</x:f>
        <x:v>0.14</x:v>
      </x:c>
      <x:c r="K396" s="103" t="n">
        <x:f>MIN(I396,F396*J396)</x:f>
        <x:v>11.862759078943117</x:v>
      </x:c>
      <x:c r="L396" s="103" t="n">
        <x:f>'Inputs &amp; Guide'!$B$5</x:f>
        <x:v>15</x:v>
      </x:c>
      <x:c r="M396" s="103" t="n">
        <x:f>I396*'Inputs &amp; Guide'!$B$6</x:f>
        <x:v>8.798777876838953</x:v>
      </x:c>
      <x:c r="N396" s="103" t="n">
        <x:f>MAX(0,MIN(K396-L396,M396))</x:f>
        <x:v>0</x:v>
      </x:c>
      <x:c r="O396" s="103" t="n">
        <x:f>MAX(0,N396-'Inputs &amp; Guide'!$B$7)</x:f>
        <x:v>0</x:v>
      </x:c>
      <x:c r="P396" s="103" t="n">
        <x:f>N396-O396</x:f>
        <x:v>0</x:v>
      </x:c>
      <x:c r="Q396" s="103" t="n">
        <x:f>I396*'Inputs &amp; Guide'!$B$8</x:f>
        <x:v>0.28796000324200205</x:v>
      </x:c>
      <x:c r="R396" s="104" t="n">
        <x:f>IFERROR(P396/Q396,0)</x:f>
        <x:v>0</x:v>
      </x:c>
      <x:c r="S396" s="105" t="n">
        <x:f>ROUND(E396*XLOOKUP(C396,'Reference Tables'!$E$4:$E$12,'Reference Tables'!$G$4:$G$12,1),1)</x:f>
        <x:v>2.6</x:v>
      </x:c>
      <x:c r="T396" s="106" t="str">
        <x:f>IF(R396&gt;='Inputs &amp; Guide'!$B$9,"HIGH",IF(R396&gt;=0.45,"WATCH","NORMAL"))</x:f>
        <x:v>NORMAL</x:v>
      </x:c>
    </x:row>
    <x:row r="397">
      <x:c r="A397" s="95" t="n">
        <x:v>3145</x:v>
      </x:c>
      <x:c r="B397" s="96" t="n">
        <x:v>45423</x:v>
      </x:c>
      <x:c r="C397" s="97" t="str">
        <x:v>Wildfire</x:v>
      </x:c>
      <x:c r="D397" s="97" t="str">
        <x:v>China</x:v>
      </x:c>
      <x:c r="E397" s="98" t="n">
        <x:v>7.341655050264986</x:v>
      </x:c>
      <x:c r="F397" s="99" t="n">
        <x:v>918.6004442546695</x:v>
      </x:c>
      <x:c r="G397" s="100" t="str">
        <x:f>XLOOKUP(D397,'Reference Tables'!$A$4:$A$23,'Reference Tables'!$B$4:$B$23,"Other")</x:f>
        <x:v>Asia Pacific</x:v>
      </x:c>
      <x:c r="H397" s="100" t="str">
        <x:f>VLOOKUP(G397,'Reference Tables'!$I$4:$J$9,2,FALSE)</x:f>
        <x:v>High</x:v>
      </x:c>
      <x:c r="I397" s="101" t="n">
        <x:f>F397*'Inputs &amp; Guide'!$B$4*XLOOKUP(D397,'Reference Tables'!$A$4:$A$23,'Reference Tables'!$C$4:$C$23,0.75)</x:f>
        <x:v>158.7341567672069</x:v>
      </x:c>
      <x:c r="J397" s="102" t="n">
        <x:f>XLOOKUP(C397,'Reference Tables'!$E$4:$E$12,'Reference Tables'!$F$4:$F$12,0.05)</x:f>
        <x:v>0.1</x:v>
      </x:c>
      <x:c r="K397" s="103" t="n">
        <x:f>MIN(I397,F397*J397)</x:f>
        <x:v>91.86004442546695</x:v>
      </x:c>
      <x:c r="L397" s="103" t="n">
        <x:f>'Inputs &amp; Guide'!$B$5</x:f>
        <x:v>15</x:v>
      </x:c>
      <x:c r="M397" s="103" t="n">
        <x:f>I397*'Inputs &amp; Guide'!$B$6</x:f>
        <x:v>87.3037862219638</x:v>
      </x:c>
      <x:c r="N397" s="103" t="n">
        <x:f>MAX(0,MIN(K397-L397,M397))</x:f>
        <x:v>76.86004442546695</x:v>
      </x:c>
      <x:c r="O397" s="103" t="n">
        <x:f>MAX(0,N397-'Inputs &amp; Guide'!$B$7)</x:f>
        <x:v>16.860044425466953</x:v>
      </x:c>
      <x:c r="P397" s="103" t="n">
        <x:f>N397-O397</x:f>
        <x:v>60</x:v>
      </x:c>
      <x:c r="Q397" s="103" t="n">
        <x:f>I397*'Inputs &amp; Guide'!$B$8</x:f>
        <x:v>2.857214821809724</x:v>
      </x:c>
      <x:c r="R397" s="104" t="n">
        <x:f>IFERROR(P397/Q397,0)</x:f>
        <x:v>20.999471073020946</x:v>
      </x:c>
      <x:c r="S397" s="105" t="n">
        <x:f>ROUND(E397*XLOOKUP(C397,'Reference Tables'!$E$4:$E$12,'Reference Tables'!$G$4:$G$12,1),1)</x:f>
        <x:v>8.4</x:v>
      </x:c>
      <x:c r="T397" s="106" t="str">
        <x:f>IF(R397&gt;='Inputs &amp; Guide'!$B$9,"HIGH",IF(R397&gt;=0.45,"WATCH","NORMAL"))</x:f>
        <x:v>HIGH</x:v>
      </x:c>
    </x:row>
    <x:row r="398">
      <x:c r="A398" s="95" t="n">
        <x:v>3153</x:v>
      </x:c>
      <x:c r="B398" s="96" t="n">
        <x:v>45423.104166666664</x:v>
      </x:c>
      <x:c r="C398" s="97" t="str">
        <x:v>Flood</x:v>
      </x:c>
      <x:c r="D398" s="97" t="str">
        <x:v>USA</x:v>
      </x:c>
      <x:c r="E398" s="98" t="n">
        <x:v>5.360375232364104</x:v>
      </x:c>
      <x:c r="F398" s="99" t="n">
        <x:v>903.7586420268191</x:v>
      </x:c>
      <x:c r="G398" s="100" t="str">
        <x:f>XLOOKUP(D398,'Reference Tables'!$A$4:$A$23,'Reference Tables'!$B$4:$B$23,"Other")</x:f>
        <x:v>Other</x:v>
      </x:c>
      <x:c r="H398" s="100" t="str">
        <x:f>VLOOKUP(G398,'Reference Tables'!$I$4:$J$9,2,FALSE)</x:f>
        <x:v>Moderate</x:v>
      </x:c>
      <x:c r="I398" s="101" t="n">
        <x:f>F398*'Inputs &amp; Guide'!$B$4*XLOOKUP(D398,'Reference Tables'!$A$4:$A$23,'Reference Tables'!$C$4:$C$23,0.75)</x:f>
        <x:v>108.45103704321829</x:v>
      </x:c>
      <x:c r="J398" s="102" t="n">
        <x:f>XLOOKUP(C398,'Reference Tables'!$E$4:$E$12,'Reference Tables'!$F$4:$F$12,0.05)</x:f>
        <x:v>0.12</x:v>
      </x:c>
      <x:c r="K398" s="103" t="n">
        <x:f>MIN(I398,F398*J398)</x:f>
        <x:v>108.45103704321828</x:v>
      </x:c>
      <x:c r="L398" s="103" t="n">
        <x:f>'Inputs &amp; Guide'!$B$5</x:f>
        <x:v>15</x:v>
      </x:c>
      <x:c r="M398" s="103" t="n">
        <x:f>I398*'Inputs &amp; Guide'!$B$6</x:f>
        <x:v>59.64807037377007</x:v>
      </x:c>
      <x:c r="N398" s="103" t="n">
        <x:f>MAX(0,MIN(K398-L398,M398))</x:f>
        <x:v>59.64807037377007</x:v>
      </x:c>
      <x:c r="O398" s="103" t="n">
        <x:f>MAX(0,N398-'Inputs &amp; Guide'!$B$7)</x:f>
        <x:v>0</x:v>
      </x:c>
      <x:c r="P398" s="103" t="n">
        <x:f>N398-O398</x:f>
        <x:v>59.64807037377007</x:v>
      </x:c>
      <x:c r="Q398" s="103" t="n">
        <x:f>I398*'Inputs &amp; Guide'!$B$8</x:f>
        <x:v>1.9521186667779291</x:v>
      </x:c>
      <x:c r="R398" s="104" t="n">
        <x:f>IFERROR(P398/Q398,0)</x:f>
        <x:v>30.55555555555556</x:v>
      </x:c>
      <x:c r="S398" s="105" t="n">
        <x:f>ROUND(E398*XLOOKUP(C398,'Reference Tables'!$E$4:$E$12,'Reference Tables'!$G$4:$G$12,1),1)</x:f>
        <x:v>6.7</x:v>
      </x:c>
      <x:c r="T398" s="106" t="str">
        <x:f>IF(R398&gt;='Inputs &amp; Guide'!$B$9,"HIGH",IF(R398&gt;=0.45,"WATCH","NORMAL"))</x:f>
        <x:v>HIGH</x:v>
      </x:c>
    </x:row>
    <x:row r="399">
      <x:c r="A399" s="95" t="n">
        <x:v>3161</x:v>
      </x:c>
      <x:c r="B399" s="96" t="n">
        <x:v>45423.4375</x:v>
      </x:c>
      <x:c r="C399" s="97" t="str">
        <x:v>Flood</x:v>
      </x:c>
      <x:c r="D399" s="97" t="str">
        <x:v>China</x:v>
      </x:c>
      <x:c r="E399" s="98" t="n">
        <x:v>7.293344285977616</x:v>
      </x:c>
      <x:c r="F399" s="99" t="n">
        <x:v>476.093772773215</x:v>
      </x:c>
      <x:c r="G399" s="100" t="str">
        <x:f>XLOOKUP(D399,'Reference Tables'!$A$4:$A$23,'Reference Tables'!$B$4:$B$23,"Other")</x:f>
        <x:v>Asia Pacific</x:v>
      </x:c>
      <x:c r="H399" s="100" t="str">
        <x:f>VLOOKUP(G399,'Reference Tables'!$I$4:$J$9,2,FALSE)</x:f>
        <x:v>High</x:v>
      </x:c>
      <x:c r="I399" s="101" t="n">
        <x:f>F399*'Inputs &amp; Guide'!$B$4*XLOOKUP(D399,'Reference Tables'!$A$4:$A$23,'Reference Tables'!$C$4:$C$23,0.75)</x:f>
        <x:v>82.26900393521156</x:v>
      </x:c>
      <x:c r="J399" s="102" t="n">
        <x:f>XLOOKUP(C399,'Reference Tables'!$E$4:$E$12,'Reference Tables'!$F$4:$F$12,0.05)</x:f>
        <x:v>0.12</x:v>
      </x:c>
      <x:c r="K399" s="103" t="n">
        <x:f>MIN(I399,F399*J399)</x:f>
        <x:v>57.131252732785796</x:v>
      </x:c>
      <x:c r="L399" s="103" t="n">
        <x:f>'Inputs &amp; Guide'!$B$5</x:f>
        <x:v>15</x:v>
      </x:c>
      <x:c r="M399" s="103" t="n">
        <x:f>I399*'Inputs &amp; Guide'!$B$6</x:f>
        <x:v>45.24795216436636</x:v>
      </x:c>
      <x:c r="N399" s="103" t="n">
        <x:f>MAX(0,MIN(K399-L399,M399))</x:f>
        <x:v>42.131252732785796</x:v>
      </x:c>
      <x:c r="O399" s="103" t="n">
        <x:f>MAX(0,N399-'Inputs &amp; Guide'!$B$7)</x:f>
        <x:v>0</x:v>
      </x:c>
      <x:c r="P399" s="103" t="n">
        <x:f>N399-O399</x:f>
        <x:v>42.131252732785796</x:v>
      </x:c>
      <x:c r="Q399" s="103" t="n">
        <x:f>I399*'Inputs &amp; Guide'!$B$8</x:f>
        <x:v>1.480842070833808</x:v>
      </x:c>
      <x:c r="R399" s="104" t="n">
        <x:f>IFERROR(P399/Q399,0)</x:f>
        <x:v>28.450875054531124</x:v>
      </x:c>
      <x:c r="S399" s="105" t="n">
        <x:f>ROUND(E399*XLOOKUP(C399,'Reference Tables'!$E$4:$E$12,'Reference Tables'!$G$4:$G$12,1),1)</x:f>
        <x:v>9.1</x:v>
      </x:c>
      <x:c r="T399" s="106" t="str">
        <x:f>IF(R399&gt;='Inputs &amp; Guide'!$B$9,"HIGH",IF(R399&gt;=0.45,"WATCH","NORMAL"))</x:f>
        <x:v>HIGH</x:v>
      </x:c>
    </x:row>
    <x:row r="400">
      <x:c r="A400" s="95" t="n">
        <x:v>3169</x:v>
      </x:c>
      <x:c r="B400" s="96" t="n">
        <x:v>45424</x:v>
      </x:c>
      <x:c r="C400" s="97" t="str">
        <x:v>Hurricane</x:v>
      </x:c>
      <x:c r="D400" s="97" t="str">
        <x:v>Indonesia</x:v>
      </x:c>
      <x:c r="E400" s="98" t="n">
        <x:v>1.3818918714478357</x:v>
      </x:c>
      <x:c r="F400" s="99" t="n">
        <x:v>338.65413248107427</x:v>
      </x:c>
      <x:c r="G400" s="100" t="str">
        <x:f>XLOOKUP(D400,'Reference Tables'!$A$4:$A$23,'Reference Tables'!$B$4:$B$23,"Other")</x:f>
        <x:v>Asia Pacific</x:v>
      </x:c>
      <x:c r="H400" s="100" t="str">
        <x:f>VLOOKUP(G400,'Reference Tables'!$I$4:$J$9,2,FALSE)</x:f>
        <x:v>High</x:v>
      </x:c>
      <x:c r="I400" s="101" t="n">
        <x:f>F400*'Inputs &amp; Guide'!$B$4*XLOOKUP(D400,'Reference Tables'!$A$4:$A$23,'Reference Tables'!$C$4:$C$23,0.75)</x:f>
        <x:v>55.81020103288105</x:v>
      </x:c>
      <x:c r="J400" s="102" t="n">
        <x:f>XLOOKUP(C400,'Reference Tables'!$E$4:$E$12,'Reference Tables'!$F$4:$F$12,0.05)</x:f>
        <x:v>0.18</x:v>
      </x:c>
      <x:c r="K400" s="103" t="n">
        <x:f>MIN(I400,F400*J400)</x:f>
        <x:v>55.81020103288105</x:v>
      </x:c>
      <x:c r="L400" s="103" t="n">
        <x:f>'Inputs &amp; Guide'!$B$5</x:f>
        <x:v>15</x:v>
      </x:c>
      <x:c r="M400" s="103" t="n">
        <x:f>I400*'Inputs &amp; Guide'!$B$6</x:f>
        <x:v>30.69561056808458</x:v>
      </x:c>
      <x:c r="N400" s="103" t="n">
        <x:f>MAX(0,MIN(K400-L400,M400))</x:f>
        <x:v>30.69561056808458</x:v>
      </x:c>
      <x:c r="O400" s="103" t="n">
        <x:f>MAX(0,N400-'Inputs &amp; Guide'!$B$7)</x:f>
        <x:v>0</x:v>
      </x:c>
      <x:c r="P400" s="103" t="n">
        <x:f>N400-O400</x:f>
        <x:v>30.69561056808458</x:v>
      </x:c>
      <x:c r="Q400" s="103" t="n">
        <x:f>I400*'Inputs &amp; Guide'!$B$8</x:f>
        <x:v>1.0045836185918589</x:v>
      </x:c>
      <x:c r="R400" s="104" t="n">
        <x:f>IFERROR(P400/Q400,0)</x:f>
        <x:v>30.555555555555557</x:v>
      </x:c>
      <x:c r="S400" s="105" t="n">
        <x:f>ROUND(E400*XLOOKUP(C400,'Reference Tables'!$E$4:$E$12,'Reference Tables'!$G$4:$G$12,1),1)</x:f>
        <x:v>1.9</x:v>
      </x:c>
      <x:c r="T400" s="106" t="str">
        <x:f>IF(R400&gt;='Inputs &amp; Guide'!$B$9,"HIGH",IF(R400&gt;=0.45,"WATCH","NORMAL"))</x:f>
        <x:v>HIGH</x:v>
      </x:c>
    </x:row>
    <x:row r="401">
      <x:c r="A401" s="95" t="n">
        <x:v>3177</x:v>
      </x:c>
      <x:c r="B401" s="96" t="n">
        <x:v>45424.104166666664</x:v>
      </x:c>
      <x:c r="C401" s="97" t="str">
        <x:v>Earthquake</x:v>
      </x:c>
      <x:c r="D401" s="97" t="str">
        <x:v>USA</x:v>
      </x:c>
      <x:c r="E401" s="98" t="n">
        <x:v>6.726856801667172</x:v>
      </x:c>
      <x:c r="F401" s="99" t="n">
        <x:v>585.9517981683987</x:v>
      </x:c>
      <x:c r="G401" s="100" t="str">
        <x:f>XLOOKUP(D401,'Reference Tables'!$A$4:$A$23,'Reference Tables'!$B$4:$B$23,"Other")</x:f>
        <x:v>Other</x:v>
      </x:c>
      <x:c r="H401" s="100" t="str">
        <x:f>VLOOKUP(G401,'Reference Tables'!$I$4:$J$9,2,FALSE)</x:f>
        <x:v>Moderate</x:v>
      </x:c>
      <x:c r="I401" s="101" t="n">
        <x:f>F401*'Inputs &amp; Guide'!$B$4*XLOOKUP(D401,'Reference Tables'!$A$4:$A$23,'Reference Tables'!$C$4:$C$23,0.75)</x:f>
        <x:v>70.31421578020785</x:v>
      </x:c>
      <x:c r="J401" s="102" t="n">
        <x:f>XLOOKUP(C401,'Reference Tables'!$E$4:$E$12,'Reference Tables'!$F$4:$F$12,0.05)</x:f>
        <x:v>0.14</x:v>
      </x:c>
      <x:c r="K401" s="103" t="n">
        <x:f>MIN(I401,F401*J401)</x:f>
        <x:v>70.31421578020785</x:v>
      </x:c>
      <x:c r="L401" s="103" t="n">
        <x:f>'Inputs &amp; Guide'!$B$5</x:f>
        <x:v>15</x:v>
      </x:c>
      <x:c r="M401" s="103" t="n">
        <x:f>I401*'Inputs &amp; Guide'!$B$6</x:f>
        <x:v>38.67281867911432</x:v>
      </x:c>
      <x:c r="N401" s="103" t="n">
        <x:f>MAX(0,MIN(K401-L401,M401))</x:f>
        <x:v>38.67281867911432</x:v>
      </x:c>
      <x:c r="O401" s="103" t="n">
        <x:f>MAX(0,N401-'Inputs &amp; Guide'!$B$7)</x:f>
        <x:v>0</x:v>
      </x:c>
      <x:c r="P401" s="103" t="n">
        <x:f>N401-O401</x:f>
        <x:v>38.67281867911432</x:v>
      </x:c>
      <x:c r="Q401" s="103" t="n">
        <x:f>I401*'Inputs &amp; Guide'!$B$8</x:f>
        <x:v>1.265655884043741</x:v>
      </x:c>
      <x:c r="R401" s="104" t="n">
        <x:f>IFERROR(P401/Q401,0)</x:f>
        <x:v>30.555555555555564</x:v>
      </x:c>
      <x:c r="S401" s="105" t="n">
        <x:f>ROUND(E401*XLOOKUP(C401,'Reference Tables'!$E$4:$E$12,'Reference Tables'!$G$4:$G$12,1),1)</x:f>
        <x:v>10.1</x:v>
      </x:c>
      <x:c r="T401" s="106" t="str">
        <x:f>IF(R401&gt;='Inputs &amp; Guide'!$B$9,"HIGH",IF(R401&gt;=0.45,"WATCH","NORMAL"))</x:f>
        <x:v>HIGH</x:v>
      </x:c>
    </x:row>
    <x:row r="402">
      <x:c r="A402" s="95" t="n">
        <x:v>3185</x:v>
      </x:c>
      <x:c r="B402" s="96" t="n">
        <x:v>45424.4375</x:v>
      </x:c>
      <x:c r="C402" s="97" t="str">
        <x:v>Tornado</x:v>
      </x:c>
      <x:c r="D402" s="97" t="str">
        <x:v>China</x:v>
      </x:c>
      <x:c r="E402" s="98" t="n">
        <x:v>4.71861558446845</x:v>
      </x:c>
      <x:c r="F402" s="99" t="n">
        <x:v>13.030413736070589</x:v>
      </x:c>
      <x:c r="G402" s="100" t="str">
        <x:f>XLOOKUP(D402,'Reference Tables'!$A$4:$A$23,'Reference Tables'!$B$4:$B$23,"Other")</x:f>
        <x:v>Asia Pacific</x:v>
      </x:c>
      <x:c r="H402" s="100" t="str">
        <x:f>VLOOKUP(G402,'Reference Tables'!$I$4:$J$9,2,FALSE)</x:f>
        <x:v>High</x:v>
      </x:c>
      <x:c r="I402" s="101" t="n">
        <x:f>F402*'Inputs &amp; Guide'!$B$4*XLOOKUP(D402,'Reference Tables'!$A$4:$A$23,'Reference Tables'!$C$4:$C$23,0.75)</x:f>
        <x:v>2.251655493592998</x:v>
      </x:c>
      <x:c r="J402" s="102" t="n">
        <x:f>XLOOKUP(C402,'Reference Tables'!$E$4:$E$12,'Reference Tables'!$F$4:$F$12,0.05)</x:f>
        <x:v>0.09</x:v>
      </x:c>
      <x:c r="K402" s="103" t="n">
        <x:f>MIN(I402,F402*J402)</x:f>
        <x:v>1.1727372362463528</x:v>
      </x:c>
      <x:c r="L402" s="103" t="n">
        <x:f>'Inputs &amp; Guide'!$B$5</x:f>
        <x:v>15</x:v>
      </x:c>
      <x:c r="M402" s="103" t="n">
        <x:f>I402*'Inputs &amp; Guide'!$B$6</x:f>
        <x:v>1.238410521476149</x:v>
      </x:c>
      <x:c r="N402" s="103" t="n">
        <x:f>MAX(0,MIN(K402-L402,M402))</x:f>
        <x:v>0</x:v>
      </x:c>
      <x:c r="O402" s="103" t="n">
        <x:f>MAX(0,N402-'Inputs &amp; Guide'!$B$7)</x:f>
        <x:v>0</x:v>
      </x:c>
      <x:c r="P402" s="103" t="n">
        <x:f>N402-O402</x:f>
        <x:v>0</x:v>
      </x:c>
      <x:c r="Q402" s="103" t="n">
        <x:f>I402*'Inputs &amp; Guide'!$B$8</x:f>
        <x:v>0.04052979888467396</x:v>
      </x:c>
      <x:c r="R402" s="104" t="n">
        <x:f>IFERROR(P402/Q402,0)</x:f>
        <x:v>0</x:v>
      </x:c>
      <x:c r="S402" s="105" t="n">
        <x:f>ROUND(E402*XLOOKUP(C402,'Reference Tables'!$E$4:$E$12,'Reference Tables'!$G$4:$G$12,1),1)</x:f>
        <x:v>5</x:v>
      </x:c>
      <x:c r="T402" s="106" t="str">
        <x:f>IF(R402&gt;='Inputs &amp; Guide'!$B$9,"HIGH",IF(R402&gt;=0.45,"WATCH","NORMAL"))</x:f>
        <x:v>NORMAL</x:v>
      </x:c>
    </x:row>
    <x:row r="403">
      <x:c r="A403" s="95" t="n">
        <x:v>3193</x:v>
      </x:c>
      <x:c r="B403" s="96" t="n">
        <x:v>45425</x:v>
      </x:c>
      <x:c r="C403" s="97" t="str">
        <x:v>Tornado</x:v>
      </x:c>
      <x:c r="D403" s="97" t="str">
        <x:v>Japan</x:v>
      </x:c>
      <x:c r="E403" s="98" t="n">
        <x:v>1.2046289598251594</x:v>
      </x:c>
      <x:c r="F403" s="99" t="n">
        <x:v>579.9648120862763</x:v>
      </x:c>
      <x:c r="G403" s="100" t="str">
        <x:f>XLOOKUP(D403,'Reference Tables'!$A$4:$A$23,'Reference Tables'!$B$4:$B$23,"Other")</x:f>
        <x:v>Asia Pacific</x:v>
      </x:c>
      <x:c r="H403" s="100" t="str">
        <x:f>VLOOKUP(G403,'Reference Tables'!$I$4:$J$9,2,FALSE)</x:f>
        <x:v>High</x:v>
      </x:c>
      <x:c r="I403" s="101" t="n">
        <x:f>F403*'Inputs &amp; Guide'!$B$4*XLOOKUP(D403,'Reference Tables'!$A$4:$A$23,'Reference Tables'!$C$4:$C$23,0.75)</x:f>
        <x:v>109.49735652188896</x:v>
      </x:c>
      <x:c r="J403" s="102" t="n">
        <x:f>XLOOKUP(C403,'Reference Tables'!$E$4:$E$12,'Reference Tables'!$F$4:$F$12,0.05)</x:f>
        <x:v>0.09</x:v>
      </x:c>
      <x:c r="K403" s="103" t="n">
        <x:f>MIN(I403,F403*J403)</x:f>
        <x:v>52.196833087764865</x:v>
      </x:c>
      <x:c r="L403" s="103" t="n">
        <x:f>'Inputs &amp; Guide'!$B$5</x:f>
        <x:v>15</x:v>
      </x:c>
      <x:c r="M403" s="103" t="n">
        <x:f>I403*'Inputs &amp; Guide'!$B$6</x:f>
        <x:v>60.22354608703893</x:v>
      </x:c>
      <x:c r="N403" s="103" t="n">
        <x:f>MAX(0,MIN(K403-L403,M403))</x:f>
        <x:v>37.196833087764865</x:v>
      </x:c>
      <x:c r="O403" s="103" t="n">
        <x:f>MAX(0,N403-'Inputs &amp; Guide'!$B$7)</x:f>
        <x:v>0</x:v>
      </x:c>
      <x:c r="P403" s="103" t="n">
        <x:f>N403-O403</x:f>
        <x:v>37.196833087764865</x:v>
      </x:c>
      <x:c r="Q403" s="103" t="n">
        <x:f>I403*'Inputs &amp; Guide'!$B$8</x:f>
        <x:v>1.9709524173940012</x:v>
      </x:c>
      <x:c r="R403" s="104" t="n">
        <x:f>IFERROR(P403/Q403,0)</x:f>
        <x:v>18.872517042773982</x:v>
      </x:c>
      <x:c r="S403" s="105" t="n">
        <x:f>ROUND(E403*XLOOKUP(C403,'Reference Tables'!$E$4:$E$12,'Reference Tables'!$G$4:$G$12,1),1)</x:f>
        <x:v>1.3</x:v>
      </x:c>
      <x:c r="T403" s="106" t="str">
        <x:f>IF(R403&gt;='Inputs &amp; Guide'!$B$9,"HIGH",IF(R403&gt;=0.45,"WATCH","NORMAL"))</x:f>
        <x:v>HIGH</x:v>
      </x:c>
    </x:row>
    <x:row r="404">
      <x:c r="A404" s="95" t="n">
        <x:v>3201</x:v>
      </x:c>
      <x:c r="B404" s="96" t="n">
        <x:v>45425.104166666664</x:v>
      </x:c>
      <x:c r="C404" s="97" t="str">
        <x:v>Tornado</x:v>
      </x:c>
      <x:c r="D404" s="97" t="str">
        <x:v>Japan</x:v>
      </x:c>
      <x:c r="E404" s="98" t="n">
        <x:v>4.153086552084558</x:v>
      </x:c>
      <x:c r="F404" s="99" t="n">
        <x:v>402.05747073061957</x:v>
      </x:c>
      <x:c r="G404" s="100" t="str">
        <x:f>XLOOKUP(D404,'Reference Tables'!$A$4:$A$23,'Reference Tables'!$B$4:$B$23,"Other")</x:f>
        <x:v>Asia Pacific</x:v>
      </x:c>
      <x:c r="H404" s="100" t="str">
        <x:f>VLOOKUP(G404,'Reference Tables'!$I$4:$J$9,2,FALSE)</x:f>
        <x:v>High</x:v>
      </x:c>
      <x:c r="I404" s="101" t="n">
        <x:f>F404*'Inputs &amp; Guide'!$B$4*XLOOKUP(D404,'Reference Tables'!$A$4:$A$23,'Reference Tables'!$C$4:$C$23,0.75)</x:f>
        <x:v>75.90845047394097</x:v>
      </x:c>
      <x:c r="J404" s="102" t="n">
        <x:f>XLOOKUP(C404,'Reference Tables'!$E$4:$E$12,'Reference Tables'!$F$4:$F$12,0.05)</x:f>
        <x:v>0.09</x:v>
      </x:c>
      <x:c r="K404" s="103" t="n">
        <x:f>MIN(I404,F404*J404)</x:f>
        <x:v>36.18517236575576</x:v>
      </x:c>
      <x:c r="L404" s="103" t="n">
        <x:f>'Inputs &amp; Guide'!$B$5</x:f>
        <x:v>15</x:v>
      </x:c>
      <x:c r="M404" s="103" t="n">
        <x:f>I404*'Inputs &amp; Guide'!$B$6</x:f>
        <x:v>41.749647760667536</x:v>
      </x:c>
      <x:c r="N404" s="103" t="n">
        <x:f>MAX(0,MIN(K404-L404,M404))</x:f>
        <x:v>21.18517236575576</x:v>
      </x:c>
      <x:c r="O404" s="103" t="n">
        <x:f>MAX(0,N404-'Inputs &amp; Guide'!$B$7)</x:f>
        <x:v>0</x:v>
      </x:c>
      <x:c r="P404" s="103" t="n">
        <x:f>N404-O404</x:f>
        <x:v>21.18517236575576</x:v>
      </x:c>
      <x:c r="Q404" s="103" t="n">
        <x:f>I404*'Inputs &amp; Guide'!$B$8</x:f>
        <x:v>1.3663521085309374</x:v>
      </x:c>
      <x:c r="R404" s="104" t="n">
        <x:f>IFERROR(P404/Q404,0)</x:f>
        <x:v>15.504914314168587</x:v>
      </x:c>
      <x:c r="S404" s="105" t="n">
        <x:f>ROUND(E404*XLOOKUP(C404,'Reference Tables'!$E$4:$E$12,'Reference Tables'!$G$4:$G$12,1),1)</x:f>
        <x:v>4.4</x:v>
      </x:c>
      <x:c r="T404" s="106" t="str">
        <x:f>IF(R404&gt;='Inputs &amp; Guide'!$B$9,"HIGH",IF(R404&gt;=0.45,"WATCH","NORMAL"))</x:f>
        <x:v>HIGH</x:v>
      </x:c>
    </x:row>
    <x:row r="405">
      <x:c r="A405" s="95" t="n">
        <x:v>3209</x:v>
      </x:c>
      <x:c r="B405" s="96" t="n">
        <x:v>45425.4375</x:v>
      </x:c>
      <x:c r="C405" s="97" t="str">
        <x:v>Tornado</x:v>
      </x:c>
      <x:c r="D405" s="97" t="str">
        <x:v>Brazil</x:v>
      </x:c>
      <x:c r="E405" s="98" t="n">
        <x:v>7.234120157235899</x:v>
      </x:c>
      <x:c r="F405" s="99" t="n">
        <x:v>385.71063746449937</x:v>
      </x:c>
      <x:c r="G405" s="100" t="str">
        <x:f>XLOOKUP(D405,'Reference Tables'!$A$4:$A$23,'Reference Tables'!$B$4:$B$23,"Other")</x:f>
        <x:v>Latin America</x:v>
      </x:c>
      <x:c r="H405" s="100" t="str">
        <x:f>VLOOKUP(G405,'Reference Tables'!$I$4:$J$9,2,FALSE)</x:f>
        <x:v>Moderate</x:v>
      </x:c>
      <x:c r="I405" s="101" t="n">
        <x:f>F405*'Inputs &amp; Guide'!$B$4*XLOOKUP(D405,'Reference Tables'!$A$4:$A$23,'Reference Tables'!$C$4:$C$23,0.75)</x:f>
        <x:v>50.60523563534231</x:v>
      </x:c>
      <x:c r="J405" s="102" t="n">
        <x:f>XLOOKUP(C405,'Reference Tables'!$E$4:$E$12,'Reference Tables'!$F$4:$F$12,0.05)</x:f>
        <x:v>0.09</x:v>
      </x:c>
      <x:c r="K405" s="103" t="n">
        <x:f>MIN(I405,F405*J405)</x:f>
        <x:v>34.713957371804945</x:v>
      </x:c>
      <x:c r="L405" s="103" t="n">
        <x:f>'Inputs &amp; Guide'!$B$5</x:f>
        <x:v>15</x:v>
      </x:c>
      <x:c r="M405" s="103" t="n">
        <x:f>I405*'Inputs &amp; Guide'!$B$6</x:f>
        <x:v>27.83287959943827</x:v>
      </x:c>
      <x:c r="N405" s="103" t="n">
        <x:f>MAX(0,MIN(K405-L405,M405))</x:f>
        <x:v>19.713957371804945</x:v>
      </x:c>
      <x:c r="O405" s="103" t="n">
        <x:f>MAX(0,N405-'Inputs &amp; Guide'!$B$7)</x:f>
        <x:v>0</x:v>
      </x:c>
      <x:c r="P405" s="103" t="n">
        <x:f>N405-O405</x:f>
        <x:v>19.713957371804945</x:v>
      </x:c>
      <x:c r="Q405" s="103" t="n">
        <x:f>I405*'Inputs &amp; Guide'!$B$8</x:f>
        <x:v>0.9108942414361615</x:v>
      </x:c>
      <x:c r="R405" s="104" t="n">
        <x:f>IFERROR(P405/Q405,0)</x:f>
        <x:v>21.642421781833786</x:v>
      </x:c>
      <x:c r="S405" s="105" t="n">
        <x:f>ROUND(E405*XLOOKUP(C405,'Reference Tables'!$E$4:$E$12,'Reference Tables'!$G$4:$G$12,1),1)</x:f>
        <x:v>7.6</x:v>
      </x:c>
      <x:c r="T405" s="106" t="str">
        <x:f>IF(R405&gt;='Inputs &amp; Guide'!$B$9,"HIGH",IF(R405&gt;=0.45,"WATCH","NORMAL"))</x:f>
        <x:v>HIGH</x:v>
      </x:c>
    </x:row>
    <x:row r="406">
      <x:c r="A406" s="95" t="n">
        <x:v>3217</x:v>
      </x:c>
      <x:c r="B406" s="96" t="n">
        <x:v>45426</x:v>
      </x:c>
      <x:c r="C406" s="97" t="str">
        <x:v>Flood</x:v>
      </x:c>
      <x:c r="D406" s="97" t="str">
        <x:v>Japan</x:v>
      </x:c>
      <x:c r="E406" s="98" t="n">
        <x:v>3.7658273786237677</x:v>
      </x:c>
      <x:c r="F406" s="99" t="n">
        <x:v>977.3378479057857</x:v>
      </x:c>
      <x:c r="G406" s="100" t="str">
        <x:f>XLOOKUP(D406,'Reference Tables'!$A$4:$A$23,'Reference Tables'!$B$4:$B$23,"Other")</x:f>
        <x:v>Asia Pacific</x:v>
      </x:c>
      <x:c r="H406" s="100" t="str">
        <x:f>VLOOKUP(G406,'Reference Tables'!$I$4:$J$9,2,FALSE)</x:f>
        <x:v>High</x:v>
      </x:c>
      <x:c r="I406" s="101" t="n">
        <x:f>F406*'Inputs &amp; Guide'!$B$4*XLOOKUP(D406,'Reference Tables'!$A$4:$A$23,'Reference Tables'!$C$4:$C$23,0.75)</x:f>
        <x:v>184.52138568461234</x:v>
      </x:c>
      <x:c r="J406" s="102" t="n">
        <x:f>XLOOKUP(C406,'Reference Tables'!$E$4:$E$12,'Reference Tables'!$F$4:$F$12,0.05)</x:f>
        <x:v>0.12</x:v>
      </x:c>
      <x:c r="K406" s="103" t="n">
        <x:f>MIN(I406,F406*J406)</x:f>
        <x:v>117.28054174869428</x:v>
      </x:c>
      <x:c r="L406" s="103" t="n">
        <x:f>'Inputs &amp; Guide'!$B$5</x:f>
        <x:v>15</x:v>
      </x:c>
      <x:c r="M406" s="103" t="n">
        <x:f>I406*'Inputs &amp; Guide'!$B$6</x:f>
        <x:v>101.48676212653679</x:v>
      </x:c>
      <x:c r="N406" s="103" t="n">
        <x:f>MAX(0,MIN(K406-L406,M406))</x:f>
        <x:v>101.48676212653679</x:v>
      </x:c>
      <x:c r="O406" s="103" t="n">
        <x:f>MAX(0,N406-'Inputs &amp; Guide'!$B$7)</x:f>
        <x:v>41.48676212653679</x:v>
      </x:c>
      <x:c r="P406" s="103" t="n">
        <x:f>N406-O406</x:f>
        <x:v>60</x:v>
      </x:c>
      <x:c r="Q406" s="103" t="n">
        <x:f>I406*'Inputs &amp; Guide'!$B$8</x:f>
        <x:v>3.321384942323022</x:v>
      </x:c>
      <x:c r="R406" s="104" t="n">
        <x:f>IFERROR(P406/Q406,0)</x:f>
        <x:v>18.06475342121446</x:v>
      </x:c>
      <x:c r="S406" s="105" t="n">
        <x:f>ROUND(E406*XLOOKUP(C406,'Reference Tables'!$E$4:$E$12,'Reference Tables'!$G$4:$G$12,1),1)</x:f>
        <x:v>4.7</x:v>
      </x:c>
      <x:c r="T406" s="106" t="str">
        <x:f>IF(R406&gt;='Inputs &amp; Guide'!$B$9,"HIGH",IF(R406&gt;=0.45,"WATCH","NORMAL"))</x:f>
        <x:v>HIGH</x:v>
      </x:c>
    </x:row>
    <x:row r="407">
      <x:c r="A407" s="95" t="n">
        <x:v>3225</x:v>
      </x:c>
      <x:c r="B407" s="96" t="n">
        <x:v>45426.104166666664</x:v>
      </x:c>
      <x:c r="C407" s="97" t="str">
        <x:v>Wildfire</x:v>
      </x:c>
      <x:c r="D407" s="97" t="str">
        <x:v>USA</x:v>
      </x:c>
      <x:c r="E407" s="98" t="n">
        <x:v>5.782042289342208</x:v>
      </x:c>
      <x:c r="F407" s="99" t="n">
        <x:v>962.5538778029583</x:v>
      </x:c>
      <x:c r="G407" s="100" t="str">
        <x:f>XLOOKUP(D407,'Reference Tables'!$A$4:$A$23,'Reference Tables'!$B$4:$B$23,"Other")</x:f>
        <x:v>Other</x:v>
      </x:c>
      <x:c r="H407" s="100" t="str">
        <x:f>VLOOKUP(G407,'Reference Tables'!$I$4:$J$9,2,FALSE)</x:f>
        <x:v>Moderate</x:v>
      </x:c>
      <x:c r="I407" s="101" t="n">
        <x:f>F407*'Inputs &amp; Guide'!$B$4*XLOOKUP(D407,'Reference Tables'!$A$4:$A$23,'Reference Tables'!$C$4:$C$23,0.75)</x:f>
        <x:v>115.50646533635499</x:v>
      </x:c>
      <x:c r="J407" s="102" t="n">
        <x:f>XLOOKUP(C407,'Reference Tables'!$E$4:$E$12,'Reference Tables'!$F$4:$F$12,0.05)</x:f>
        <x:v>0.1</x:v>
      </x:c>
      <x:c r="K407" s="103" t="n">
        <x:f>MIN(I407,F407*J407)</x:f>
        <x:v>96.25538778029583</x:v>
      </x:c>
      <x:c r="L407" s="103" t="n">
        <x:f>'Inputs &amp; Guide'!$B$5</x:f>
        <x:v>15</x:v>
      </x:c>
      <x:c r="M407" s="103" t="n">
        <x:f>I407*'Inputs &amp; Guide'!$B$6</x:f>
        <x:v>63.52855593499525</x:v>
      </x:c>
      <x:c r="N407" s="103" t="n">
        <x:f>MAX(0,MIN(K407-L407,M407))</x:f>
        <x:v>63.52855593499525</x:v>
      </x:c>
      <x:c r="O407" s="103" t="n">
        <x:f>MAX(0,N407-'Inputs &amp; Guide'!$B$7)</x:f>
        <x:v>3.5285559349952536</x:v>
      </x:c>
      <x:c r="P407" s="103" t="n">
        <x:f>N407-O407</x:f>
        <x:v>60</x:v>
      </x:c>
      <x:c r="Q407" s="103" t="n">
        <x:f>I407*'Inputs &amp; Guide'!$B$8</x:f>
        <x:v>2.07911637605439</x:v>
      </x:c>
      <x:c r="R407" s="104" t="n">
        <x:f>IFERROR(P407/Q407,0)</x:f>
        <x:v>28.85841345440415</x:v>
      </x:c>
      <x:c r="S407" s="105" t="n">
        <x:f>ROUND(E407*XLOOKUP(C407,'Reference Tables'!$E$4:$E$12,'Reference Tables'!$G$4:$G$12,1),1)</x:f>
        <x:v>6.6</x:v>
      </x:c>
      <x:c r="T407" s="106" t="str">
        <x:f>IF(R407&gt;='Inputs &amp; Guide'!$B$9,"HIGH",IF(R407&gt;=0.45,"WATCH","NORMAL"))</x:f>
        <x:v>HIGH</x:v>
      </x:c>
    </x:row>
    <x:row r="408">
      <x:c r="A408" s="95" t="n">
        <x:v>3233</x:v>
      </x:c>
      <x:c r="B408" s="96" t="n">
        <x:v>45426.4375</x:v>
      </x:c>
      <x:c r="C408" s="97" t="str">
        <x:v>Hurricane</x:v>
      </x:c>
      <x:c r="D408" s="97" t="str">
        <x:v>Brazil</x:v>
      </x:c>
      <x:c r="E408" s="98" t="n">
        <x:v>8.185408578377217</x:v>
      </x:c>
      <x:c r="F408" s="99" t="n">
        <x:v>845.1711265743324</x:v>
      </x:c>
      <x:c r="G408" s="100" t="str">
        <x:f>XLOOKUP(D408,'Reference Tables'!$A$4:$A$23,'Reference Tables'!$B$4:$B$23,"Other")</x:f>
        <x:v>Latin America</x:v>
      </x:c>
      <x:c r="H408" s="100" t="str">
        <x:f>VLOOKUP(G408,'Reference Tables'!$I$4:$J$9,2,FALSE)</x:f>
        <x:v>Moderate</x:v>
      </x:c>
      <x:c r="I408" s="101" t="n">
        <x:f>F408*'Inputs &amp; Guide'!$B$4*XLOOKUP(D408,'Reference Tables'!$A$4:$A$23,'Reference Tables'!$C$4:$C$23,0.75)</x:f>
        <x:v>110.8864518065524</x:v>
      </x:c>
      <x:c r="J408" s="102" t="n">
        <x:f>XLOOKUP(C408,'Reference Tables'!$E$4:$E$12,'Reference Tables'!$F$4:$F$12,0.05)</x:f>
        <x:v>0.18</x:v>
      </x:c>
      <x:c r="K408" s="103" t="n">
        <x:f>MIN(I408,F408*J408)</x:f>
        <x:v>110.8864518065524</x:v>
      </x:c>
      <x:c r="L408" s="103" t="n">
        <x:f>'Inputs &amp; Guide'!$B$5</x:f>
        <x:v>15</x:v>
      </x:c>
      <x:c r="M408" s="103" t="n">
        <x:f>I408*'Inputs &amp; Guide'!$B$6</x:f>
        <x:v>60.987548493603825</x:v>
      </x:c>
      <x:c r="N408" s="103" t="n">
        <x:f>MAX(0,MIN(K408-L408,M408))</x:f>
        <x:v>60.987548493603825</x:v>
      </x:c>
      <x:c r="O408" s="103" t="n">
        <x:f>MAX(0,N408-'Inputs &amp; Guide'!$B$7)</x:f>
        <x:v>0.9875484936038248</x:v>
      </x:c>
      <x:c r="P408" s="103" t="n">
        <x:f>N408-O408</x:f>
        <x:v>60</x:v>
      </x:c>
      <x:c r="Q408" s="103" t="n">
        <x:f>I408*'Inputs &amp; Guide'!$B$8</x:f>
        <x:v>1.9959561325179431</x:v>
      </x:c>
      <x:c r="R408" s="104" t="n">
        <x:f>IFERROR(P408/Q408,0)</x:f>
        <x:v>30.060780907197927</x:v>
      </x:c>
      <x:c r="S408" s="105" t="n">
        <x:f>ROUND(E408*XLOOKUP(C408,'Reference Tables'!$E$4:$E$12,'Reference Tables'!$G$4:$G$12,1),1)</x:f>
        <x:v>11.5</x:v>
      </x:c>
      <x:c r="T408" s="106" t="str">
        <x:f>IF(R408&gt;='Inputs &amp; Guide'!$B$9,"HIGH",IF(R408&gt;=0.45,"WATCH","NORMAL"))</x:f>
        <x:v>HIGH</x:v>
      </x:c>
    </x:row>
    <x:row r="409">
      <x:c r="A409" s="95" t="n">
        <x:v>3241</x:v>
      </x:c>
      <x:c r="B409" s="96" t="n">
        <x:v>45427</x:v>
      </x:c>
      <x:c r="C409" s="97" t="str">
        <x:v>Tornado</x:v>
      </x:c>
      <x:c r="D409" s="97" t="str">
        <x:v>Brazil</x:v>
      </x:c>
      <x:c r="E409" s="98" t="n">
        <x:v>4.1302465866739135</x:v>
      </x:c>
      <x:c r="F409" s="99" t="n">
        <x:v>455.53587002550705</x:v>
      </x:c>
      <x:c r="G409" s="100" t="str">
        <x:f>XLOOKUP(D409,'Reference Tables'!$A$4:$A$23,'Reference Tables'!$B$4:$B$23,"Other")</x:f>
        <x:v>Latin America</x:v>
      </x:c>
      <x:c r="H409" s="100" t="str">
        <x:f>VLOOKUP(G409,'Reference Tables'!$I$4:$J$9,2,FALSE)</x:f>
        <x:v>Moderate</x:v>
      </x:c>
      <x:c r="I409" s="101" t="n">
        <x:f>F409*'Inputs &amp; Guide'!$B$4*XLOOKUP(D409,'Reference Tables'!$A$4:$A$23,'Reference Tables'!$C$4:$C$23,0.75)</x:f>
        <x:v>59.766306147346526</x:v>
      </x:c>
      <x:c r="J409" s="102" t="n">
        <x:f>XLOOKUP(C409,'Reference Tables'!$E$4:$E$12,'Reference Tables'!$F$4:$F$12,0.05)</x:f>
        <x:v>0.09</x:v>
      </x:c>
      <x:c r="K409" s="103" t="n">
        <x:f>MIN(I409,F409*J409)</x:f>
        <x:v>40.99822830229564</x:v>
      </x:c>
      <x:c r="L409" s="103" t="n">
        <x:f>'Inputs &amp; Guide'!$B$5</x:f>
        <x:v>15</x:v>
      </x:c>
      <x:c r="M409" s="103" t="n">
        <x:f>I409*'Inputs &amp; Guide'!$B$6</x:f>
        <x:v>32.87146838104059</x:v>
      </x:c>
      <x:c r="N409" s="103" t="n">
        <x:f>MAX(0,MIN(K409-L409,M409))</x:f>
        <x:v>25.998228302295637</x:v>
      </x:c>
      <x:c r="O409" s="103" t="n">
        <x:f>MAX(0,N409-'Inputs &amp; Guide'!$B$7)</x:f>
        <x:v>0</x:v>
      </x:c>
      <x:c r="P409" s="103" t="n">
        <x:f>N409-O409</x:f>
        <x:v>25.998228302295637</x:v>
      </x:c>
      <x:c r="Q409" s="103" t="n">
        <x:f>I409*'Inputs &amp; Guide'!$B$8</x:f>
        <x:v>1.0757935106522374</x:v>
      </x:c>
      <x:c r="R409" s="104" t="n">
        <x:f>IFERROR(P409/Q409,0)</x:f>
        <x:v>24.16655988799682</x:v>
      </x:c>
      <x:c r="S409" s="105" t="n">
        <x:f>ROUND(E409*XLOOKUP(C409,'Reference Tables'!$E$4:$E$12,'Reference Tables'!$G$4:$G$12,1),1)</x:f>
        <x:v>4.3</x:v>
      </x:c>
      <x:c r="T409" s="106" t="str">
        <x:f>IF(R409&gt;='Inputs &amp; Guide'!$B$9,"HIGH",IF(R409&gt;=0.45,"WATCH","NORMAL"))</x:f>
        <x:v>HIGH</x:v>
      </x:c>
    </x:row>
    <x:row r="410">
      <x:c r="A410" s="95" t="n">
        <x:v>3249</x:v>
      </x:c>
      <x:c r="B410" s="96" t="n">
        <x:v>45427.104166666664</x:v>
      </x:c>
      <x:c r="C410" s="97" t="str">
        <x:v>Tornado</x:v>
      </x:c>
      <x:c r="D410" s="97" t="str">
        <x:v>Brazil</x:v>
      </x:c>
      <x:c r="E410" s="98" t="n">
        <x:v>9.793928309401638</x:v>
      </x:c>
      <x:c r="F410" s="99" t="n">
        <x:v>386.52574690829874</x:v>
      </x:c>
      <x:c r="G410" s="100" t="str">
        <x:f>XLOOKUP(D410,'Reference Tables'!$A$4:$A$23,'Reference Tables'!$B$4:$B$23,"Other")</x:f>
        <x:v>Latin America</x:v>
      </x:c>
      <x:c r="H410" s="100" t="str">
        <x:f>VLOOKUP(G410,'Reference Tables'!$I$4:$J$9,2,FALSE)</x:f>
        <x:v>Moderate</x:v>
      </x:c>
      <x:c r="I410" s="101" t="n">
        <x:f>F410*'Inputs &amp; Guide'!$B$4*XLOOKUP(D410,'Reference Tables'!$A$4:$A$23,'Reference Tables'!$C$4:$C$23,0.75)</x:f>
        <x:v>50.712177994368794</x:v>
      </x:c>
      <x:c r="J410" s="102" t="n">
        <x:f>XLOOKUP(C410,'Reference Tables'!$E$4:$E$12,'Reference Tables'!$F$4:$F$12,0.05)</x:f>
        <x:v>0.09</x:v>
      </x:c>
      <x:c r="K410" s="103" t="n">
        <x:f>MIN(I410,F410*J410)</x:f>
        <x:v>34.78731722174688</x:v>
      </x:c>
      <x:c r="L410" s="103" t="n">
        <x:f>'Inputs &amp; Guide'!$B$5</x:f>
        <x:v>15</x:v>
      </x:c>
      <x:c r="M410" s="103" t="n">
        <x:f>I410*'Inputs &amp; Guide'!$B$6</x:f>
        <x:v>27.89169789690284</x:v>
      </x:c>
      <x:c r="N410" s="103" t="n">
        <x:f>MAX(0,MIN(K410-L410,M410))</x:f>
        <x:v>19.787317221746882</x:v>
      </x:c>
      <x:c r="O410" s="103" t="n">
        <x:f>MAX(0,N410-'Inputs &amp; Guide'!$B$7)</x:f>
        <x:v>0</x:v>
      </x:c>
      <x:c r="P410" s="103" t="n">
        <x:f>N410-O410</x:f>
        <x:v>19.787317221746882</x:v>
      </x:c>
      <x:c r="Q410" s="103" t="n">
        <x:f>I410*'Inputs &amp; Guide'!$B$8</x:f>
        <x:v>0.9128192038986382</x:v>
      </x:c>
      <x:c r="R410" s="104" t="n">
        <x:f>IFERROR(P410/Q410,0)</x:f>
        <x:v>21.67714826466788</x:v>
      </x:c>
      <x:c r="S410" s="105" t="n">
        <x:f>ROUND(E410*XLOOKUP(C410,'Reference Tables'!$E$4:$E$12,'Reference Tables'!$G$4:$G$12,1),1)</x:f>
        <x:v>10.3</x:v>
      </x:c>
      <x:c r="T410" s="106" t="str">
        <x:f>IF(R410&gt;='Inputs &amp; Guide'!$B$9,"HIGH",IF(R410&gt;=0.45,"WATCH","NORMAL"))</x:f>
        <x:v>HIGH</x:v>
      </x:c>
    </x:row>
    <x:row r="411">
      <x:c r="A411" s="95" t="n">
        <x:v>3257</x:v>
      </x:c>
      <x:c r="B411" s="96" t="n">
        <x:v>45427.4375</x:v>
      </x:c>
      <x:c r="C411" s="97" t="str">
        <x:v>Hurricane</x:v>
      </x:c>
      <x:c r="D411" s="97" t="str">
        <x:v>Brazil</x:v>
      </x:c>
      <x:c r="E411" s="98" t="n">
        <x:v>6.428498855623688</x:v>
      </x:c>
      <x:c r="F411" s="99" t="n">
        <x:v>201.89768533490835</x:v>
      </x:c>
      <x:c r="G411" s="100" t="str">
        <x:f>XLOOKUP(D411,'Reference Tables'!$A$4:$A$23,'Reference Tables'!$B$4:$B$23,"Other")</x:f>
        <x:v>Latin America</x:v>
      </x:c>
      <x:c r="H411" s="100" t="str">
        <x:f>VLOOKUP(G411,'Reference Tables'!$I$4:$J$9,2,FALSE)</x:f>
        <x:v>Moderate</x:v>
      </x:c>
      <x:c r="I411" s="101" t="n">
        <x:f>F411*'Inputs &amp; Guide'!$B$4*XLOOKUP(D411,'Reference Tables'!$A$4:$A$23,'Reference Tables'!$C$4:$C$23,0.75)</x:f>
        <x:v>26.488976315939972</x:v>
      </x:c>
      <x:c r="J411" s="102" t="n">
        <x:f>XLOOKUP(C411,'Reference Tables'!$E$4:$E$12,'Reference Tables'!$F$4:$F$12,0.05)</x:f>
        <x:v>0.18</x:v>
      </x:c>
      <x:c r="K411" s="103" t="n">
        <x:f>MIN(I411,F411*J411)</x:f>
        <x:v>26.488976315939972</x:v>
      </x:c>
      <x:c r="L411" s="103" t="n">
        <x:f>'Inputs &amp; Guide'!$B$5</x:f>
        <x:v>15</x:v>
      </x:c>
      <x:c r="M411" s="103" t="n">
        <x:f>I411*'Inputs &amp; Guide'!$B$6</x:f>
        <x:v>14.568936973766986</x:v>
      </x:c>
      <x:c r="N411" s="103" t="n">
        <x:f>MAX(0,MIN(K411-L411,M411))</x:f>
        <x:v>11.488976315939972</x:v>
      </x:c>
      <x:c r="O411" s="103" t="n">
        <x:f>MAX(0,N411-'Inputs &amp; Guide'!$B$7)</x:f>
        <x:v>0</x:v>
      </x:c>
      <x:c r="P411" s="103" t="n">
        <x:f>N411-O411</x:f>
        <x:v>11.488976315939972</x:v>
      </x:c>
      <x:c r="Q411" s="103" t="n">
        <x:f>I411*'Inputs &amp; Guide'!$B$8</x:f>
        <x:v>0.47680157368691944</x:v>
      </x:c>
      <x:c r="R411" s="104" t="n">
        <x:f>IFERROR(P411/Q411,0)</x:f>
        <x:v>24.09592784499478</x:v>
      </x:c>
      <x:c r="S411" s="105" t="n">
        <x:f>ROUND(E411*XLOOKUP(C411,'Reference Tables'!$E$4:$E$12,'Reference Tables'!$G$4:$G$12,1),1)</x:f>
        <x:v>9</x:v>
      </x:c>
      <x:c r="T411" s="106" t="str">
        <x:f>IF(R411&gt;='Inputs &amp; Guide'!$B$9,"HIGH",IF(R411&gt;=0.45,"WATCH","NORMAL"))</x:f>
        <x:v>HIGH</x:v>
      </x:c>
    </x:row>
    <x:row r="412">
      <x:c r="A412" s="95" t="n">
        <x:v>3265</x:v>
      </x:c>
      <x:c r="B412" s="96" t="n">
        <x:v>45428</x:v>
      </x:c>
      <x:c r="C412" s="97" t="str">
        <x:v>Tornado</x:v>
      </x:c>
      <x:c r="D412" s="97" t="str">
        <x:v>Brazil</x:v>
      </x:c>
      <x:c r="E412" s="98" t="n">
        <x:v>3.3318933473028287</x:v>
      </x:c>
      <x:c r="F412" s="99" t="n">
        <x:v>437.08264186806895</x:v>
      </x:c>
      <x:c r="G412" s="100" t="str">
        <x:f>XLOOKUP(D412,'Reference Tables'!$A$4:$A$23,'Reference Tables'!$B$4:$B$23,"Other")</x:f>
        <x:v>Latin America</x:v>
      </x:c>
      <x:c r="H412" s="100" t="str">
        <x:f>VLOOKUP(G412,'Reference Tables'!$I$4:$J$9,2,FALSE)</x:f>
        <x:v>Moderate</x:v>
      </x:c>
      <x:c r="I412" s="101" t="n">
        <x:f>F412*'Inputs &amp; Guide'!$B$4*XLOOKUP(D412,'Reference Tables'!$A$4:$A$23,'Reference Tables'!$C$4:$C$23,0.75)</x:f>
        <x:v>57.34524261309064</x:v>
      </x:c>
      <x:c r="J412" s="102" t="n">
        <x:f>XLOOKUP(C412,'Reference Tables'!$E$4:$E$12,'Reference Tables'!$F$4:$F$12,0.05)</x:f>
        <x:v>0.09</x:v>
      </x:c>
      <x:c r="K412" s="103" t="n">
        <x:f>MIN(I412,F412*J412)</x:f>
        <x:v>39.3374377681262</x:v>
      </x:c>
      <x:c r="L412" s="103" t="n">
        <x:f>'Inputs &amp; Guide'!$B$5</x:f>
        <x:v>15</x:v>
      </x:c>
      <x:c r="M412" s="103" t="n">
        <x:f>I412*'Inputs &amp; Guide'!$B$6</x:f>
        <x:v>31.539883437199855</x:v>
      </x:c>
      <x:c r="N412" s="103" t="n">
        <x:f>MAX(0,MIN(K412-L412,M412))</x:f>
        <x:v>24.3374377681262</x:v>
      </x:c>
      <x:c r="O412" s="103" t="n">
        <x:f>MAX(0,N412-'Inputs &amp; Guide'!$B$7)</x:f>
        <x:v>0</x:v>
      </x:c>
      <x:c r="P412" s="103" t="n">
        <x:f>N412-O412</x:f>
        <x:v>24.3374377681262</x:v>
      </x:c>
      <x:c r="Q412" s="103" t="n">
        <x:f>I412*'Inputs &amp; Guide'!$B$8</x:f>
        <x:v>1.0322143670356314</x:v>
      </x:c>
      <x:c r="R412" s="104" t="n">
        <x:f>IFERROR(P412/Q412,0)</x:f>
        <x:v>23.577890935600674</x:v>
      </x:c>
      <x:c r="S412" s="105" t="n">
        <x:f>ROUND(E412*XLOOKUP(C412,'Reference Tables'!$E$4:$E$12,'Reference Tables'!$G$4:$G$12,1),1)</x:f>
        <x:v>3.5</x:v>
      </x:c>
      <x:c r="T412" s="106" t="str">
        <x:f>IF(R412&gt;='Inputs &amp; Guide'!$B$9,"HIGH",IF(R412&gt;=0.45,"WATCH","NORMAL"))</x:f>
        <x:v>HIGH</x:v>
      </x:c>
    </x:row>
    <x:row r="413">
      <x:c r="A413" s="95" t="n">
        <x:v>3273</x:v>
      </x:c>
      <x:c r="B413" s="96" t="n">
        <x:v>45428.104166666664</x:v>
      </x:c>
      <x:c r="C413" s="97" t="str">
        <x:v>Hurricane</x:v>
      </x:c>
      <x:c r="D413" s="97" t="str">
        <x:v>China</x:v>
      </x:c>
      <x:c r="E413" s="98" t="n">
        <x:v>6.046722486488262</x:v>
      </x:c>
      <x:c r="F413" s="99" t="n">
        <x:v>964.630769404716</x:v>
      </x:c>
      <x:c r="G413" s="100" t="str">
        <x:f>XLOOKUP(D413,'Reference Tables'!$A$4:$A$23,'Reference Tables'!$B$4:$B$23,"Other")</x:f>
        <x:v>Asia Pacific</x:v>
      </x:c>
      <x:c r="H413" s="100" t="str">
        <x:f>VLOOKUP(G413,'Reference Tables'!$I$4:$J$9,2,FALSE)</x:f>
        <x:v>High</x:v>
      </x:c>
      <x:c r="I413" s="101" t="n">
        <x:f>F413*'Inputs &amp; Guide'!$B$4*XLOOKUP(D413,'Reference Tables'!$A$4:$A$23,'Reference Tables'!$C$4:$C$23,0.75)</x:f>
        <x:v>166.68819695313496</x:v>
      </x:c>
      <x:c r="J413" s="102" t="n">
        <x:f>XLOOKUP(C413,'Reference Tables'!$E$4:$E$12,'Reference Tables'!$F$4:$F$12,0.05)</x:f>
        <x:v>0.18</x:v>
      </x:c>
      <x:c r="K413" s="103" t="n">
        <x:f>MIN(I413,F413*J413)</x:f>
        <x:v>166.68819695313496</x:v>
      </x:c>
      <x:c r="L413" s="103" t="n">
        <x:f>'Inputs &amp; Guide'!$B$5</x:f>
        <x:v>15</x:v>
      </x:c>
      <x:c r="M413" s="103" t="n">
        <x:f>I413*'Inputs &amp; Guide'!$B$6</x:f>
        <x:v>91.67850832422424</x:v>
      </x:c>
      <x:c r="N413" s="103" t="n">
        <x:f>MAX(0,MIN(K413-L413,M413))</x:f>
        <x:v>91.67850832422424</x:v>
      </x:c>
      <x:c r="O413" s="103" t="n">
        <x:f>MAX(0,N413-'Inputs &amp; Guide'!$B$7)</x:f>
        <x:v>31.67850832422424</x:v>
      </x:c>
      <x:c r="P413" s="103" t="n">
        <x:f>N413-O413</x:f>
        <x:v>60</x:v>
      </x:c>
      <x:c r="Q413" s="103" t="n">
        <x:f>I413*'Inputs &amp; Guide'!$B$8</x:f>
        <x:v>3.0003875451564292</x:v>
      </x:c>
      <x:c r="R413" s="104" t="n">
        <x:f>IFERROR(P413/Q413,0)</x:f>
        <x:v>19.997416699339023</x:v>
      </x:c>
      <x:c r="S413" s="105" t="n">
        <x:f>ROUND(E413*XLOOKUP(C413,'Reference Tables'!$E$4:$E$12,'Reference Tables'!$G$4:$G$12,1),1)</x:f>
        <x:v>8.5</x:v>
      </x:c>
      <x:c r="T413" s="106" t="str">
        <x:f>IF(R413&gt;='Inputs &amp; Guide'!$B$9,"HIGH",IF(R413&gt;=0.45,"WATCH","NORMAL"))</x:f>
        <x:v>HIGH</x:v>
      </x:c>
    </x:row>
    <x:row r="414">
      <x:c r="A414" s="95" t="n">
        <x:v>3281</x:v>
      </x:c>
      <x:c r="B414" s="96" t="n">
        <x:v>45428.4375</x:v>
      </x:c>
      <x:c r="C414" s="97" t="str">
        <x:v>Tornado</x:v>
      </x:c>
      <x:c r="D414" s="97" t="str">
        <x:v>Indonesia</x:v>
      </x:c>
      <x:c r="E414" s="98" t="n">
        <x:v>2.9293043902925406</x:v>
      </x:c>
      <x:c r="F414" s="99" t="n">
        <x:v>288.9871866577171</x:v>
      </x:c>
      <x:c r="G414" s="100" t="str">
        <x:f>XLOOKUP(D414,'Reference Tables'!$A$4:$A$23,'Reference Tables'!$B$4:$B$23,"Other")</x:f>
        <x:v>Asia Pacific</x:v>
      </x:c>
      <x:c r="H414" s="100" t="str">
        <x:f>VLOOKUP(G414,'Reference Tables'!$I$4:$J$9,2,FALSE)</x:f>
        <x:v>High</x:v>
      </x:c>
      <x:c r="I414" s="101" t="n">
        <x:f>F414*'Inputs &amp; Guide'!$B$4*XLOOKUP(D414,'Reference Tables'!$A$4:$A$23,'Reference Tables'!$C$4:$C$23,0.75)</x:f>
        <x:v>47.62508836119178</x:v>
      </x:c>
      <x:c r="J414" s="102" t="n">
        <x:f>XLOOKUP(C414,'Reference Tables'!$E$4:$E$12,'Reference Tables'!$F$4:$F$12,0.05)</x:f>
        <x:v>0.09</x:v>
      </x:c>
      <x:c r="K414" s="103" t="n">
        <x:f>MIN(I414,F414*J414)</x:f>
        <x:v>26.008846799194536</x:v>
      </x:c>
      <x:c r="L414" s="103" t="n">
        <x:f>'Inputs &amp; Guide'!$B$5</x:f>
        <x:v>15</x:v>
      </x:c>
      <x:c r="M414" s="103" t="n">
        <x:f>I414*'Inputs &amp; Guide'!$B$6</x:f>
        <x:v>26.19379859865548</x:v>
      </x:c>
      <x:c r="N414" s="103" t="n">
        <x:f>MAX(0,MIN(K414-L414,M414))</x:f>
        <x:v>11.008846799194536</x:v>
      </x:c>
      <x:c r="O414" s="103" t="n">
        <x:f>MAX(0,N414-'Inputs &amp; Guide'!$B$7)</x:f>
        <x:v>0</x:v>
      </x:c>
      <x:c r="P414" s="103" t="n">
        <x:f>N414-O414</x:f>
        <x:v>11.008846799194536</x:v>
      </x:c>
      <x:c r="Q414" s="103" t="n">
        <x:f>I414*'Inputs &amp; Guide'!$B$8</x:f>
        <x:v>0.8572515905014519</x:v>
      </x:c>
      <x:c r="R414" s="104" t="n">
        <x:f>IFERROR(P414/Q414,0)</x:f>
        <x:v>12.842025516400474</x:v>
      </x:c>
      <x:c r="S414" s="105" t="n">
        <x:f>ROUND(E414*XLOOKUP(C414,'Reference Tables'!$E$4:$E$12,'Reference Tables'!$G$4:$G$12,1),1)</x:f>
        <x:v>3.1</x:v>
      </x:c>
      <x:c r="T414" s="106" t="str">
        <x:f>IF(R414&gt;='Inputs &amp; Guide'!$B$9,"HIGH",IF(R414&gt;=0.45,"WATCH","NORMAL"))</x:f>
        <x:v>HIGH</x:v>
      </x:c>
    </x:row>
    <x:row r="415">
      <x:c r="A415" s="95" t="n">
        <x:v>3289</x:v>
      </x:c>
      <x:c r="B415" s="96" t="n">
        <x:v>45429</x:v>
      </x:c>
      <x:c r="C415" s="97" t="str">
        <x:v>Hurricane</x:v>
      </x:c>
      <x:c r="D415" s="97" t="str">
        <x:v>Indonesia</x:v>
      </x:c>
      <x:c r="E415" s="98" t="n">
        <x:v>8.164099100101375</x:v>
      </x:c>
      <x:c r="F415" s="99" t="n">
        <x:v>483.4349938974626</x:v>
      </x:c>
      <x:c r="G415" s="100" t="str">
        <x:f>XLOOKUP(D415,'Reference Tables'!$A$4:$A$23,'Reference Tables'!$B$4:$B$23,"Other")</x:f>
        <x:v>Asia Pacific</x:v>
      </x:c>
      <x:c r="H415" s="100" t="str">
        <x:f>VLOOKUP(G415,'Reference Tables'!$I$4:$J$9,2,FALSE)</x:f>
        <x:v>High</x:v>
      </x:c>
      <x:c r="I415" s="101" t="n">
        <x:f>F415*'Inputs &amp; Guide'!$B$4*XLOOKUP(D415,'Reference Tables'!$A$4:$A$23,'Reference Tables'!$C$4:$C$23,0.75)</x:f>
        <x:v>79.67008699430184</x:v>
      </x:c>
      <x:c r="J415" s="102" t="n">
        <x:f>XLOOKUP(C415,'Reference Tables'!$E$4:$E$12,'Reference Tables'!$F$4:$F$12,0.05)</x:f>
        <x:v>0.18</x:v>
      </x:c>
      <x:c r="K415" s="103" t="n">
        <x:f>MIN(I415,F415*J415)</x:f>
        <x:v>79.67008699430184</x:v>
      </x:c>
      <x:c r="L415" s="103" t="n">
        <x:f>'Inputs &amp; Guide'!$B$5</x:f>
        <x:v>15</x:v>
      </x:c>
      <x:c r="M415" s="103" t="n">
        <x:f>I415*'Inputs &amp; Guide'!$B$6</x:f>
        <x:v>43.81854784686602</x:v>
      </x:c>
      <x:c r="N415" s="103" t="n">
        <x:f>MAX(0,MIN(K415-L415,M415))</x:f>
        <x:v>43.81854784686602</x:v>
      </x:c>
      <x:c r="O415" s="103" t="n">
        <x:f>MAX(0,N415-'Inputs &amp; Guide'!$B$7)</x:f>
        <x:v>0</x:v>
      </x:c>
      <x:c r="P415" s="103" t="n">
        <x:f>N415-O415</x:f>
        <x:v>43.81854784686602</x:v>
      </x:c>
      <x:c r="Q415" s="103" t="n">
        <x:f>I415*'Inputs &amp; Guide'!$B$8</x:f>
        <x:v>1.434061565897433</x:v>
      </x:c>
      <x:c r="R415" s="104" t="n">
        <x:f>IFERROR(P415/Q415,0)</x:f>
        <x:v>30.555555555555564</x:v>
      </x:c>
      <x:c r="S415" s="105" t="n">
        <x:f>ROUND(E415*XLOOKUP(C415,'Reference Tables'!$E$4:$E$12,'Reference Tables'!$G$4:$G$12,1),1)</x:f>
        <x:v>11.4</x:v>
      </x:c>
      <x:c r="T415" s="106" t="str">
        <x:f>IF(R415&gt;='Inputs &amp; Guide'!$B$9,"HIGH",IF(R415&gt;=0.45,"WATCH","NORMAL"))</x:f>
        <x:v>HIGH</x:v>
      </x:c>
    </x:row>
    <x:row r="416">
      <x:c r="A416" s="95" t="n">
        <x:v>3297</x:v>
      </x:c>
      <x:c r="B416" s="96" t="n">
        <x:v>45429.104166666664</x:v>
      </x:c>
      <x:c r="C416" s="97" t="str">
        <x:v>Flood</x:v>
      </x:c>
      <x:c r="D416" s="97" t="str">
        <x:v>Indonesia</x:v>
      </x:c>
      <x:c r="E416" s="98" t="n">
        <x:v>8.72859123958683</x:v>
      </x:c>
      <x:c r="F416" s="99" t="n">
        <x:v>500.6396057366296</x:v>
      </x:c>
      <x:c r="G416" s="100" t="str">
        <x:f>XLOOKUP(D416,'Reference Tables'!$A$4:$A$23,'Reference Tables'!$B$4:$B$23,"Other")</x:f>
        <x:v>Asia Pacific</x:v>
      </x:c>
      <x:c r="H416" s="100" t="str">
        <x:f>VLOOKUP(G416,'Reference Tables'!$I$4:$J$9,2,FALSE)</x:f>
        <x:v>High</x:v>
      </x:c>
      <x:c r="I416" s="101" t="n">
        <x:f>F416*'Inputs &amp; Guide'!$B$4*XLOOKUP(D416,'Reference Tables'!$A$4:$A$23,'Reference Tables'!$C$4:$C$23,0.75)</x:f>
        <x:v>82.50540702539656</x:v>
      </x:c>
      <x:c r="J416" s="102" t="n">
        <x:f>XLOOKUP(C416,'Reference Tables'!$E$4:$E$12,'Reference Tables'!$F$4:$F$12,0.05)</x:f>
        <x:v>0.12</x:v>
      </x:c>
      <x:c r="K416" s="103" t="n">
        <x:f>MIN(I416,F416*J416)</x:f>
        <x:v>60.07675268839555</x:v>
      </x:c>
      <x:c r="L416" s="103" t="n">
        <x:f>'Inputs &amp; Guide'!$B$5</x:f>
        <x:v>15</x:v>
      </x:c>
      <x:c r="M416" s="103" t="n">
        <x:f>I416*'Inputs &amp; Guide'!$B$6</x:f>
        <x:v>45.377973863968116</x:v>
      </x:c>
      <x:c r="N416" s="103" t="n">
        <x:f>MAX(0,MIN(K416-L416,M416))</x:f>
        <x:v>45.07675268839555</x:v>
      </x:c>
      <x:c r="O416" s="103" t="n">
        <x:f>MAX(0,N416-'Inputs &amp; Guide'!$B$7)</x:f>
        <x:v>0</x:v>
      </x:c>
      <x:c r="P416" s="103" t="n">
        <x:f>N416-O416</x:f>
        <x:v>45.07675268839555</x:v>
      </x:c>
      <x:c r="Q416" s="103" t="n">
        <x:f>I416*'Inputs &amp; Guide'!$B$8</x:f>
        <x:v>1.485097326457138</x:v>
      </x:c>
      <x:c r="R416" s="104" t="n">
        <x:f>IFERROR(P416/Q416,0)</x:f>
        <x:v>30.35272630645095</x:v>
      </x:c>
      <x:c r="S416" s="105" t="n">
        <x:f>ROUND(E416*XLOOKUP(C416,'Reference Tables'!$E$4:$E$12,'Reference Tables'!$G$4:$G$12,1),1)</x:f>
        <x:v>10.9</x:v>
      </x:c>
      <x:c r="T416" s="106" t="str">
        <x:f>IF(R416&gt;='Inputs &amp; Guide'!$B$9,"HIGH",IF(R416&gt;=0.45,"WATCH","NORMAL"))</x:f>
        <x:v>HIGH</x:v>
      </x:c>
    </x:row>
    <x:row r="417">
      <x:c r="A417" s="95" t="n">
        <x:v>3305</x:v>
      </x:c>
      <x:c r="B417" s="96" t="n">
        <x:v>45429.4375</x:v>
      </x:c>
      <x:c r="C417" s="97" t="str">
        <x:v>Flood</x:v>
      </x:c>
      <x:c r="D417" s="97" t="str">
        <x:v>Brazil</x:v>
      </x:c>
      <x:c r="E417" s="98" t="n">
        <x:v>7.044148848846973</x:v>
      </x:c>
      <x:c r="F417" s="99" t="n">
        <x:v>113.4043076376717</x:v>
      </x:c>
      <x:c r="G417" s="100" t="str">
        <x:f>XLOOKUP(D417,'Reference Tables'!$A$4:$A$23,'Reference Tables'!$B$4:$B$23,"Other")</x:f>
        <x:v>Latin America</x:v>
      </x:c>
      <x:c r="H417" s="100" t="str">
        <x:f>VLOOKUP(G417,'Reference Tables'!$I$4:$J$9,2,FALSE)</x:f>
        <x:v>Moderate</x:v>
      </x:c>
      <x:c r="I417" s="101" t="n">
        <x:f>F417*'Inputs &amp; Guide'!$B$4*XLOOKUP(D417,'Reference Tables'!$A$4:$A$23,'Reference Tables'!$C$4:$C$23,0.75)</x:f>
        <x:v>14.878645162062528</x:v>
      </x:c>
      <x:c r="J417" s="102" t="n">
        <x:f>XLOOKUP(C417,'Reference Tables'!$E$4:$E$12,'Reference Tables'!$F$4:$F$12,0.05)</x:f>
        <x:v>0.12</x:v>
      </x:c>
      <x:c r="K417" s="103" t="n">
        <x:f>MIN(I417,F417*J417)</x:f>
        <x:v>13.608516916520605</x:v>
      </x:c>
      <x:c r="L417" s="103" t="n">
        <x:f>'Inputs &amp; Guide'!$B$5</x:f>
        <x:v>15</x:v>
      </x:c>
      <x:c r="M417" s="103" t="n">
        <x:f>I417*'Inputs &amp; Guide'!$B$6</x:f>
        <x:v>8.18325483913439</x:v>
      </x:c>
      <x:c r="N417" s="103" t="n">
        <x:f>MAX(0,MIN(K417-L417,M417))</x:f>
        <x:v>0</x:v>
      </x:c>
      <x:c r="O417" s="103" t="n">
        <x:f>MAX(0,N417-'Inputs &amp; Guide'!$B$7)</x:f>
        <x:v>0</x:v>
      </x:c>
      <x:c r="P417" s="103" t="n">
        <x:f>N417-O417</x:f>
        <x:v>0</x:v>
      </x:c>
      <x:c r="Q417" s="103" t="n">
        <x:f>I417*'Inputs &amp; Guide'!$B$8</x:f>
        <x:v>0.26781561291712547</x:v>
      </x:c>
      <x:c r="R417" s="104" t="n">
        <x:f>IFERROR(P417/Q417,0)</x:f>
        <x:v>0</x:v>
      </x:c>
      <x:c r="S417" s="105" t="n">
        <x:f>ROUND(E417*XLOOKUP(C417,'Reference Tables'!$E$4:$E$12,'Reference Tables'!$G$4:$G$12,1),1)</x:f>
        <x:v>8.8</x:v>
      </x:c>
      <x:c r="T417" s="106" t="str">
        <x:f>IF(R417&gt;='Inputs &amp; Guide'!$B$9,"HIGH",IF(R417&gt;=0.45,"WATCH","NORMAL"))</x:f>
        <x:v>NORMAL</x:v>
      </x:c>
    </x:row>
    <x:row r="418">
      <x:c r="A418" s="95" t="n">
        <x:v>3313</x:v>
      </x:c>
      <x:c r="B418" s="96" t="n">
        <x:v>45430</x:v>
      </x:c>
      <x:c r="C418" s="97" t="str">
        <x:v>Wildfire</x:v>
      </x:c>
      <x:c r="D418" s="97" t="str">
        <x:v>China</x:v>
      </x:c>
      <x:c r="E418" s="98" t="n">
        <x:v>2.440407663430546</x:v>
      </x:c>
      <x:c r="F418" s="99" t="n">
        <x:v>33.061605945628706</x:v>
      </x:c>
      <x:c r="G418" s="100" t="str">
        <x:f>XLOOKUP(D418,'Reference Tables'!$A$4:$A$23,'Reference Tables'!$B$4:$B$23,"Other")</x:f>
        <x:v>Asia Pacific</x:v>
      </x:c>
      <x:c r="H418" s="100" t="str">
        <x:f>VLOOKUP(G418,'Reference Tables'!$I$4:$J$9,2,FALSE)</x:f>
        <x:v>High</x:v>
      </x:c>
      <x:c r="I418" s="101" t="n">
        <x:f>F418*'Inputs &amp; Guide'!$B$4*XLOOKUP(D418,'Reference Tables'!$A$4:$A$23,'Reference Tables'!$C$4:$C$23,0.75)</x:f>
        <x:v>5.713045507404641</x:v>
      </x:c>
      <x:c r="J418" s="102" t="n">
        <x:f>XLOOKUP(C418,'Reference Tables'!$E$4:$E$12,'Reference Tables'!$F$4:$F$12,0.05)</x:f>
        <x:v>0.1</x:v>
      </x:c>
      <x:c r="K418" s="103" t="n">
        <x:f>MIN(I418,F418*J418)</x:f>
        <x:v>3.3061605945628707</x:v>
      </x:c>
      <x:c r="L418" s="103" t="n">
        <x:f>'Inputs &amp; Guide'!$B$5</x:f>
        <x:v>15</x:v>
      </x:c>
      <x:c r="M418" s="103" t="n">
        <x:f>I418*'Inputs &amp; Guide'!$B$6</x:f>
        <x:v>3.1421750290725527</x:v>
      </x:c>
      <x:c r="N418" s="103" t="n">
        <x:f>MAX(0,MIN(K418-L418,M418))</x:f>
        <x:v>0</x:v>
      </x:c>
      <x:c r="O418" s="103" t="n">
        <x:f>MAX(0,N418-'Inputs &amp; Guide'!$B$7)</x:f>
        <x:v>0</x:v>
      </x:c>
      <x:c r="P418" s="103" t="n">
        <x:f>N418-O418</x:f>
        <x:v>0</x:v>
      </x:c>
      <x:c r="Q418" s="103" t="n">
        <x:f>I418*'Inputs &amp; Guide'!$B$8</x:f>
        <x:v>0.10283481913328353</x:v>
      </x:c>
      <x:c r="R418" s="104" t="n">
        <x:f>IFERROR(P418/Q418,0)</x:f>
        <x:v>0</x:v>
      </x:c>
      <x:c r="S418" s="105" t="n">
        <x:f>ROUND(E418*XLOOKUP(C418,'Reference Tables'!$E$4:$E$12,'Reference Tables'!$G$4:$G$12,1),1)</x:f>
        <x:v>2.8</x:v>
      </x:c>
      <x:c r="T418" s="106" t="str">
        <x:f>IF(R418&gt;='Inputs &amp; Guide'!$B$9,"HIGH",IF(R418&gt;=0.45,"WATCH","NORMAL"))</x:f>
        <x:v>NORMAL</x:v>
      </x:c>
    </x:row>
    <x:row r="419">
      <x:c r="A419" s="95" t="n">
        <x:v>3321</x:v>
      </x:c>
      <x:c r="B419" s="96" t="n">
        <x:v>45430.104166666664</x:v>
      </x:c>
      <x:c r="C419" s="97" t="str">
        <x:v>Flood</x:v>
      </x:c>
      <x:c r="D419" s="97" t="str">
        <x:v>USA</x:v>
      </x:c>
      <x:c r="E419" s="98" t="n">
        <x:v>9.8491804532709</x:v>
      </x:c>
      <x:c r="F419" s="99" t="n">
        <x:v>528.5800335575276</x:v>
      </x:c>
      <x:c r="G419" s="100" t="str">
        <x:f>XLOOKUP(D419,'Reference Tables'!$A$4:$A$23,'Reference Tables'!$B$4:$B$23,"Other")</x:f>
        <x:v>Other</x:v>
      </x:c>
      <x:c r="H419" s="100" t="str">
        <x:f>VLOOKUP(G419,'Reference Tables'!$I$4:$J$9,2,FALSE)</x:f>
        <x:v>Moderate</x:v>
      </x:c>
      <x:c r="I419" s="101" t="n">
        <x:f>F419*'Inputs &amp; Guide'!$B$4*XLOOKUP(D419,'Reference Tables'!$A$4:$A$23,'Reference Tables'!$C$4:$C$23,0.75)</x:f>
        <x:v>63.42960402690331</x:v>
      </x:c>
      <x:c r="J419" s="102" t="n">
        <x:f>XLOOKUP(C419,'Reference Tables'!$E$4:$E$12,'Reference Tables'!$F$4:$F$12,0.05)</x:f>
        <x:v>0.12</x:v>
      </x:c>
      <x:c r="K419" s="103" t="n">
        <x:f>MIN(I419,F419*J419)</x:f>
        <x:v>63.42960402690331</x:v>
      </x:c>
      <x:c r="L419" s="103" t="n">
        <x:f>'Inputs &amp; Guide'!$B$5</x:f>
        <x:v>15</x:v>
      </x:c>
      <x:c r="M419" s="103" t="n">
        <x:f>I419*'Inputs &amp; Guide'!$B$6</x:f>
        <x:v>34.88628221479682</x:v>
      </x:c>
      <x:c r="N419" s="103" t="n">
        <x:f>MAX(0,MIN(K419-L419,M419))</x:f>
        <x:v>34.88628221479682</x:v>
      </x:c>
      <x:c r="O419" s="103" t="n">
        <x:f>MAX(0,N419-'Inputs &amp; Guide'!$B$7)</x:f>
        <x:v>0</x:v>
      </x:c>
      <x:c r="P419" s="103" t="n">
        <x:f>N419-O419</x:f>
        <x:v>34.88628221479682</x:v>
      </x:c>
      <x:c r="Q419" s="103" t="n">
        <x:f>I419*'Inputs &amp; Guide'!$B$8</x:f>
        <x:v>1.1417328724842595</x:v>
      </x:c>
      <x:c r="R419" s="104" t="n">
        <x:f>IFERROR(P419/Q419,0)</x:f>
        <x:v>30.55555555555556</x:v>
      </x:c>
      <x:c r="S419" s="105" t="n">
        <x:f>ROUND(E419*XLOOKUP(C419,'Reference Tables'!$E$4:$E$12,'Reference Tables'!$G$4:$G$12,1),1)</x:f>
        <x:v>12.3</x:v>
      </x:c>
      <x:c r="T419" s="106" t="str">
        <x:f>IF(R419&gt;='Inputs &amp; Guide'!$B$9,"HIGH",IF(R419&gt;=0.45,"WATCH","NORMAL"))</x:f>
        <x:v>HIGH</x:v>
      </x:c>
    </x:row>
    <x:row r="420">
      <x:c r="A420" s="95" t="n">
        <x:v>3329</x:v>
      </x:c>
      <x:c r="B420" s="96" t="n">
        <x:v>45430.4375</x:v>
      </x:c>
      <x:c r="C420" s="97" t="str">
        <x:v>Tornado</x:v>
      </x:c>
      <x:c r="D420" s="97" t="str">
        <x:v>Indonesia</x:v>
      </x:c>
      <x:c r="E420" s="98" t="n">
        <x:v>1.6664618772194955</x:v>
      </x:c>
      <x:c r="F420" s="99" t="n">
        <x:v>17.624681992866883</x:v>
      </x:c>
      <x:c r="G420" s="100" t="str">
        <x:f>XLOOKUP(D420,'Reference Tables'!$A$4:$A$23,'Reference Tables'!$B$4:$B$23,"Other")</x:f>
        <x:v>Asia Pacific</x:v>
      </x:c>
      <x:c r="H420" s="100" t="str">
        <x:f>VLOOKUP(G420,'Reference Tables'!$I$4:$J$9,2,FALSE)</x:f>
        <x:v>High</x:v>
      </x:c>
      <x:c r="I420" s="101" t="n">
        <x:f>F420*'Inputs &amp; Guide'!$B$4*XLOOKUP(D420,'Reference Tables'!$A$4:$A$23,'Reference Tables'!$C$4:$C$23,0.75)</x:f>
        <x:v>2.9045475924244624</x:v>
      </x:c>
      <x:c r="J420" s="102" t="n">
        <x:f>XLOOKUP(C420,'Reference Tables'!$E$4:$E$12,'Reference Tables'!$F$4:$F$12,0.05)</x:f>
        <x:v>0.09</x:v>
      </x:c>
      <x:c r="K420" s="103" t="n">
        <x:f>MIN(I420,F420*J420)</x:f>
        <x:v>1.5862213793580193</x:v>
      </x:c>
      <x:c r="L420" s="103" t="n">
        <x:f>'Inputs &amp; Guide'!$B$5</x:f>
        <x:v>15</x:v>
      </x:c>
      <x:c r="M420" s="103" t="n">
        <x:f>I420*'Inputs &amp; Guide'!$B$6</x:f>
        <x:v>1.5975011758334545</x:v>
      </x:c>
      <x:c r="N420" s="103" t="n">
        <x:f>MAX(0,MIN(K420-L420,M420))</x:f>
        <x:v>0</x:v>
      </x:c>
      <x:c r="O420" s="103" t="n">
        <x:f>MAX(0,N420-'Inputs &amp; Guide'!$B$7)</x:f>
        <x:v>0</x:v>
      </x:c>
      <x:c r="P420" s="103" t="n">
        <x:f>N420-O420</x:f>
        <x:v>0</x:v>
      </x:c>
      <x:c r="Q420" s="103" t="n">
        <x:f>I420*'Inputs &amp; Guide'!$B$8</x:f>
        <x:v>0.05228185666364032</x:v>
      </x:c>
      <x:c r="R420" s="104" t="n">
        <x:f>IFERROR(P420/Q420,0)</x:f>
        <x:v>0</x:v>
      </x:c>
      <x:c r="S420" s="105" t="n">
        <x:f>ROUND(E420*XLOOKUP(C420,'Reference Tables'!$E$4:$E$12,'Reference Tables'!$G$4:$G$12,1),1)</x:f>
        <x:v>1.7</x:v>
      </x:c>
      <x:c r="T420" s="106" t="str">
        <x:f>IF(R420&gt;='Inputs &amp; Guide'!$B$9,"HIGH",IF(R420&gt;=0.45,"WATCH","NORMAL"))</x:f>
        <x:v>NORMAL</x:v>
      </x:c>
    </x:row>
    <x:row r="421">
      <x:c r="A421" s="95" t="n">
        <x:v>3337</x:v>
      </x:c>
      <x:c r="B421" s="96" t="n">
        <x:v>45431</x:v>
      </x:c>
      <x:c r="C421" s="97" t="str">
        <x:v>Hurricane</x:v>
      </x:c>
      <x:c r="D421" s="97" t="str">
        <x:v>Japan</x:v>
      </x:c>
      <x:c r="E421" s="98" t="n">
        <x:v>7.63435674480917</x:v>
      </x:c>
      <x:c r="F421" s="99" t="n">
        <x:v>900.7018457042157</x:v>
      </x:c>
      <x:c r="G421" s="100" t="str">
        <x:f>XLOOKUP(D421,'Reference Tables'!$A$4:$A$23,'Reference Tables'!$B$4:$B$23,"Other")</x:f>
        <x:v>Asia Pacific</x:v>
      </x:c>
      <x:c r="H421" s="100" t="str">
        <x:f>VLOOKUP(G421,'Reference Tables'!$I$4:$J$9,2,FALSE)</x:f>
        <x:v>High</x:v>
      </x:c>
      <x:c r="I421" s="101" t="n">
        <x:f>F421*'Inputs &amp; Guide'!$B$4*XLOOKUP(D421,'Reference Tables'!$A$4:$A$23,'Reference Tables'!$C$4:$C$23,0.75)</x:f>
        <x:v>170.05250846895592</x:v>
      </x:c>
      <x:c r="J421" s="102" t="n">
        <x:f>XLOOKUP(C421,'Reference Tables'!$E$4:$E$12,'Reference Tables'!$F$4:$F$12,0.05)</x:f>
        <x:v>0.18</x:v>
      </x:c>
      <x:c r="K421" s="103" t="n">
        <x:f>MIN(I421,F421*J421)</x:f>
        <x:v>162.12633222675882</x:v>
      </x:c>
      <x:c r="L421" s="103" t="n">
        <x:f>'Inputs &amp; Guide'!$B$5</x:f>
        <x:v>15</x:v>
      </x:c>
      <x:c r="M421" s="103" t="n">
        <x:f>I421*'Inputs &amp; Guide'!$B$6</x:f>
        <x:v>93.52887965792577</x:v>
      </x:c>
      <x:c r="N421" s="103" t="n">
        <x:f>MAX(0,MIN(K421-L421,M421))</x:f>
        <x:v>93.52887965792577</x:v>
      </x:c>
      <x:c r="O421" s="103" t="n">
        <x:f>MAX(0,N421-'Inputs &amp; Guide'!$B$7)</x:f>
        <x:v>33.52887965792577</x:v>
      </x:c>
      <x:c r="P421" s="103" t="n">
        <x:f>N421-O421</x:f>
        <x:v>60</x:v>
      </x:c>
      <x:c r="Q421" s="103" t="n">
        <x:f>I421*'Inputs &amp; Guide'!$B$8</x:f>
        <x:v>3.060945152441206</x:v>
      </x:c>
      <x:c r="R421" s="104" t="n">
        <x:f>IFERROR(P421/Q421,0)</x:f>
        <x:v>19.601788667186014</x:v>
      </x:c>
      <x:c r="S421" s="105" t="n">
        <x:f>ROUND(E421*XLOOKUP(C421,'Reference Tables'!$E$4:$E$12,'Reference Tables'!$G$4:$G$12,1),1)</x:f>
        <x:v>10.7</x:v>
      </x:c>
      <x:c r="T421" s="106" t="str">
        <x:f>IF(R421&gt;='Inputs &amp; Guide'!$B$9,"HIGH",IF(R421&gt;=0.45,"WATCH","NORMAL"))</x:f>
        <x:v>HIGH</x:v>
      </x:c>
    </x:row>
    <x:row r="422">
      <x:c r="A422" s="95" t="n">
        <x:v>3345</x:v>
      </x:c>
      <x:c r="B422" s="96" t="n">
        <x:v>45431.104166666664</x:v>
      </x:c>
      <x:c r="C422" s="97" t="str">
        <x:v>Hurricane</x:v>
      </x:c>
      <x:c r="D422" s="97" t="str">
        <x:v>Indonesia</x:v>
      </x:c>
      <x:c r="E422" s="98" t="n">
        <x:v>1.4826875354590703</x:v>
      </x:c>
      <x:c r="F422" s="99" t="n">
        <x:v>174.43079958696603</x:v>
      </x:c>
      <x:c r="G422" s="100" t="str">
        <x:f>XLOOKUP(D422,'Reference Tables'!$A$4:$A$23,'Reference Tables'!$B$4:$B$23,"Other")</x:f>
        <x:v>Asia Pacific</x:v>
      </x:c>
      <x:c r="H422" s="100" t="str">
        <x:f>VLOOKUP(G422,'Reference Tables'!$I$4:$J$9,2,FALSE)</x:f>
        <x:v>High</x:v>
      </x:c>
      <x:c r="I422" s="101" t="n">
        <x:f>F422*'Inputs &amp; Guide'!$B$4*XLOOKUP(D422,'Reference Tables'!$A$4:$A$23,'Reference Tables'!$C$4:$C$23,0.75)</x:f>
        <x:v>28.746195771932005</x:v>
      </x:c>
      <x:c r="J422" s="102" t="n">
        <x:f>XLOOKUP(C422,'Reference Tables'!$E$4:$E$12,'Reference Tables'!$F$4:$F$12,0.05)</x:f>
        <x:v>0.18</x:v>
      </x:c>
      <x:c r="K422" s="103" t="n">
        <x:f>MIN(I422,F422*J422)</x:f>
        <x:v>28.746195771932005</x:v>
      </x:c>
      <x:c r="L422" s="103" t="n">
        <x:f>'Inputs &amp; Guide'!$B$5</x:f>
        <x:v>15</x:v>
      </x:c>
      <x:c r="M422" s="103" t="n">
        <x:f>I422*'Inputs &amp; Guide'!$B$6</x:f>
        <x:v>15.810407674562605</x:v>
      </x:c>
      <x:c r="N422" s="103" t="n">
        <x:f>MAX(0,MIN(K422-L422,M422))</x:f>
        <x:v>13.746195771932005</x:v>
      </x:c>
      <x:c r="O422" s="103" t="n">
        <x:f>MAX(0,N422-'Inputs &amp; Guide'!$B$7)</x:f>
        <x:v>0</x:v>
      </x:c>
      <x:c r="P422" s="103" t="n">
        <x:f>N422-O422</x:f>
        <x:v>13.746195771932005</x:v>
      </x:c>
      <x:c r="Q422" s="103" t="n">
        <x:f>I422*'Inputs &amp; Guide'!$B$8</x:f>
        <x:v>0.5174315238947761</x:v>
      </x:c>
      <x:c r="R422" s="104" t="n">
        <x:f>IFERROR(P422/Q422,0)</x:f>
        <x:v>26.566212410992193</x:v>
      </x:c>
      <x:c r="S422" s="105" t="n">
        <x:f>ROUND(E422*XLOOKUP(C422,'Reference Tables'!$E$4:$E$12,'Reference Tables'!$G$4:$G$12,1),1)</x:f>
        <x:v>2.1</x:v>
      </x:c>
      <x:c r="T422" s="106" t="str">
        <x:f>IF(R422&gt;='Inputs &amp; Guide'!$B$9,"HIGH",IF(R422&gt;=0.45,"WATCH","NORMAL"))</x:f>
        <x:v>HIGH</x:v>
      </x:c>
    </x:row>
    <x:row r="423">
      <x:c r="A423" s="95" t="n">
        <x:v>3353</x:v>
      </x:c>
      <x:c r="B423" s="96" t="n">
        <x:v>45431.4375</x:v>
      </x:c>
      <x:c r="C423" s="97" t="str">
        <x:v>Hurricane</x:v>
      </x:c>
      <x:c r="D423" s="97" t="str">
        <x:v>USA</x:v>
      </x:c>
      <x:c r="E423" s="98" t="n">
        <x:v>5.643982462739591</x:v>
      </x:c>
      <x:c r="F423" s="99" t="n">
        <x:v>523.1984835766615</x:v>
      </x:c>
      <x:c r="G423" s="100" t="str">
        <x:f>XLOOKUP(D423,'Reference Tables'!$A$4:$A$23,'Reference Tables'!$B$4:$B$23,"Other")</x:f>
        <x:v>Other</x:v>
      </x:c>
      <x:c r="H423" s="100" t="str">
        <x:f>VLOOKUP(G423,'Reference Tables'!$I$4:$J$9,2,FALSE)</x:f>
        <x:v>Moderate</x:v>
      </x:c>
      <x:c r="I423" s="101" t="n">
        <x:f>F423*'Inputs &amp; Guide'!$B$4*XLOOKUP(D423,'Reference Tables'!$A$4:$A$23,'Reference Tables'!$C$4:$C$23,0.75)</x:f>
        <x:v>62.78381802919938</x:v>
      </x:c>
      <x:c r="J423" s="102" t="n">
        <x:f>XLOOKUP(C423,'Reference Tables'!$E$4:$E$12,'Reference Tables'!$F$4:$F$12,0.05)</x:f>
        <x:v>0.18</x:v>
      </x:c>
      <x:c r="K423" s="103" t="n">
        <x:f>MIN(I423,F423*J423)</x:f>
        <x:v>62.78381802919938</x:v>
      </x:c>
      <x:c r="L423" s="103" t="n">
        <x:f>'Inputs &amp; Guide'!$B$5</x:f>
        <x:v>15</x:v>
      </x:c>
      <x:c r="M423" s="103" t="n">
        <x:f>I423*'Inputs &amp; Guide'!$B$6</x:f>
        <x:v>34.53109991605966</x:v>
      </x:c>
      <x:c r="N423" s="103" t="n">
        <x:f>MAX(0,MIN(K423-L423,M423))</x:f>
        <x:v>34.53109991605966</x:v>
      </x:c>
      <x:c r="O423" s="103" t="n">
        <x:f>MAX(0,N423-'Inputs &amp; Guide'!$B$7)</x:f>
        <x:v>0</x:v>
      </x:c>
      <x:c r="P423" s="103" t="n">
        <x:f>N423-O423</x:f>
        <x:v>34.53109991605966</x:v>
      </x:c>
      <x:c r="Q423" s="103" t="n">
        <x:f>I423*'Inputs &amp; Guide'!$B$8</x:f>
        <x:v>1.1301087245255887</x:v>
      </x:c>
      <x:c r="R423" s="104" t="n">
        <x:f>IFERROR(P423/Q423,0)</x:f>
        <x:v>30.555555555555557</x:v>
      </x:c>
      <x:c r="S423" s="105" t="n">
        <x:f>ROUND(E423*XLOOKUP(C423,'Reference Tables'!$E$4:$E$12,'Reference Tables'!$G$4:$G$12,1),1)</x:f>
        <x:v>7.9</x:v>
      </x:c>
      <x:c r="T423" s="106" t="str">
        <x:f>IF(R423&gt;='Inputs &amp; Guide'!$B$9,"HIGH",IF(R423&gt;=0.45,"WATCH","NORMAL"))</x:f>
        <x:v>HIGH</x:v>
      </x:c>
    </x:row>
    <x:row r="424">
      <x:c r="A424" s="95" t="n">
        <x:v>3361</x:v>
      </x:c>
      <x:c r="B424" s="96" t="n">
        <x:v>45432</x:v>
      </x:c>
      <x:c r="C424" s="97" t="str">
        <x:v>Tornado</x:v>
      </x:c>
      <x:c r="D424" s="97" t="str">
        <x:v>India</x:v>
      </x:c>
      <x:c r="E424" s="98" t="n">
        <x:v>5.300389013384464</x:v>
      </x:c>
      <x:c r="F424" s="99" t="n">
        <x:v>555.5687667404104</x:v>
      </x:c>
      <x:c r="G424" s="100" t="str">
        <x:f>XLOOKUP(D424,'Reference Tables'!$A$4:$A$23,'Reference Tables'!$B$4:$B$23,"Other")</x:f>
        <x:v>Asia Pacific</x:v>
      </x:c>
      <x:c r="H424" s="100" t="str">
        <x:f>VLOOKUP(G424,'Reference Tables'!$I$4:$J$9,2,FALSE)</x:f>
        <x:v>High</x:v>
      </x:c>
      <x:c r="I424" s="101" t="n">
        <x:f>F424*'Inputs &amp; Guide'!$B$4*XLOOKUP(D424,'Reference Tables'!$A$4:$A$23,'Reference Tables'!$C$4:$C$23,0.75)</x:f>
        <x:v>80.89081243740377</x:v>
      </x:c>
      <x:c r="J424" s="102" t="n">
        <x:f>XLOOKUP(C424,'Reference Tables'!$E$4:$E$12,'Reference Tables'!$F$4:$F$12,0.05)</x:f>
        <x:v>0.09</x:v>
      </x:c>
      <x:c r="K424" s="103" t="n">
        <x:f>MIN(I424,F424*J424)</x:f>
        <x:v>50.001189006636935</x:v>
      </x:c>
      <x:c r="L424" s="103" t="n">
        <x:f>'Inputs &amp; Guide'!$B$5</x:f>
        <x:v>15</x:v>
      </x:c>
      <x:c r="M424" s="103" t="n">
        <x:f>I424*'Inputs &amp; Guide'!$B$6</x:f>
        <x:v>44.489946840572074</x:v>
      </x:c>
      <x:c r="N424" s="103" t="n">
        <x:f>MAX(0,MIN(K424-L424,M424))</x:f>
        <x:v>35.001189006636935</x:v>
      </x:c>
      <x:c r="O424" s="103" t="n">
        <x:f>MAX(0,N424-'Inputs &amp; Guide'!$B$7)</x:f>
        <x:v>0</x:v>
      </x:c>
      <x:c r="P424" s="103" t="n">
        <x:f>N424-O424</x:f>
        <x:v>35.001189006636935</x:v>
      </x:c>
      <x:c r="Q424" s="103" t="n">
        <x:f>I424*'Inputs &amp; Guide'!$B$8</x:f>
        <x:v>1.4560346238732678</x:v>
      </x:c>
      <x:c r="R424" s="104" t="n">
        <x:f>IFERROR(P424/Q424,0)</x:f>
        <x:v>24.03870652026707</x:v>
      </x:c>
      <x:c r="S424" s="105" t="n">
        <x:f>ROUND(E424*XLOOKUP(C424,'Reference Tables'!$E$4:$E$12,'Reference Tables'!$G$4:$G$12,1),1)</x:f>
        <x:v>5.6</x:v>
      </x:c>
      <x:c r="T424" s="106" t="str">
        <x:f>IF(R424&gt;='Inputs &amp; Guide'!$B$9,"HIGH",IF(R424&gt;=0.45,"WATCH","NORMAL"))</x:f>
        <x:v>HIGH</x:v>
      </x:c>
    </x:row>
    <x:row r="425">
      <x:c r="A425" s="95" t="n">
        <x:v>3369</x:v>
      </x:c>
      <x:c r="B425" s="96" t="n">
        <x:v>45432.104166666664</x:v>
      </x:c>
      <x:c r="C425" s="97" t="str">
        <x:v>Flood</x:v>
      </x:c>
      <x:c r="D425" s="97" t="str">
        <x:v>USA</x:v>
      </x:c>
      <x:c r="E425" s="98" t="n">
        <x:v>9.21212992979031</x:v>
      </x:c>
      <x:c r="F425" s="99" t="n">
        <x:v>922.6697685536283</x:v>
      </x:c>
      <x:c r="G425" s="100" t="str">
        <x:f>XLOOKUP(D425,'Reference Tables'!$A$4:$A$23,'Reference Tables'!$B$4:$B$23,"Other")</x:f>
        <x:v>Other</x:v>
      </x:c>
      <x:c r="H425" s="100" t="str">
        <x:f>VLOOKUP(G425,'Reference Tables'!$I$4:$J$9,2,FALSE)</x:f>
        <x:v>Moderate</x:v>
      </x:c>
      <x:c r="I425" s="101" t="n">
        <x:f>F425*'Inputs &amp; Guide'!$B$4*XLOOKUP(D425,'Reference Tables'!$A$4:$A$23,'Reference Tables'!$C$4:$C$23,0.75)</x:f>
        <x:v>110.7203722264354</x:v>
      </x:c>
      <x:c r="J425" s="102" t="n">
        <x:f>XLOOKUP(C425,'Reference Tables'!$E$4:$E$12,'Reference Tables'!$F$4:$F$12,0.05)</x:f>
        <x:v>0.12</x:v>
      </x:c>
      <x:c r="K425" s="103" t="n">
        <x:f>MIN(I425,F425*J425)</x:f>
        <x:v>110.72037222643539</x:v>
      </x:c>
      <x:c r="L425" s="103" t="n">
        <x:f>'Inputs &amp; Guide'!$B$5</x:f>
        <x:v>15</x:v>
      </x:c>
      <x:c r="M425" s="103" t="n">
        <x:f>I425*'Inputs &amp; Guide'!$B$6</x:f>
        <x:v>60.89620472453947</x:v>
      </x:c>
      <x:c r="N425" s="103" t="n">
        <x:f>MAX(0,MIN(K425-L425,M425))</x:f>
        <x:v>60.89620472453947</x:v>
      </x:c>
      <x:c r="O425" s="103" t="n">
        <x:f>MAX(0,N425-'Inputs &amp; Guide'!$B$7)</x:f>
        <x:v>0.8962047245394729</x:v>
      </x:c>
      <x:c r="P425" s="103" t="n">
        <x:f>N425-O425</x:f>
        <x:v>60</x:v>
      </x:c>
      <x:c r="Q425" s="103" t="n">
        <x:f>I425*'Inputs &amp; Guide'!$B$8</x:f>
        <x:v>1.992966700075837</x:v>
      </x:c>
      <x:c r="R425" s="104" t="n">
        <x:f>IFERROR(P425/Q425,0)</x:f>
        <x:v>30.105871812969507</x:v>
      </x:c>
      <x:c r="S425" s="105" t="n">
        <x:f>ROUND(E425*XLOOKUP(C425,'Reference Tables'!$E$4:$E$12,'Reference Tables'!$G$4:$G$12,1),1)</x:f>
        <x:v>11.5</x:v>
      </x:c>
      <x:c r="T425" s="106" t="str">
        <x:f>IF(R425&gt;='Inputs &amp; Guide'!$B$9,"HIGH",IF(R425&gt;=0.45,"WATCH","NORMAL"))</x:f>
        <x:v>HIGH</x:v>
      </x:c>
    </x:row>
    <x:row r="426">
      <x:c r="A426" s="95" t="n">
        <x:v>3377</x:v>
      </x:c>
      <x:c r="B426" s="96" t="n">
        <x:v>45432.4375</x:v>
      </x:c>
      <x:c r="C426" s="97" t="str">
        <x:v>Wildfire</x:v>
      </x:c>
      <x:c r="D426" s="97" t="str">
        <x:v>China</x:v>
      </x:c>
      <x:c r="E426" s="98" t="n">
        <x:v>3.441438447848382</x:v>
      </x:c>
      <x:c r="F426" s="99" t="n">
        <x:v>266.40428701104867</x:v>
      </x:c>
      <x:c r="G426" s="100" t="str">
        <x:f>XLOOKUP(D426,'Reference Tables'!$A$4:$A$23,'Reference Tables'!$B$4:$B$23,"Other")</x:f>
        <x:v>Asia Pacific</x:v>
      </x:c>
      <x:c r="H426" s="100" t="str">
        <x:f>VLOOKUP(G426,'Reference Tables'!$I$4:$J$9,2,FALSE)</x:f>
        <x:v>High</x:v>
      </x:c>
      <x:c r="I426" s="101" t="n">
        <x:f>F426*'Inputs &amp; Guide'!$B$4*XLOOKUP(D426,'Reference Tables'!$A$4:$A$23,'Reference Tables'!$C$4:$C$23,0.75)</x:f>
        <x:v>46.03466079550921</x:v>
      </x:c>
      <x:c r="J426" s="102" t="n">
        <x:f>XLOOKUP(C426,'Reference Tables'!$E$4:$E$12,'Reference Tables'!$F$4:$F$12,0.05)</x:f>
        <x:v>0.1</x:v>
      </x:c>
      <x:c r="K426" s="103" t="n">
        <x:f>MIN(I426,F426*J426)</x:f>
        <x:v>26.640428701104867</x:v>
      </x:c>
      <x:c r="L426" s="103" t="n">
        <x:f>'Inputs &amp; Guide'!$B$5</x:f>
        <x:v>15</x:v>
      </x:c>
      <x:c r="M426" s="103" t="n">
        <x:f>I426*'Inputs &amp; Guide'!$B$6</x:f>
        <x:v>25.31906343753007</x:v>
      </x:c>
      <x:c r="N426" s="103" t="n">
        <x:f>MAX(0,MIN(K426-L426,M426))</x:f>
        <x:v>11.640428701104867</x:v>
      </x:c>
      <x:c r="O426" s="103" t="n">
        <x:f>MAX(0,N426-'Inputs &amp; Guide'!$B$7)</x:f>
        <x:v>0</x:v>
      </x:c>
      <x:c r="P426" s="103" t="n">
        <x:f>N426-O426</x:f>
        <x:v>11.640428701104867</x:v>
      </x:c>
      <x:c r="Q426" s="103" t="n">
        <x:f>I426*'Inputs &amp; Guide'!$B$8</x:f>
        <x:v>0.8286238943191657</x:v>
      </x:c>
      <x:c r="R426" s="104" t="n">
        <x:f>IFERROR(P426/Q426,0)</x:f>
        <x:v>14.0479037364342</x:v>
      </x:c>
      <x:c r="S426" s="105" t="n">
        <x:f>ROUND(E426*XLOOKUP(C426,'Reference Tables'!$E$4:$E$12,'Reference Tables'!$G$4:$G$12,1),1)</x:f>
        <x:v>4</x:v>
      </x:c>
      <x:c r="T426" s="106" t="str">
        <x:f>IF(R426&gt;='Inputs &amp; Guide'!$B$9,"HIGH",IF(R426&gt;=0.45,"WATCH","NORMAL"))</x:f>
        <x:v>HIGH</x:v>
      </x:c>
    </x:row>
    <x:row r="427">
      <x:c r="A427" s="95" t="n">
        <x:v>3385</x:v>
      </x:c>
      <x:c r="B427" s="96" t="n">
        <x:v>45433</x:v>
      </x:c>
      <x:c r="C427" s="97" t="str">
        <x:v>Earthquake</x:v>
      </x:c>
      <x:c r="D427" s="97" t="str">
        <x:v>India</x:v>
      </x:c>
      <x:c r="E427" s="98" t="n">
        <x:v>3.9104215480614988</x:v>
      </x:c>
      <x:c r="F427" s="99" t="n">
        <x:v>972.1579852202256</x:v>
      </x:c>
      <x:c r="G427" s="100" t="str">
        <x:f>XLOOKUP(D427,'Reference Tables'!$A$4:$A$23,'Reference Tables'!$B$4:$B$23,"Other")</x:f>
        <x:v>Asia Pacific</x:v>
      </x:c>
      <x:c r="H427" s="100" t="str">
        <x:f>VLOOKUP(G427,'Reference Tables'!$I$4:$J$9,2,FALSE)</x:f>
        <x:v>High</x:v>
      </x:c>
      <x:c r="I427" s="101" t="n">
        <x:f>F427*'Inputs &amp; Guide'!$B$4*XLOOKUP(D427,'Reference Tables'!$A$4:$A$23,'Reference Tables'!$C$4:$C$23,0.75)</x:f>
        <x:v>141.54620264806485</x:v>
      </x:c>
      <x:c r="J427" s="102" t="n">
        <x:f>XLOOKUP(C427,'Reference Tables'!$E$4:$E$12,'Reference Tables'!$F$4:$F$12,0.05)</x:f>
        <x:v>0.14</x:v>
      </x:c>
      <x:c r="K427" s="103" t="n">
        <x:f>MIN(I427,F427*J427)</x:f>
        <x:v>136.10211793083158</x:v>
      </x:c>
      <x:c r="L427" s="103" t="n">
        <x:f>'Inputs &amp; Guide'!$B$5</x:f>
        <x:v>15</x:v>
      </x:c>
      <x:c r="M427" s="103" t="n">
        <x:f>I427*'Inputs &amp; Guide'!$B$6</x:f>
        <x:v>77.85041145643568</x:v>
      </x:c>
      <x:c r="N427" s="103" t="n">
        <x:f>MAX(0,MIN(K427-L427,M427))</x:f>
        <x:v>77.85041145643568</x:v>
      </x:c>
      <x:c r="O427" s="103" t="n">
        <x:f>MAX(0,N427-'Inputs &amp; Guide'!$B$7)</x:f>
        <x:v>17.85041145643568</x:v>
      </x:c>
      <x:c r="P427" s="103" t="n">
        <x:f>N427-O427</x:f>
        <x:v>60</x:v>
      </x:c>
      <x:c r="Q427" s="103" t="n">
        <x:f>I427*'Inputs &amp; Guide'!$B$8</x:f>
        <x:v>2.5478316476651672</x:v>
      </x:c>
      <x:c r="R427" s="104" t="n">
        <x:f>IFERROR(P427/Q427,0)</x:f>
        <x:v>23.549436657239106</x:v>
      </x:c>
      <x:c r="S427" s="105" t="n">
        <x:f>ROUND(E427*XLOOKUP(C427,'Reference Tables'!$E$4:$E$12,'Reference Tables'!$G$4:$G$12,1),1)</x:f>
        <x:v>5.9</x:v>
      </x:c>
      <x:c r="T427" s="106" t="str">
        <x:f>IF(R427&gt;='Inputs &amp; Guide'!$B$9,"HIGH",IF(R427&gt;=0.45,"WATCH","NORMAL"))</x:f>
        <x:v>HIGH</x:v>
      </x:c>
    </x:row>
    <x:row r="428">
      <x:c r="A428" s="95" t="n">
        <x:v>3393</x:v>
      </x:c>
      <x:c r="B428" s="96" t="n">
        <x:v>45433.104166666664</x:v>
      </x:c>
      <x:c r="C428" s="97" t="str">
        <x:v>Hurricane</x:v>
      </x:c>
      <x:c r="D428" s="97" t="str">
        <x:v>Japan</x:v>
      </x:c>
      <x:c r="E428" s="98" t="n">
        <x:v>5.321436782988994</x:v>
      </x:c>
      <x:c r="F428" s="99" t="n">
        <x:v>164.26737644165192</x:v>
      </x:c>
      <x:c r="G428" s="100" t="str">
        <x:f>XLOOKUP(D428,'Reference Tables'!$A$4:$A$23,'Reference Tables'!$B$4:$B$23,"Other")</x:f>
        <x:v>Asia Pacific</x:v>
      </x:c>
      <x:c r="H428" s="100" t="str">
        <x:f>VLOOKUP(G428,'Reference Tables'!$I$4:$J$9,2,FALSE)</x:f>
        <x:v>High</x:v>
      </x:c>
      <x:c r="I428" s="101" t="n">
        <x:f>F428*'Inputs &amp; Guide'!$B$4*XLOOKUP(D428,'Reference Tables'!$A$4:$A$23,'Reference Tables'!$C$4:$C$23,0.75)</x:f>
        <x:v>31.01368067218388</x:v>
      </x:c>
      <x:c r="J428" s="102" t="n">
        <x:f>XLOOKUP(C428,'Reference Tables'!$E$4:$E$12,'Reference Tables'!$F$4:$F$12,0.05)</x:f>
        <x:v>0.18</x:v>
      </x:c>
      <x:c r="K428" s="103" t="n">
        <x:f>MIN(I428,F428*J428)</x:f>
        <x:v>29.568127759497344</x:v>
      </x:c>
      <x:c r="L428" s="103" t="n">
        <x:f>'Inputs &amp; Guide'!$B$5</x:f>
        <x:v>15</x:v>
      </x:c>
      <x:c r="M428" s="103" t="n">
        <x:f>I428*'Inputs &amp; Guide'!$B$6</x:f>
        <x:v>17.057524369701135</x:v>
      </x:c>
      <x:c r="N428" s="103" t="n">
        <x:f>MAX(0,MIN(K428-L428,M428))</x:f>
        <x:v>14.568127759497344</x:v>
      </x:c>
      <x:c r="O428" s="103" t="n">
        <x:f>MAX(0,N428-'Inputs &amp; Guide'!$B$7)</x:f>
        <x:v>0</x:v>
      </x:c>
      <x:c r="P428" s="103" t="n">
        <x:f>N428-O428</x:f>
        <x:v>14.568127759497344</x:v>
      </x:c>
      <x:c r="Q428" s="103" t="n">
        <x:f>I428*'Inputs &amp; Guide'!$B$8</x:f>
        <x:v>0.5582462520993098</x:v>
      </x:c>
      <x:c r="R428" s="104" t="n">
        <x:f>IFERROR(P428/Q428,0)</x:f>
        <x:v>26.096239257699004</x:v>
      </x:c>
      <x:c r="S428" s="105" t="n">
        <x:f>ROUND(E428*XLOOKUP(C428,'Reference Tables'!$E$4:$E$12,'Reference Tables'!$G$4:$G$12,1),1)</x:f>
        <x:v>7.5</x:v>
      </x:c>
      <x:c r="T428" s="106" t="str">
        <x:f>IF(R428&gt;='Inputs &amp; Guide'!$B$9,"HIGH",IF(R428&gt;=0.45,"WATCH","NORMAL"))</x:f>
        <x:v>HIGH</x:v>
      </x:c>
    </x:row>
    <x:row r="429">
      <x:c r="A429" s="95" t="n">
        <x:v>3401</x:v>
      </x:c>
      <x:c r="B429" s="96" t="n">
        <x:v>45433.4375</x:v>
      </x:c>
      <x:c r="C429" s="97" t="str">
        <x:v>Flood</x:v>
      </x:c>
      <x:c r="D429" s="97" t="str">
        <x:v>Brazil</x:v>
      </x:c>
      <x:c r="E429" s="98" t="n">
        <x:v>9.283244024341808</x:v>
      </x:c>
      <x:c r="F429" s="99" t="n">
        <x:v>626.6750556109397</x:v>
      </x:c>
      <x:c r="G429" s="100" t="str">
        <x:f>XLOOKUP(D429,'Reference Tables'!$A$4:$A$23,'Reference Tables'!$B$4:$B$23,"Other")</x:f>
        <x:v>Latin America</x:v>
      </x:c>
      <x:c r="H429" s="100" t="str">
        <x:f>VLOOKUP(G429,'Reference Tables'!$I$4:$J$9,2,FALSE)</x:f>
        <x:v>Moderate</x:v>
      </x:c>
      <x:c r="I429" s="101" t="n">
        <x:f>F429*'Inputs &amp; Guide'!$B$4*XLOOKUP(D429,'Reference Tables'!$A$4:$A$23,'Reference Tables'!$C$4:$C$23,0.75)</x:f>
        <x:v>82.21976729615528</x:v>
      </x:c>
      <x:c r="J429" s="102" t="n">
        <x:f>XLOOKUP(C429,'Reference Tables'!$E$4:$E$12,'Reference Tables'!$F$4:$F$12,0.05)</x:f>
        <x:v>0.12</x:v>
      </x:c>
      <x:c r="K429" s="103" t="n">
        <x:f>MIN(I429,F429*J429)</x:f>
        <x:v>75.20100667331276</x:v>
      </x:c>
      <x:c r="L429" s="103" t="n">
        <x:f>'Inputs &amp; Guide'!$B$5</x:f>
        <x:v>15</x:v>
      </x:c>
      <x:c r="M429" s="103" t="n">
        <x:f>I429*'Inputs &amp; Guide'!$B$6</x:f>
        <x:v>45.22087201288541</x:v>
      </x:c>
      <x:c r="N429" s="103" t="n">
        <x:f>MAX(0,MIN(K429-L429,M429))</x:f>
        <x:v>45.22087201288541</x:v>
      </x:c>
      <x:c r="O429" s="103" t="n">
        <x:f>MAX(0,N429-'Inputs &amp; Guide'!$B$7)</x:f>
        <x:v>0</x:v>
      </x:c>
      <x:c r="P429" s="103" t="n">
        <x:f>N429-O429</x:f>
        <x:v>45.22087201288541</x:v>
      </x:c>
      <x:c r="Q429" s="103" t="n">
        <x:f>I429*'Inputs &amp; Guide'!$B$8</x:f>
        <x:v>1.479955811330795</x:v>
      </x:c>
      <x:c r="R429" s="104" t="n">
        <x:f>IFERROR(P429/Q429,0)</x:f>
        <x:v>30.55555555555556</x:v>
      </x:c>
      <x:c r="S429" s="105" t="n">
        <x:f>ROUND(E429*XLOOKUP(C429,'Reference Tables'!$E$4:$E$12,'Reference Tables'!$G$4:$G$12,1),1)</x:f>
        <x:v>11.6</x:v>
      </x:c>
      <x:c r="T429" s="106" t="str">
        <x:f>IF(R429&gt;='Inputs &amp; Guide'!$B$9,"HIGH",IF(R429&gt;=0.45,"WATCH","NORMAL"))</x:f>
        <x:v>HIGH</x:v>
      </x:c>
    </x:row>
    <x:row r="430">
      <x:c r="A430" s="95" t="n">
        <x:v>3409</x:v>
      </x:c>
      <x:c r="B430" s="96" t="n">
        <x:v>45434</x:v>
      </x:c>
      <x:c r="C430" s="97" t="str">
        <x:v>Wildfire</x:v>
      </x:c>
      <x:c r="D430" s="97" t="str">
        <x:v>China</x:v>
      </x:c>
      <x:c r="E430" s="98" t="n">
        <x:v>2.89201200813404</x:v>
      </x:c>
      <x:c r="F430" s="99" t="n">
        <x:v>619.8933752957464</x:v>
      </x:c>
      <x:c r="G430" s="100" t="str">
        <x:f>XLOOKUP(D430,'Reference Tables'!$A$4:$A$23,'Reference Tables'!$B$4:$B$23,"Other")</x:f>
        <x:v>Asia Pacific</x:v>
      </x:c>
      <x:c r="H430" s="100" t="str">
        <x:f>VLOOKUP(G430,'Reference Tables'!$I$4:$J$9,2,FALSE)</x:f>
        <x:v>High</x:v>
      </x:c>
      <x:c r="I430" s="101" t="n">
        <x:f>F430*'Inputs &amp; Guide'!$B$4*XLOOKUP(D430,'Reference Tables'!$A$4:$A$23,'Reference Tables'!$C$4:$C$23,0.75)</x:f>
        <x:v>107.117575251105</x:v>
      </x:c>
      <x:c r="J430" s="102" t="n">
        <x:f>XLOOKUP(C430,'Reference Tables'!$E$4:$E$12,'Reference Tables'!$F$4:$F$12,0.05)</x:f>
        <x:v>0.1</x:v>
      </x:c>
      <x:c r="K430" s="103" t="n">
        <x:f>MIN(I430,F430*J430)</x:f>
        <x:v>61.98933752957464</x:v>
      </x:c>
      <x:c r="L430" s="103" t="n">
        <x:f>'Inputs &amp; Guide'!$B$5</x:f>
        <x:v>15</x:v>
      </x:c>
      <x:c r="M430" s="103" t="n">
        <x:f>I430*'Inputs &amp; Guide'!$B$6</x:f>
        <x:v>58.914666388107754</x:v>
      </x:c>
      <x:c r="N430" s="103" t="n">
        <x:f>MAX(0,MIN(K430-L430,M430))</x:f>
        <x:v>46.98933752957464</x:v>
      </x:c>
      <x:c r="O430" s="103" t="n">
        <x:f>MAX(0,N430-'Inputs &amp; Guide'!$B$7)</x:f>
        <x:v>0</x:v>
      </x:c>
      <x:c r="P430" s="103" t="n">
        <x:f>N430-O430</x:f>
        <x:v>46.98933752957464</x:v>
      </x:c>
      <x:c r="Q430" s="103" t="n">
        <x:f>I430*'Inputs &amp; Guide'!$B$8</x:f>
        <x:v>1.9281163545198898</x:v>
      </x:c>
      <x:c r="R430" s="104" t="n">
        <x:f>IFERROR(P430/Q430,0)</x:f>
        <x:v>24.370592272308798</x:v>
      </x:c>
      <x:c r="S430" s="105" t="n">
        <x:f>ROUND(E430*XLOOKUP(C430,'Reference Tables'!$E$4:$E$12,'Reference Tables'!$G$4:$G$12,1),1)</x:f>
        <x:v>3.3</x:v>
      </x:c>
      <x:c r="T430" s="106" t="str">
        <x:f>IF(R430&gt;='Inputs &amp; Guide'!$B$9,"HIGH",IF(R430&gt;=0.45,"WATCH","NORMAL"))</x:f>
        <x:v>HIGH</x:v>
      </x:c>
    </x:row>
    <x:row r="431">
      <x:c r="A431" s="95" t="n">
        <x:v>3417</x:v>
      </x:c>
      <x:c r="B431" s="96" t="n">
        <x:v>45434.104166666664</x:v>
      </x:c>
      <x:c r="C431" s="97" t="str">
        <x:v>Tornado</x:v>
      </x:c>
      <x:c r="D431" s="97" t="str">
        <x:v>Brazil</x:v>
      </x:c>
      <x:c r="E431" s="98" t="n">
        <x:v>8.056034745632253</x:v>
      </x:c>
      <x:c r="F431" s="99" t="n">
        <x:v>145.80277456898645</x:v>
      </x:c>
      <x:c r="G431" s="100" t="str">
        <x:f>XLOOKUP(D431,'Reference Tables'!$A$4:$A$23,'Reference Tables'!$B$4:$B$23,"Other")</x:f>
        <x:v>Latin America</x:v>
      </x:c>
      <x:c r="H431" s="100" t="str">
        <x:f>VLOOKUP(G431,'Reference Tables'!$I$4:$J$9,2,FALSE)</x:f>
        <x:v>Moderate</x:v>
      </x:c>
      <x:c r="I431" s="101" t="n">
        <x:f>F431*'Inputs &amp; Guide'!$B$4*XLOOKUP(D431,'Reference Tables'!$A$4:$A$23,'Reference Tables'!$C$4:$C$23,0.75)</x:f>
        <x:v>19.12932402345102</x:v>
      </x:c>
      <x:c r="J431" s="102" t="n">
        <x:f>XLOOKUP(C431,'Reference Tables'!$E$4:$E$12,'Reference Tables'!$F$4:$F$12,0.05)</x:f>
        <x:v>0.09</x:v>
      </x:c>
      <x:c r="K431" s="103" t="n">
        <x:f>MIN(I431,F431*J431)</x:f>
        <x:v>13.12224971120878</x:v>
      </x:c>
      <x:c r="L431" s="103" t="n">
        <x:f>'Inputs &amp; Guide'!$B$5</x:f>
        <x:v>15</x:v>
      </x:c>
      <x:c r="M431" s="103" t="n">
        <x:f>I431*'Inputs &amp; Guide'!$B$6</x:f>
        <x:v>10.521128212898061</x:v>
      </x:c>
      <x:c r="N431" s="103" t="n">
        <x:f>MAX(0,MIN(K431-L431,M431))</x:f>
        <x:v>0</x:v>
      </x:c>
      <x:c r="O431" s="103" t="n">
        <x:f>MAX(0,N431-'Inputs &amp; Guide'!$B$7)</x:f>
        <x:v>0</x:v>
      </x:c>
      <x:c r="P431" s="103" t="n">
        <x:f>N431-O431</x:f>
        <x:v>0</x:v>
      </x:c>
      <x:c r="Q431" s="103" t="n">
        <x:f>I431*'Inputs &amp; Guide'!$B$8</x:f>
        <x:v>0.34432783242211834</x:v>
      </x:c>
      <x:c r="R431" s="104" t="n">
        <x:f>IFERROR(P431/Q431,0)</x:f>
        <x:v>0</x:v>
      </x:c>
      <x:c r="S431" s="105" t="n">
        <x:f>ROUND(E431*XLOOKUP(C431,'Reference Tables'!$E$4:$E$12,'Reference Tables'!$G$4:$G$12,1),1)</x:f>
        <x:v>8.5</x:v>
      </x:c>
      <x:c r="T431" s="106" t="str">
        <x:f>IF(R431&gt;='Inputs &amp; Guide'!$B$9,"HIGH",IF(R431&gt;=0.45,"WATCH","NORMAL"))</x:f>
        <x:v>NORMAL</x:v>
      </x:c>
    </x:row>
    <x:row r="432">
      <x:c r="A432" s="95" t="n">
        <x:v>3425</x:v>
      </x:c>
      <x:c r="B432" s="96" t="n">
        <x:v>45434.4375</x:v>
      </x:c>
      <x:c r="C432" s="97" t="str">
        <x:v>Earthquake</x:v>
      </x:c>
      <x:c r="D432" s="97" t="str">
        <x:v>China</x:v>
      </x:c>
      <x:c r="E432" s="98" t="n">
        <x:v>2.020101848482759</x:v>
      </x:c>
      <x:c r="F432" s="99" t="n">
        <x:v>896.2302215675522</x:v>
      </x:c>
      <x:c r="G432" s="100" t="str">
        <x:f>XLOOKUP(D432,'Reference Tables'!$A$4:$A$23,'Reference Tables'!$B$4:$B$23,"Other")</x:f>
        <x:v>Asia Pacific</x:v>
      </x:c>
      <x:c r="H432" s="100" t="str">
        <x:f>VLOOKUP(G432,'Reference Tables'!$I$4:$J$9,2,FALSE)</x:f>
        <x:v>High</x:v>
      </x:c>
      <x:c r="I432" s="101" t="n">
        <x:f>F432*'Inputs &amp; Guide'!$B$4*XLOOKUP(D432,'Reference Tables'!$A$4:$A$23,'Reference Tables'!$C$4:$C$23,0.75)</x:f>
        <x:v>154.86858228687305</x:v>
      </x:c>
      <x:c r="J432" s="102" t="n">
        <x:f>XLOOKUP(C432,'Reference Tables'!$E$4:$E$12,'Reference Tables'!$F$4:$F$12,0.05)</x:f>
        <x:v>0.14</x:v>
      </x:c>
      <x:c r="K432" s="103" t="n">
        <x:f>MIN(I432,F432*J432)</x:f>
        <x:v>125.47223101945733</x:v>
      </x:c>
      <x:c r="L432" s="103" t="n">
        <x:f>'Inputs &amp; Guide'!$B$5</x:f>
        <x:v>15</x:v>
      </x:c>
      <x:c r="M432" s="103" t="n">
        <x:f>I432*'Inputs &amp; Guide'!$B$6</x:f>
        <x:v>85.17772025778018</x:v>
      </x:c>
      <x:c r="N432" s="103" t="n">
        <x:f>MAX(0,MIN(K432-L432,M432))</x:f>
        <x:v>85.17772025778018</x:v>
      </x:c>
      <x:c r="O432" s="103" t="n">
        <x:f>MAX(0,N432-'Inputs &amp; Guide'!$B$7)</x:f>
        <x:v>25.17772025778018</x:v>
      </x:c>
      <x:c r="P432" s="103" t="n">
        <x:f>N432-O432</x:f>
        <x:v>60</x:v>
      </x:c>
      <x:c r="Q432" s="103" t="n">
        <x:f>I432*'Inputs &amp; Guide'!$B$8</x:f>
        <x:v>2.787634481163715</x:v>
      </x:c>
      <x:c r="R432" s="104" t="n">
        <x:f>IFERROR(P432/Q432,0)</x:f>
        <x:v>21.52362528352449</x:v>
      </x:c>
      <x:c r="S432" s="105" t="n">
        <x:f>ROUND(E432*XLOOKUP(C432,'Reference Tables'!$E$4:$E$12,'Reference Tables'!$G$4:$G$12,1),1)</x:f>
        <x:v>3</x:v>
      </x:c>
      <x:c r="T432" s="106" t="str">
        <x:f>IF(R432&gt;='Inputs &amp; Guide'!$B$9,"HIGH",IF(R432&gt;=0.45,"WATCH","NORMAL"))</x:f>
        <x:v>HIGH</x:v>
      </x:c>
    </x:row>
    <x:row r="433">
      <x:c r="A433" s="95" t="n">
        <x:v>3433</x:v>
      </x:c>
      <x:c r="B433" s="96" t="n">
        <x:v>45435</x:v>
      </x:c>
      <x:c r="C433" s="97" t="str">
        <x:v>Hurricane</x:v>
      </x:c>
      <x:c r="D433" s="97" t="str">
        <x:v>Indonesia</x:v>
      </x:c>
      <x:c r="E433" s="98" t="n">
        <x:v>2.630966088459302</x:v>
      </x:c>
      <x:c r="F433" s="99" t="n">
        <x:v>870.2040767218833</x:v>
      </x:c>
      <x:c r="G433" s="100" t="str">
        <x:f>XLOOKUP(D433,'Reference Tables'!$A$4:$A$23,'Reference Tables'!$B$4:$B$23,"Other")</x:f>
        <x:v>Asia Pacific</x:v>
      </x:c>
      <x:c r="H433" s="100" t="str">
        <x:f>VLOOKUP(G433,'Reference Tables'!$I$4:$J$9,2,FALSE)</x:f>
        <x:v>High</x:v>
      </x:c>
      <x:c r="I433" s="101" t="n">
        <x:f>F433*'Inputs &amp; Guide'!$B$4*XLOOKUP(D433,'Reference Tables'!$A$4:$A$23,'Reference Tables'!$C$4:$C$23,0.75)</x:f>
        <x:v>143.40963184376636</x:v>
      </x:c>
      <x:c r="J433" s="102" t="n">
        <x:f>XLOOKUP(C433,'Reference Tables'!$E$4:$E$12,'Reference Tables'!$F$4:$F$12,0.05)</x:f>
        <x:v>0.18</x:v>
      </x:c>
      <x:c r="K433" s="103" t="n">
        <x:f>MIN(I433,F433*J433)</x:f>
        <x:v>143.40963184376636</x:v>
      </x:c>
      <x:c r="L433" s="103" t="n">
        <x:f>'Inputs &amp; Guide'!$B$5</x:f>
        <x:v>15</x:v>
      </x:c>
      <x:c r="M433" s="103" t="n">
        <x:f>I433*'Inputs &amp; Guide'!$B$6</x:f>
        <x:v>78.8752975140715</x:v>
      </x:c>
      <x:c r="N433" s="103" t="n">
        <x:f>MAX(0,MIN(K433-L433,M433))</x:f>
        <x:v>78.8752975140715</x:v>
      </x:c>
      <x:c r="O433" s="103" t="n">
        <x:f>MAX(0,N433-'Inputs &amp; Guide'!$B$7)</x:f>
        <x:v>18.875297514071505</x:v>
      </x:c>
      <x:c r="P433" s="103" t="n">
        <x:f>N433-O433</x:f>
        <x:v>60</x:v>
      </x:c>
      <x:c r="Q433" s="103" t="n">
        <x:f>I433*'Inputs &amp; Guide'!$B$8</x:f>
        <x:v>2.581373373187794</x:v>
      </x:c>
      <x:c r="R433" s="104" t="n">
        <x:f>IFERROR(P433/Q433,0)</x:f>
        <x:v>23.243441116735738</x:v>
      </x:c>
      <x:c r="S433" s="105" t="n">
        <x:f>ROUND(E433*XLOOKUP(C433,'Reference Tables'!$E$4:$E$12,'Reference Tables'!$G$4:$G$12,1),1)</x:f>
        <x:v>3.7</x:v>
      </x:c>
      <x:c r="T433" s="106" t="str">
        <x:f>IF(R433&gt;='Inputs &amp; Guide'!$B$9,"HIGH",IF(R433&gt;=0.45,"WATCH","NORMAL"))</x:f>
        <x:v>HIGH</x:v>
      </x:c>
    </x:row>
    <x:row r="434">
      <x:c r="A434" s="95" t="n">
        <x:v>3441</x:v>
      </x:c>
      <x:c r="B434" s="96" t="n">
        <x:v>45435.104166666664</x:v>
      </x:c>
      <x:c r="C434" s="97" t="str">
        <x:v>Wildfire</x:v>
      </x:c>
      <x:c r="D434" s="97" t="str">
        <x:v>India</x:v>
      </x:c>
      <x:c r="E434" s="98" t="n">
        <x:v>5.447385374485558</x:v>
      </x:c>
      <x:c r="F434" s="99" t="n">
        <x:v>787.1534571592429</x:v>
      </x:c>
      <x:c r="G434" s="100" t="str">
        <x:f>XLOOKUP(D434,'Reference Tables'!$A$4:$A$23,'Reference Tables'!$B$4:$B$23,"Other")</x:f>
        <x:v>Asia Pacific</x:v>
      </x:c>
      <x:c r="H434" s="100" t="str">
        <x:f>VLOOKUP(G434,'Reference Tables'!$I$4:$J$9,2,FALSE)</x:f>
        <x:v>High</x:v>
      </x:c>
      <x:c r="I434" s="101" t="n">
        <x:f>F434*'Inputs &amp; Guide'!$B$4*XLOOKUP(D434,'Reference Tables'!$A$4:$A$23,'Reference Tables'!$C$4:$C$23,0.75)</x:f>
        <x:v>114.60954336238576</x:v>
      </x:c>
      <x:c r="J434" s="102" t="n">
        <x:f>XLOOKUP(C434,'Reference Tables'!$E$4:$E$12,'Reference Tables'!$F$4:$F$12,0.05)</x:f>
        <x:v>0.1</x:v>
      </x:c>
      <x:c r="K434" s="103" t="n">
        <x:f>MIN(I434,F434*J434)</x:f>
        <x:v>78.71534571592429</x:v>
      </x:c>
      <x:c r="L434" s="103" t="n">
        <x:f>'Inputs &amp; Guide'!$B$5</x:f>
        <x:v>15</x:v>
      </x:c>
      <x:c r="M434" s="103" t="n">
        <x:f>I434*'Inputs &amp; Guide'!$B$6</x:f>
        <x:v>63.035248849312175</x:v>
      </x:c>
      <x:c r="N434" s="103" t="n">
        <x:f>MAX(0,MIN(K434-L434,M434))</x:f>
        <x:v>63.035248849312175</x:v>
      </x:c>
      <x:c r="O434" s="103" t="n">
        <x:f>MAX(0,N434-'Inputs &amp; Guide'!$B$7)</x:f>
        <x:v>3.0352488493121754</x:v>
      </x:c>
      <x:c r="P434" s="103" t="n">
        <x:f>N434-O434</x:f>
        <x:v>60</x:v>
      </x:c>
      <x:c r="Q434" s="103" t="n">
        <x:f>I434*'Inputs &amp; Guide'!$B$8</x:f>
        <x:v>2.0629717805229437</x:v>
      </x:c>
      <x:c r="R434" s="104" t="n">
        <x:f>IFERROR(P434/Q434,0)</x:f>
        <x:v>29.08425629786878</x:v>
      </x:c>
      <x:c r="S434" s="105" t="n">
        <x:f>ROUND(E434*XLOOKUP(C434,'Reference Tables'!$E$4:$E$12,'Reference Tables'!$G$4:$G$12,1),1)</x:f>
        <x:v>6.3</x:v>
      </x:c>
      <x:c r="T434" s="106" t="str">
        <x:f>IF(R434&gt;='Inputs &amp; Guide'!$B$9,"HIGH",IF(R434&gt;=0.45,"WATCH","NORMAL"))</x:f>
        <x:v>HIGH</x:v>
      </x:c>
    </x:row>
    <x:row r="435">
      <x:c r="A435" s="95" t="n">
        <x:v>3449</x:v>
      </x:c>
      <x:c r="B435" s="96" t="n">
        <x:v>45435.4375</x:v>
      </x:c>
      <x:c r="C435" s="97" t="str">
        <x:v>Wildfire</x:v>
      </x:c>
      <x:c r="D435" s="97" t="str">
        <x:v>Japan</x:v>
      </x:c>
      <x:c r="E435" s="98" t="n">
        <x:v>1.313550144453294</x:v>
      </x:c>
      <x:c r="F435" s="99" t="n">
        <x:v>202.53117638907545</x:v>
      </x:c>
      <x:c r="G435" s="100" t="str">
        <x:f>XLOOKUP(D435,'Reference Tables'!$A$4:$A$23,'Reference Tables'!$B$4:$B$23,"Other")</x:f>
        <x:v>Asia Pacific</x:v>
      </x:c>
      <x:c r="H435" s="100" t="str">
        <x:f>VLOOKUP(G435,'Reference Tables'!$I$4:$J$9,2,FALSE)</x:f>
        <x:v>High</x:v>
      </x:c>
      <x:c r="I435" s="101" t="n">
        <x:f>F435*'Inputs &amp; Guide'!$B$4*XLOOKUP(D435,'Reference Tables'!$A$4:$A$23,'Reference Tables'!$C$4:$C$23,0.75)</x:f>
        <x:v>38.23788610225744</x:v>
      </x:c>
      <x:c r="J435" s="102" t="n">
        <x:f>XLOOKUP(C435,'Reference Tables'!$E$4:$E$12,'Reference Tables'!$F$4:$F$12,0.05)</x:f>
        <x:v>0.1</x:v>
      </x:c>
      <x:c r="K435" s="103" t="n">
        <x:f>MIN(I435,F435*J435)</x:f>
        <x:v>20.253117638907547</x:v>
      </x:c>
      <x:c r="L435" s="103" t="n">
        <x:f>'Inputs &amp; Guide'!$B$5</x:f>
        <x:v>15</x:v>
      </x:c>
      <x:c r="M435" s="103" t="n">
        <x:f>I435*'Inputs &amp; Guide'!$B$6</x:f>
        <x:v>21.030837356241594</x:v>
      </x:c>
      <x:c r="N435" s="103" t="n">
        <x:f>MAX(0,MIN(K435-L435,M435))</x:f>
        <x:v>5.253117638907547</x:v>
      </x:c>
      <x:c r="O435" s="103" t="n">
        <x:f>MAX(0,N435-'Inputs &amp; Guide'!$B$7)</x:f>
        <x:v>0</x:v>
      </x:c>
      <x:c r="P435" s="103" t="n">
        <x:f>N435-O435</x:f>
        <x:v>5.253117638907547</x:v>
      </x:c>
      <x:c r="Q435" s="103" t="n">
        <x:f>I435*'Inputs &amp; Guide'!$B$8</x:f>
        <x:v>0.6882819498406338</x:v>
      </x:c>
      <x:c r="R435" s="104" t="n">
        <x:f>IFERROR(P435/Q435,0)</x:f>
        <x:v>7.632217640058502</x:v>
      </x:c>
      <x:c r="S435" s="105" t="n">
        <x:f>ROUND(E435*XLOOKUP(C435,'Reference Tables'!$E$4:$E$12,'Reference Tables'!$G$4:$G$12,1),1)</x:f>
        <x:v>1.5</x:v>
      </x:c>
      <x:c r="T435" s="106" t="str">
        <x:f>IF(R435&gt;='Inputs &amp; Guide'!$B$9,"HIGH",IF(R435&gt;=0.45,"WATCH","NORMAL"))</x:f>
        <x:v>HIGH</x:v>
      </x:c>
    </x:row>
    <x:row r="436">
      <x:c r="A436" s="95" t="n">
        <x:v>3457</x:v>
      </x:c>
      <x:c r="B436" s="96" t="n">
        <x:v>45436</x:v>
      </x:c>
      <x:c r="C436" s="97" t="str">
        <x:v>Earthquake</x:v>
      </x:c>
      <x:c r="D436" s="97" t="str">
        <x:v>Indonesia</x:v>
      </x:c>
      <x:c r="E436" s="98" t="n">
        <x:v>9.42792054486796</x:v>
      </x:c>
      <x:c r="F436" s="99" t="n">
        <x:v>454.1217846692873</x:v>
      </x:c>
      <x:c r="G436" s="100" t="str">
        <x:f>XLOOKUP(D436,'Reference Tables'!$A$4:$A$23,'Reference Tables'!$B$4:$B$23,"Other")</x:f>
        <x:v>Asia Pacific</x:v>
      </x:c>
      <x:c r="H436" s="100" t="str">
        <x:f>VLOOKUP(G436,'Reference Tables'!$I$4:$J$9,2,FALSE)</x:f>
        <x:v>High</x:v>
      </x:c>
      <x:c r="I436" s="101" t="n">
        <x:f>F436*'Inputs &amp; Guide'!$B$4*XLOOKUP(D436,'Reference Tables'!$A$4:$A$23,'Reference Tables'!$C$4:$C$23,0.75)</x:f>
        <x:v>74.83927011349854</x:v>
      </x:c>
      <x:c r="J436" s="102" t="n">
        <x:f>XLOOKUP(C436,'Reference Tables'!$E$4:$E$12,'Reference Tables'!$F$4:$F$12,0.05)</x:f>
        <x:v>0.14</x:v>
      </x:c>
      <x:c r="K436" s="103" t="n">
        <x:f>MIN(I436,F436*J436)</x:f>
        <x:v>63.57704985370023</x:v>
      </x:c>
      <x:c r="L436" s="103" t="n">
        <x:f>'Inputs &amp; Guide'!$B$5</x:f>
        <x:v>15</x:v>
      </x:c>
      <x:c r="M436" s="103" t="n">
        <x:f>I436*'Inputs &amp; Guide'!$B$6</x:f>
        <x:v>41.1615985624242</x:v>
      </x:c>
      <x:c r="N436" s="103" t="n">
        <x:f>MAX(0,MIN(K436-L436,M436))</x:f>
        <x:v>41.1615985624242</x:v>
      </x:c>
      <x:c r="O436" s="103" t="n">
        <x:f>MAX(0,N436-'Inputs &amp; Guide'!$B$7)</x:f>
        <x:v>0</x:v>
      </x:c>
      <x:c r="P436" s="103" t="n">
        <x:f>N436-O436</x:f>
        <x:v>41.1615985624242</x:v>
      </x:c>
      <x:c r="Q436" s="103" t="n">
        <x:f>I436*'Inputs &amp; Guide'!$B$8</x:f>
        <x:v>1.3471068620429736</x:v>
      </x:c>
      <x:c r="R436" s="104" t="n">
        <x:f>IFERROR(P436/Q436,0)</x:f>
        <x:v>30.555555555555564</x:v>
      </x:c>
      <x:c r="S436" s="105" t="n">
        <x:f>ROUND(E436*XLOOKUP(C436,'Reference Tables'!$E$4:$E$12,'Reference Tables'!$G$4:$G$12,1),1)</x:f>
        <x:v>14.1</x:v>
      </x:c>
      <x:c r="T436" s="106" t="str">
        <x:f>IF(R436&gt;='Inputs &amp; Guide'!$B$9,"HIGH",IF(R436&gt;=0.45,"WATCH","NORMAL"))</x:f>
        <x:v>HIGH</x:v>
      </x:c>
    </x:row>
    <x:row r="437">
      <x:c r="A437" s="95" t="n">
        <x:v>3465</x:v>
      </x:c>
      <x:c r="B437" s="96" t="n">
        <x:v>45436.104166666664</x:v>
      </x:c>
      <x:c r="C437" s="97" t="str">
        <x:v>Wildfire</x:v>
      </x:c>
      <x:c r="D437" s="97" t="str">
        <x:v>India</x:v>
      </x:c>
      <x:c r="E437" s="98" t="n">
        <x:v>2.4327225004499815</x:v>
      </x:c>
      <x:c r="F437" s="99" t="n">
        <x:v>310.2561652172254</x:v>
      </x:c>
      <x:c r="G437" s="100" t="str">
        <x:f>XLOOKUP(D437,'Reference Tables'!$A$4:$A$23,'Reference Tables'!$B$4:$B$23,"Other")</x:f>
        <x:v>Asia Pacific</x:v>
      </x:c>
      <x:c r="H437" s="100" t="str">
        <x:f>VLOOKUP(G437,'Reference Tables'!$I$4:$J$9,2,FALSE)</x:f>
        <x:v>High</x:v>
      </x:c>
      <x:c r="I437" s="101" t="n">
        <x:f>F437*'Inputs &amp; Guide'!$B$4*XLOOKUP(D437,'Reference Tables'!$A$4:$A$23,'Reference Tables'!$C$4:$C$23,0.75)</x:f>
        <x:v>45.17329765562801</x:v>
      </x:c>
      <x:c r="J437" s="102" t="n">
        <x:f>XLOOKUP(C437,'Reference Tables'!$E$4:$E$12,'Reference Tables'!$F$4:$F$12,0.05)</x:f>
        <x:v>0.1</x:v>
      </x:c>
      <x:c r="K437" s="103" t="n">
        <x:f>MIN(I437,F437*J437)</x:f>
        <x:v>31.02561652172254</x:v>
      </x:c>
      <x:c r="L437" s="103" t="n">
        <x:f>'Inputs &amp; Guide'!$B$5</x:f>
        <x:v>15</x:v>
      </x:c>
      <x:c r="M437" s="103" t="n">
        <x:f>I437*'Inputs &amp; Guide'!$B$6</x:f>
        <x:v>24.84531371059541</x:v>
      </x:c>
      <x:c r="N437" s="103" t="n">
        <x:f>MAX(0,MIN(K437-L437,M437))</x:f>
        <x:v>16.02561652172254</x:v>
      </x:c>
      <x:c r="O437" s="103" t="n">
        <x:f>MAX(0,N437-'Inputs &amp; Guide'!$B$7)</x:f>
        <x:v>0</x:v>
      </x:c>
      <x:c r="P437" s="103" t="n">
        <x:f>N437-O437</x:f>
        <x:v>16.02561652172254</x:v>
      </x:c>
      <x:c r="Q437" s="103" t="n">
        <x:f>I437*'Inputs &amp; Guide'!$B$8</x:f>
        <x:v>0.8131193578013042</x:v>
      </x:c>
      <x:c r="R437" s="104" t="n">
        <x:f>IFERROR(P437/Q437,0)</x:f>
        <x:v>19.708811957270605</x:v>
      </x:c>
      <x:c r="S437" s="105" t="n">
        <x:f>ROUND(E437*XLOOKUP(C437,'Reference Tables'!$E$4:$E$12,'Reference Tables'!$G$4:$G$12,1),1)</x:f>
        <x:v>2.8</x:v>
      </x:c>
      <x:c r="T437" s="106" t="str">
        <x:f>IF(R437&gt;='Inputs &amp; Guide'!$B$9,"HIGH",IF(R437&gt;=0.45,"WATCH","NORMAL"))</x:f>
        <x:v>HIGH</x:v>
      </x:c>
    </x:row>
    <x:row r="438">
      <x:c r="A438" s="95" t="n">
        <x:v>3473</x:v>
      </x:c>
      <x:c r="B438" s="96" t="n">
        <x:v>45436.4375</x:v>
      </x:c>
      <x:c r="C438" s="97" t="str">
        <x:v>Hurricane</x:v>
      </x:c>
      <x:c r="D438" s="97" t="str">
        <x:v>Indonesia</x:v>
      </x:c>
      <x:c r="E438" s="98" t="n">
        <x:v>2.228319298476852</x:v>
      </x:c>
      <x:c r="F438" s="99" t="n">
        <x:v>23.338936560466756</x:v>
      </x:c>
      <x:c r="G438" s="100" t="str">
        <x:f>XLOOKUP(D438,'Reference Tables'!$A$4:$A$23,'Reference Tables'!$B$4:$B$23,"Other")</x:f>
        <x:v>Asia Pacific</x:v>
      </x:c>
      <x:c r="H438" s="100" t="str">
        <x:f>VLOOKUP(G438,'Reference Tables'!$I$4:$J$9,2,FALSE)</x:f>
        <x:v>High</x:v>
      </x:c>
      <x:c r="I438" s="101" t="n">
        <x:f>F438*'Inputs &amp; Guide'!$B$4*XLOOKUP(D438,'Reference Tables'!$A$4:$A$23,'Reference Tables'!$C$4:$C$23,0.75)</x:f>
        <x:v>3.846256745164921</x:v>
      </x:c>
      <x:c r="J438" s="102" t="n">
        <x:f>XLOOKUP(C438,'Reference Tables'!$E$4:$E$12,'Reference Tables'!$F$4:$F$12,0.05)</x:f>
        <x:v>0.18</x:v>
      </x:c>
      <x:c r="K438" s="103" t="n">
        <x:f>MIN(I438,F438*J438)</x:f>
        <x:v>3.846256745164921</x:v>
      </x:c>
      <x:c r="L438" s="103" t="n">
        <x:f>'Inputs &amp; Guide'!$B$5</x:f>
        <x:v>15</x:v>
      </x:c>
      <x:c r="M438" s="103" t="n">
        <x:f>I438*'Inputs &amp; Guide'!$B$6</x:f>
        <x:v>2.1154412098407067</x:v>
      </x:c>
      <x:c r="N438" s="103" t="n">
        <x:f>MAX(0,MIN(K438-L438,M438))</x:f>
        <x:v>0</x:v>
      </x:c>
      <x:c r="O438" s="103" t="n">
        <x:f>MAX(0,N438-'Inputs &amp; Guide'!$B$7)</x:f>
        <x:v>0</x:v>
      </x:c>
      <x:c r="P438" s="103" t="n">
        <x:f>N438-O438</x:f>
        <x:v>0</x:v>
      </x:c>
      <x:c r="Q438" s="103" t="n">
        <x:f>I438*'Inputs &amp; Guide'!$B$8</x:f>
        <x:v>0.06923262141296857</x:v>
      </x:c>
      <x:c r="R438" s="104" t="n">
        <x:f>IFERROR(P438/Q438,0)</x:f>
        <x:v>0</x:v>
      </x:c>
      <x:c r="S438" s="105" t="n">
        <x:f>ROUND(E438*XLOOKUP(C438,'Reference Tables'!$E$4:$E$12,'Reference Tables'!$G$4:$G$12,1),1)</x:f>
        <x:v>3.1</x:v>
      </x:c>
      <x:c r="T438" s="106" t="str">
        <x:f>IF(R438&gt;='Inputs &amp; Guide'!$B$9,"HIGH",IF(R438&gt;=0.45,"WATCH","NORMAL"))</x:f>
        <x:v>NORMAL</x:v>
      </x:c>
    </x:row>
    <x:row r="439">
      <x:c r="A439" s="95" t="n">
        <x:v>3481</x:v>
      </x:c>
      <x:c r="B439" s="96" t="n">
        <x:v>45437</x:v>
      </x:c>
      <x:c r="C439" s="97" t="str">
        <x:v>Earthquake</x:v>
      </x:c>
      <x:c r="D439" s="97" t="str">
        <x:v>India</x:v>
      </x:c>
      <x:c r="E439" s="98" t="n">
        <x:v>5.179403850037438</x:v>
      </x:c>
      <x:c r="F439" s="99" t="n">
        <x:v>731.2563574901307</x:v>
      </x:c>
      <x:c r="G439" s="100" t="str">
        <x:f>XLOOKUP(D439,'Reference Tables'!$A$4:$A$23,'Reference Tables'!$B$4:$B$23,"Other")</x:f>
        <x:v>Asia Pacific</x:v>
      </x:c>
      <x:c r="H439" s="100" t="str">
        <x:f>VLOOKUP(G439,'Reference Tables'!$I$4:$J$9,2,FALSE)</x:f>
        <x:v>High</x:v>
      </x:c>
      <x:c r="I439" s="101" t="n">
        <x:f>F439*'Inputs &amp; Guide'!$B$4*XLOOKUP(D439,'Reference Tables'!$A$4:$A$23,'Reference Tables'!$C$4:$C$23,0.75)</x:f>
        <x:v>106.47092565056303</x:v>
      </x:c>
      <x:c r="J439" s="102" t="n">
        <x:f>XLOOKUP(C439,'Reference Tables'!$E$4:$E$12,'Reference Tables'!$F$4:$F$12,0.05)</x:f>
        <x:v>0.14</x:v>
      </x:c>
      <x:c r="K439" s="103" t="n">
        <x:f>MIN(I439,F439*J439)</x:f>
        <x:v>102.3758900486183</x:v>
      </x:c>
      <x:c r="L439" s="103" t="n">
        <x:f>'Inputs &amp; Guide'!$B$5</x:f>
        <x:v>15</x:v>
      </x:c>
      <x:c r="M439" s="103" t="n">
        <x:f>I439*'Inputs &amp; Guide'!$B$6</x:f>
        <x:v>58.55900910780967</x:v>
      </x:c>
      <x:c r="N439" s="103" t="n">
        <x:f>MAX(0,MIN(K439-L439,M439))</x:f>
        <x:v>58.55900910780967</x:v>
      </x:c>
      <x:c r="O439" s="103" t="n">
        <x:f>MAX(0,N439-'Inputs &amp; Guide'!$B$7)</x:f>
        <x:v>0</x:v>
      </x:c>
      <x:c r="P439" s="103" t="n">
        <x:f>N439-O439</x:f>
        <x:v>58.55900910780967</x:v>
      </x:c>
      <x:c r="Q439" s="103" t="n">
        <x:f>I439*'Inputs &amp; Guide'!$B$8</x:f>
        <x:v>1.9164766617101345</x:v>
      </x:c>
      <x:c r="R439" s="104" t="n">
        <x:f>IFERROR(P439/Q439,0)</x:f>
        <x:v>30.555555555555557</x:v>
      </x:c>
      <x:c r="S439" s="105" t="n">
        <x:f>ROUND(E439*XLOOKUP(C439,'Reference Tables'!$E$4:$E$12,'Reference Tables'!$G$4:$G$12,1),1)</x:f>
        <x:v>7.8</x:v>
      </x:c>
      <x:c r="T439" s="106" t="str">
        <x:f>IF(R439&gt;='Inputs &amp; Guide'!$B$9,"HIGH",IF(R439&gt;=0.45,"WATCH","NORMAL"))</x:f>
        <x:v>HIGH</x:v>
      </x:c>
    </x:row>
    <x:row r="440">
      <x:c r="A440" s="95" t="n">
        <x:v>3489</x:v>
      </x:c>
      <x:c r="B440" s="96" t="n">
        <x:v>45437.104166666664</x:v>
      </x:c>
      <x:c r="C440" s="97" t="str">
        <x:v>Earthquake</x:v>
      </x:c>
      <x:c r="D440" s="97" t="str">
        <x:v>USA</x:v>
      </x:c>
      <x:c r="E440" s="98" t="n">
        <x:v>5.4451208194558625</x:v>
      </x:c>
      <x:c r="F440" s="99" t="n">
        <x:v>849.4113945456521</x:v>
      </x:c>
      <x:c r="G440" s="100" t="str">
        <x:f>XLOOKUP(D440,'Reference Tables'!$A$4:$A$23,'Reference Tables'!$B$4:$B$23,"Other")</x:f>
        <x:v>Other</x:v>
      </x:c>
      <x:c r="H440" s="100" t="str">
        <x:f>VLOOKUP(G440,'Reference Tables'!$I$4:$J$9,2,FALSE)</x:f>
        <x:v>Moderate</x:v>
      </x:c>
      <x:c r="I440" s="101" t="n">
        <x:f>F440*'Inputs &amp; Guide'!$B$4*XLOOKUP(D440,'Reference Tables'!$A$4:$A$23,'Reference Tables'!$C$4:$C$23,0.75)</x:f>
        <x:v>101.92936734547825</x:v>
      </x:c>
      <x:c r="J440" s="102" t="n">
        <x:f>XLOOKUP(C440,'Reference Tables'!$E$4:$E$12,'Reference Tables'!$F$4:$F$12,0.05)</x:f>
        <x:v>0.14</x:v>
      </x:c>
      <x:c r="K440" s="103" t="n">
        <x:f>MIN(I440,F440*J440)</x:f>
        <x:v>101.92936734547825</x:v>
      </x:c>
      <x:c r="L440" s="103" t="n">
        <x:f>'Inputs &amp; Guide'!$B$5</x:f>
        <x:v>15</x:v>
      </x:c>
      <x:c r="M440" s="103" t="n">
        <x:f>I440*'Inputs &amp; Guide'!$B$6</x:f>
        <x:v>56.06115204001304</x:v>
      </x:c>
      <x:c r="N440" s="103" t="n">
        <x:f>MAX(0,MIN(K440-L440,M440))</x:f>
        <x:v>56.06115204001304</x:v>
      </x:c>
      <x:c r="O440" s="103" t="n">
        <x:f>MAX(0,N440-'Inputs &amp; Guide'!$B$7)</x:f>
        <x:v>0</x:v>
      </x:c>
      <x:c r="P440" s="103" t="n">
        <x:f>N440-O440</x:f>
        <x:v>56.06115204001304</x:v>
      </x:c>
      <x:c r="Q440" s="103" t="n">
        <x:f>I440*'Inputs &amp; Guide'!$B$8</x:f>
        <x:v>1.8347286122186084</x:v>
      </x:c>
      <x:c r="R440" s="104" t="n">
        <x:f>IFERROR(P440/Q440,0)</x:f>
        <x:v>30.55555555555556</x:v>
      </x:c>
      <x:c r="S440" s="105" t="n">
        <x:f>ROUND(E440*XLOOKUP(C440,'Reference Tables'!$E$4:$E$12,'Reference Tables'!$G$4:$G$12,1),1)</x:f>
        <x:v>8.2</x:v>
      </x:c>
      <x:c r="T440" s="106" t="str">
        <x:f>IF(R440&gt;='Inputs &amp; Guide'!$B$9,"HIGH",IF(R440&gt;=0.45,"WATCH","NORMAL"))</x:f>
        <x:v>HIGH</x:v>
      </x:c>
    </x:row>
    <x:row r="441">
      <x:c r="A441" s="95" t="n">
        <x:v>3497</x:v>
      </x:c>
      <x:c r="B441" s="96" t="n">
        <x:v>45437.4375</x:v>
      </x:c>
      <x:c r="C441" s="97" t="str">
        <x:v>Earthquake</x:v>
      </x:c>
      <x:c r="D441" s="97" t="str">
        <x:v>Brazil</x:v>
      </x:c>
      <x:c r="E441" s="98" t="n">
        <x:v>9.313989768561601</x:v>
      </x:c>
      <x:c r="F441" s="99" t="n">
        <x:v>319.9753144523569</x:v>
      </x:c>
      <x:c r="G441" s="100" t="str">
        <x:f>XLOOKUP(D441,'Reference Tables'!$A$4:$A$23,'Reference Tables'!$B$4:$B$23,"Other")</x:f>
        <x:v>Latin America</x:v>
      </x:c>
      <x:c r="H441" s="100" t="str">
        <x:f>VLOOKUP(G441,'Reference Tables'!$I$4:$J$9,2,FALSE)</x:f>
        <x:v>Moderate</x:v>
      </x:c>
      <x:c r="I441" s="101" t="n">
        <x:f>F441*'Inputs &amp; Guide'!$B$4*XLOOKUP(D441,'Reference Tables'!$A$4:$A$23,'Reference Tables'!$C$4:$C$23,0.75)</x:f>
        <x:v>41.98076125614922</x:v>
      </x:c>
      <x:c r="J441" s="102" t="n">
        <x:f>XLOOKUP(C441,'Reference Tables'!$E$4:$E$12,'Reference Tables'!$F$4:$F$12,0.05)</x:f>
        <x:v>0.14</x:v>
      </x:c>
      <x:c r="K441" s="103" t="n">
        <x:f>MIN(I441,F441*J441)</x:f>
        <x:v>41.98076125614922</x:v>
      </x:c>
      <x:c r="L441" s="103" t="n">
        <x:f>'Inputs &amp; Guide'!$B$5</x:f>
        <x:v>15</x:v>
      </x:c>
      <x:c r="M441" s="103" t="n">
        <x:f>I441*'Inputs &amp; Guide'!$B$6</x:f>
        <x:v>23.089418690882074</x:v>
      </x:c>
      <x:c r="N441" s="103" t="n">
        <x:f>MAX(0,MIN(K441-L441,M441))</x:f>
        <x:v>23.089418690882074</x:v>
      </x:c>
      <x:c r="O441" s="103" t="n">
        <x:f>MAX(0,N441-'Inputs &amp; Guide'!$B$7)</x:f>
        <x:v>0</x:v>
      </x:c>
      <x:c r="P441" s="103" t="n">
        <x:f>N441-O441</x:f>
        <x:v>23.089418690882074</x:v>
      </x:c>
      <x:c r="Q441" s="103" t="n">
        <x:f>I441*'Inputs &amp; Guide'!$B$8</x:f>
        <x:v>0.755653702610686</x:v>
      </x:c>
      <x:c r="R441" s="104" t="n">
        <x:f>IFERROR(P441/Q441,0)</x:f>
        <x:v>30.555555555555557</x:v>
      </x:c>
      <x:c r="S441" s="105" t="n">
        <x:f>ROUND(E441*XLOOKUP(C441,'Reference Tables'!$E$4:$E$12,'Reference Tables'!$G$4:$G$12,1),1)</x:f>
        <x:v>14</x:v>
      </x:c>
      <x:c r="T441" s="106" t="str">
        <x:f>IF(R441&gt;='Inputs &amp; Guide'!$B$9,"HIGH",IF(R441&gt;=0.45,"WATCH","NORMAL"))</x:f>
        <x:v>HIGH</x:v>
      </x:c>
    </x:row>
    <x:row r="442">
      <x:c r="A442" s="95" t="n">
        <x:v>3505</x:v>
      </x:c>
      <x:c r="B442" s="96" t="n">
        <x:v>45438</x:v>
      </x:c>
      <x:c r="C442" s="97" t="str">
        <x:v>Hurricane</x:v>
      </x:c>
      <x:c r="D442" s="97" t="str">
        <x:v>China</x:v>
      </x:c>
      <x:c r="E442" s="98" t="n">
        <x:v>2.713327251833455</x:v>
      </x:c>
      <x:c r="F442" s="99" t="n">
        <x:v>894.7541095453411</x:v>
      </x:c>
      <x:c r="G442" s="100" t="str">
        <x:f>XLOOKUP(D442,'Reference Tables'!$A$4:$A$23,'Reference Tables'!$B$4:$B$23,"Other")</x:f>
        <x:v>Asia Pacific</x:v>
      </x:c>
      <x:c r="H442" s="100" t="str">
        <x:f>VLOOKUP(G442,'Reference Tables'!$I$4:$J$9,2,FALSE)</x:f>
        <x:v>High</x:v>
      </x:c>
      <x:c r="I442" s="101" t="n">
        <x:f>F442*'Inputs &amp; Guide'!$B$4*XLOOKUP(D442,'Reference Tables'!$A$4:$A$23,'Reference Tables'!$C$4:$C$23,0.75)</x:f>
        <x:v>154.61351012943496</x:v>
      </x:c>
      <x:c r="J442" s="102" t="n">
        <x:f>XLOOKUP(C442,'Reference Tables'!$E$4:$E$12,'Reference Tables'!$F$4:$F$12,0.05)</x:f>
        <x:v>0.18</x:v>
      </x:c>
      <x:c r="K442" s="103" t="n">
        <x:f>MIN(I442,F442*J442)</x:f>
        <x:v>154.61351012943496</x:v>
      </x:c>
      <x:c r="L442" s="103" t="n">
        <x:f>'Inputs &amp; Guide'!$B$5</x:f>
        <x:v>15</x:v>
      </x:c>
      <x:c r="M442" s="103" t="n">
        <x:f>I442*'Inputs &amp; Guide'!$B$6</x:f>
        <x:v>85.03743057118923</x:v>
      </x:c>
      <x:c r="N442" s="103" t="n">
        <x:f>MAX(0,MIN(K442-L442,M442))</x:f>
        <x:v>85.03743057118923</x:v>
      </x:c>
      <x:c r="O442" s="103" t="n">
        <x:f>MAX(0,N442-'Inputs &amp; Guide'!$B$7)</x:f>
        <x:v>25.037430571189233</x:v>
      </x:c>
      <x:c r="P442" s="103" t="n">
        <x:f>N442-O442</x:f>
        <x:v>60</x:v>
      </x:c>
      <x:c r="Q442" s="103" t="n">
        <x:f>I442*'Inputs &amp; Guide'!$B$8</x:f>
        <x:v>2.783043182329829</x:v>
      </x:c>
      <x:c r="R442" s="104" t="n">
        <x:f>IFERROR(P442/Q442,0)</x:f>
        <x:v>21.559133678181343</x:v>
      </x:c>
      <x:c r="S442" s="105" t="n">
        <x:f>ROUND(E442*XLOOKUP(C442,'Reference Tables'!$E$4:$E$12,'Reference Tables'!$G$4:$G$12,1),1)</x:f>
        <x:v>3.8</x:v>
      </x:c>
      <x:c r="T442" s="106" t="str">
        <x:f>IF(R442&gt;='Inputs &amp; Guide'!$B$9,"HIGH",IF(R442&gt;=0.45,"WATCH","NORMAL"))</x:f>
        <x:v>HIGH</x:v>
      </x:c>
    </x:row>
    <x:row r="443">
      <x:c r="A443" s="95" t="n">
        <x:v>3513</x:v>
      </x:c>
      <x:c r="B443" s="96" t="n">
        <x:v>45438.104166666664</x:v>
      </x:c>
      <x:c r="C443" s="97" t="str">
        <x:v>Wildfire</x:v>
      </x:c>
      <x:c r="D443" s="97" t="str">
        <x:v>Brazil</x:v>
      </x:c>
      <x:c r="E443" s="98" t="n">
        <x:v>7.7429166514379695</x:v>
      </x:c>
      <x:c r="F443" s="99" t="n">
        <x:v>648.3467408892257</x:v>
      </x:c>
      <x:c r="G443" s="100" t="str">
        <x:f>XLOOKUP(D443,'Reference Tables'!$A$4:$A$23,'Reference Tables'!$B$4:$B$23,"Other")</x:f>
        <x:v>Latin America</x:v>
      </x:c>
      <x:c r="H443" s="100" t="str">
        <x:f>VLOOKUP(G443,'Reference Tables'!$I$4:$J$9,2,FALSE)</x:f>
        <x:v>Moderate</x:v>
      </x:c>
      <x:c r="I443" s="101" t="n">
        <x:f>F443*'Inputs &amp; Guide'!$B$4*XLOOKUP(D443,'Reference Tables'!$A$4:$A$23,'Reference Tables'!$C$4:$C$23,0.75)</x:f>
        <x:v>85.0630924046664</x:v>
      </x:c>
      <x:c r="J443" s="102" t="n">
        <x:f>XLOOKUP(C443,'Reference Tables'!$E$4:$E$12,'Reference Tables'!$F$4:$F$12,0.05)</x:f>
        <x:v>0.1</x:v>
      </x:c>
      <x:c r="K443" s="103" t="n">
        <x:f>MIN(I443,F443*J443)</x:f>
        <x:v>64.83467408892257</x:v>
      </x:c>
      <x:c r="L443" s="103" t="n">
        <x:f>'Inputs &amp; Guide'!$B$5</x:f>
        <x:v>15</x:v>
      </x:c>
      <x:c r="M443" s="103" t="n">
        <x:f>I443*'Inputs &amp; Guide'!$B$6</x:f>
        <x:v>46.78470082256653</x:v>
      </x:c>
      <x:c r="N443" s="103" t="n">
        <x:f>MAX(0,MIN(K443-L443,M443))</x:f>
        <x:v>46.78470082256653</x:v>
      </x:c>
      <x:c r="O443" s="103" t="n">
        <x:f>MAX(0,N443-'Inputs &amp; Guide'!$B$7)</x:f>
        <x:v>0</x:v>
      </x:c>
      <x:c r="P443" s="103" t="n">
        <x:f>N443-O443</x:f>
        <x:v>46.78470082256653</x:v>
      </x:c>
      <x:c r="Q443" s="103" t="n">
        <x:f>I443*'Inputs &amp; Guide'!$B$8</x:f>
        <x:v>1.5311356632839952</x:v>
      </x:c>
      <x:c r="R443" s="104" t="n">
        <x:f>IFERROR(P443/Q443,0)</x:f>
        <x:v>30.55555555555556</x:v>
      </x:c>
      <x:c r="S443" s="105" t="n">
        <x:f>ROUND(E443*XLOOKUP(C443,'Reference Tables'!$E$4:$E$12,'Reference Tables'!$G$4:$G$12,1),1)</x:f>
        <x:v>8.9</x:v>
      </x:c>
      <x:c r="T443" s="106" t="str">
        <x:f>IF(R443&gt;='Inputs &amp; Guide'!$B$9,"HIGH",IF(R443&gt;=0.45,"WATCH","NORMAL"))</x:f>
        <x:v>HIGH</x:v>
      </x:c>
    </x:row>
    <x:row r="444">
      <x:c r="A444" s="95" t="n">
        <x:v>3521</x:v>
      </x:c>
      <x:c r="B444" s="96" t="n">
        <x:v>45438.4375</x:v>
      </x:c>
      <x:c r="C444" s="97" t="str">
        <x:v>Earthquake</x:v>
      </x:c>
      <x:c r="D444" s="97" t="str">
        <x:v>Indonesia</x:v>
      </x:c>
      <x:c r="E444" s="98" t="n">
        <x:v>1.863873996091165</x:v>
      </x:c>
      <x:c r="F444" s="99" t="n">
        <x:v>245.27343598099588</x:v>
      </x:c>
      <x:c r="G444" s="100" t="str">
        <x:f>XLOOKUP(D444,'Reference Tables'!$A$4:$A$23,'Reference Tables'!$B$4:$B$23,"Other")</x:f>
        <x:v>Asia Pacific</x:v>
      </x:c>
      <x:c r="H444" s="100" t="str">
        <x:f>VLOOKUP(G444,'Reference Tables'!$I$4:$J$9,2,FALSE)</x:f>
        <x:v>High</x:v>
      </x:c>
      <x:c r="I444" s="101" t="n">
        <x:f>F444*'Inputs &amp; Guide'!$B$4*XLOOKUP(D444,'Reference Tables'!$A$4:$A$23,'Reference Tables'!$C$4:$C$23,0.75)</x:f>
        <x:v>40.42106224966812</x:v>
      </x:c>
      <x:c r="J444" s="102" t="n">
        <x:f>XLOOKUP(C444,'Reference Tables'!$E$4:$E$12,'Reference Tables'!$F$4:$F$12,0.05)</x:f>
        <x:v>0.14</x:v>
      </x:c>
      <x:c r="K444" s="103" t="n">
        <x:f>MIN(I444,F444*J444)</x:f>
        <x:v>34.33828103733943</x:v>
      </x:c>
      <x:c r="L444" s="103" t="n">
        <x:f>'Inputs &amp; Guide'!$B$5</x:f>
        <x:v>15</x:v>
      </x:c>
      <x:c r="M444" s="103" t="n">
        <x:f>I444*'Inputs &amp; Guide'!$B$6</x:f>
        <x:v>22.231584237317467</x:v>
      </x:c>
      <x:c r="N444" s="103" t="n">
        <x:f>MAX(0,MIN(K444-L444,M444))</x:f>
        <x:v>19.338281037339428</x:v>
      </x:c>
      <x:c r="O444" s="103" t="n">
        <x:f>MAX(0,N444-'Inputs &amp; Guide'!$B$7)</x:f>
        <x:v>0</x:v>
      </x:c>
      <x:c r="P444" s="103" t="n">
        <x:f>N444-O444</x:f>
        <x:v>19.338281037339428</x:v>
      </x:c>
      <x:c r="Q444" s="103" t="n">
        <x:f>I444*'Inputs &amp; Guide'!$B$8</x:f>
        <x:v>0.7275791204940261</x:v>
      </x:c>
      <x:c r="R444" s="104" t="n">
        <x:f>IFERROR(P444/Q444,0)</x:f>
        <x:v>26.57893896708957</x:v>
      </x:c>
      <x:c r="S444" s="105" t="n">
        <x:f>ROUND(E444*XLOOKUP(C444,'Reference Tables'!$E$4:$E$12,'Reference Tables'!$G$4:$G$12,1),1)</x:f>
        <x:v>2.8</x:v>
      </x:c>
      <x:c r="T444" s="106" t="str">
        <x:f>IF(R444&gt;='Inputs &amp; Guide'!$B$9,"HIGH",IF(R444&gt;=0.45,"WATCH","NORMAL"))</x:f>
        <x:v>HIGH</x:v>
      </x:c>
    </x:row>
    <x:row r="445">
      <x:c r="A445" s="95" t="n">
        <x:v>3529</x:v>
      </x:c>
      <x:c r="B445" s="96" t="n">
        <x:v>45439</x:v>
      </x:c>
      <x:c r="C445" s="97" t="str">
        <x:v>Earthquake</x:v>
      </x:c>
      <x:c r="D445" s="97" t="str">
        <x:v>Brazil</x:v>
      </x:c>
      <x:c r="E445" s="98" t="n">
        <x:v>7.3763484272207585</x:v>
      </x:c>
      <x:c r="F445" s="99" t="n">
        <x:v>430.162689863101</x:v>
      </x:c>
      <x:c r="G445" s="100" t="str">
        <x:f>XLOOKUP(D445,'Reference Tables'!$A$4:$A$23,'Reference Tables'!$B$4:$B$23,"Other")</x:f>
        <x:v>Latin America</x:v>
      </x:c>
      <x:c r="H445" s="100" t="str">
        <x:f>VLOOKUP(G445,'Reference Tables'!$I$4:$J$9,2,FALSE)</x:f>
        <x:v>Moderate</x:v>
      </x:c>
      <x:c r="I445" s="101" t="n">
        <x:f>F445*'Inputs &amp; Guide'!$B$4*XLOOKUP(D445,'Reference Tables'!$A$4:$A$23,'Reference Tables'!$C$4:$C$23,0.75)</x:f>
        <x:v>56.43734491003885</x:v>
      </x:c>
      <x:c r="J445" s="102" t="n">
        <x:f>XLOOKUP(C445,'Reference Tables'!$E$4:$E$12,'Reference Tables'!$F$4:$F$12,0.05)</x:f>
        <x:v>0.14</x:v>
      </x:c>
      <x:c r="K445" s="103" t="n">
        <x:f>MIN(I445,F445*J445)</x:f>
        <x:v>56.43734491003885</x:v>
      </x:c>
      <x:c r="L445" s="103" t="n">
        <x:f>'Inputs &amp; Guide'!$B$5</x:f>
        <x:v>15</x:v>
      </x:c>
      <x:c r="M445" s="103" t="n">
        <x:f>I445*'Inputs &amp; Guide'!$B$6</x:f>
        <x:v>31.04053970052137</x:v>
      </x:c>
      <x:c r="N445" s="103" t="n">
        <x:f>MAX(0,MIN(K445-L445,M445))</x:f>
        <x:v>31.04053970052137</x:v>
      </x:c>
      <x:c r="O445" s="103" t="n">
        <x:f>MAX(0,N445-'Inputs &amp; Guide'!$B$7)</x:f>
        <x:v>0</x:v>
      </x:c>
      <x:c r="P445" s="103" t="n">
        <x:f>N445-O445</x:f>
        <x:v>31.04053970052137</x:v>
      </x:c>
      <x:c r="Q445" s="103" t="n">
        <x:f>I445*'Inputs &amp; Guide'!$B$8</x:f>
        <x:v>1.0158722083806992</x:v>
      </x:c>
      <x:c r="R445" s="104" t="n">
        <x:f>IFERROR(P445/Q445,0)</x:f>
        <x:v>30.55555555555556</x:v>
      </x:c>
      <x:c r="S445" s="105" t="n">
        <x:f>ROUND(E445*XLOOKUP(C445,'Reference Tables'!$E$4:$E$12,'Reference Tables'!$G$4:$G$12,1),1)</x:f>
        <x:v>11.1</x:v>
      </x:c>
      <x:c r="T445" s="106" t="str">
        <x:f>IF(R445&gt;='Inputs &amp; Guide'!$B$9,"HIGH",IF(R445&gt;=0.45,"WATCH","NORMAL"))</x:f>
        <x:v>HIGH</x:v>
      </x:c>
    </x:row>
    <x:row r="446">
      <x:c r="A446" s="95" t="n">
        <x:v>3537</x:v>
      </x:c>
      <x:c r="B446" s="96" t="n">
        <x:v>45439.104166666664</x:v>
      </x:c>
      <x:c r="C446" s="97" t="str">
        <x:v>Earthquake</x:v>
      </x:c>
      <x:c r="D446" s="97" t="str">
        <x:v>Indonesia</x:v>
      </x:c>
      <x:c r="E446" s="98" t="n">
        <x:v>2.4670177444737837</x:v>
      </x:c>
      <x:c r="F446" s="99" t="n">
        <x:v>353.51353945404253</x:v>
      </x:c>
      <x:c r="G446" s="100" t="str">
        <x:f>XLOOKUP(D446,'Reference Tables'!$A$4:$A$23,'Reference Tables'!$B$4:$B$23,"Other")</x:f>
        <x:v>Asia Pacific</x:v>
      </x:c>
      <x:c r="H446" s="100" t="str">
        <x:f>VLOOKUP(G446,'Reference Tables'!$I$4:$J$9,2,FALSE)</x:f>
        <x:v>High</x:v>
      </x:c>
      <x:c r="I446" s="101" t="n">
        <x:f>F446*'Inputs &amp; Guide'!$B$4*XLOOKUP(D446,'Reference Tables'!$A$4:$A$23,'Reference Tables'!$C$4:$C$23,0.75)</x:f>
        <x:v>58.259031302026216</x:v>
      </x:c>
      <x:c r="J446" s="102" t="n">
        <x:f>XLOOKUP(C446,'Reference Tables'!$E$4:$E$12,'Reference Tables'!$F$4:$F$12,0.05)</x:f>
        <x:v>0.14</x:v>
      </x:c>
      <x:c r="K446" s="103" t="n">
        <x:f>MIN(I446,F446*J446)</x:f>
        <x:v>49.49189552356596</x:v>
      </x:c>
      <x:c r="L446" s="103" t="n">
        <x:f>'Inputs &amp; Guide'!$B$5</x:f>
        <x:v>15</x:v>
      </x:c>
      <x:c r="M446" s="103" t="n">
        <x:f>I446*'Inputs &amp; Guide'!$B$6</x:f>
        <x:v>32.042467216114424</x:v>
      </x:c>
      <x:c r="N446" s="103" t="n">
        <x:f>MAX(0,MIN(K446-L446,M446))</x:f>
        <x:v>32.042467216114424</x:v>
      </x:c>
      <x:c r="O446" s="103" t="n">
        <x:f>MAX(0,N446-'Inputs &amp; Guide'!$B$7)</x:f>
        <x:v>0</x:v>
      </x:c>
      <x:c r="P446" s="103" t="n">
        <x:f>N446-O446</x:f>
        <x:v>32.042467216114424</x:v>
      </x:c>
      <x:c r="Q446" s="103" t="n">
        <x:f>I446*'Inputs &amp; Guide'!$B$8</x:f>
        <x:v>1.048662563436472</x:v>
      </x:c>
      <x:c r="R446" s="104" t="n">
        <x:f>IFERROR(P446/Q446,0)</x:f>
        <x:v>30.55555555555556</x:v>
      </x:c>
      <x:c r="S446" s="105" t="n">
        <x:f>ROUND(E446*XLOOKUP(C446,'Reference Tables'!$E$4:$E$12,'Reference Tables'!$G$4:$G$12,1),1)</x:f>
        <x:v>3.7</x:v>
      </x:c>
      <x:c r="T446" s="106" t="str">
        <x:f>IF(R446&gt;='Inputs &amp; Guide'!$B$9,"HIGH",IF(R446&gt;=0.45,"WATCH","NORMAL"))</x:f>
        <x:v>HIGH</x:v>
      </x:c>
    </x:row>
    <x:row r="447">
      <x:c r="A447" s="95" t="n">
        <x:v>3545</x:v>
      </x:c>
      <x:c r="B447" s="96" t="n">
        <x:v>45439.4375</x:v>
      </x:c>
      <x:c r="C447" s="97" t="str">
        <x:v>Wildfire</x:v>
      </x:c>
      <x:c r="D447" s="97" t="str">
        <x:v>China</x:v>
      </x:c>
      <x:c r="E447" s="98" t="n">
        <x:v>9.17319641340391</x:v>
      </x:c>
      <x:c r="F447" s="99" t="n">
        <x:v>263.55013395028334</x:v>
      </x:c>
      <x:c r="G447" s="100" t="str">
        <x:f>XLOOKUP(D447,'Reference Tables'!$A$4:$A$23,'Reference Tables'!$B$4:$B$23,"Other")</x:f>
        <x:v>Asia Pacific</x:v>
      </x:c>
      <x:c r="H447" s="100" t="str">
        <x:f>VLOOKUP(G447,'Reference Tables'!$I$4:$J$9,2,FALSE)</x:f>
        <x:v>High</x:v>
      </x:c>
      <x:c r="I447" s="101" t="n">
        <x:f>F447*'Inputs &amp; Guide'!$B$4*XLOOKUP(D447,'Reference Tables'!$A$4:$A$23,'Reference Tables'!$C$4:$C$23,0.75)</x:f>
        <x:v>45.54146314660897</x:v>
      </x:c>
      <x:c r="J447" s="102" t="n">
        <x:f>XLOOKUP(C447,'Reference Tables'!$E$4:$E$12,'Reference Tables'!$F$4:$F$12,0.05)</x:f>
        <x:v>0.1</x:v>
      </x:c>
      <x:c r="K447" s="103" t="n">
        <x:f>MIN(I447,F447*J447)</x:f>
        <x:v>26.355013395028337</x:v>
      </x:c>
      <x:c r="L447" s="103" t="n">
        <x:f>'Inputs &amp; Guide'!$B$5</x:f>
        <x:v>15</x:v>
      </x:c>
      <x:c r="M447" s="103" t="n">
        <x:f>I447*'Inputs &amp; Guide'!$B$6</x:f>
        <x:v>25.047804730634933</x:v>
      </x:c>
      <x:c r="N447" s="103" t="n">
        <x:f>MAX(0,MIN(K447-L447,M447))</x:f>
        <x:v>11.355013395028337</x:v>
      </x:c>
      <x:c r="O447" s="103" t="n">
        <x:f>MAX(0,N447-'Inputs &amp; Guide'!$B$7)</x:f>
        <x:v>0</x:v>
      </x:c>
      <x:c r="P447" s="103" t="n">
        <x:f>N447-O447</x:f>
        <x:v>11.355013395028337</x:v>
      </x:c>
      <x:c r="Q447" s="103" t="n">
        <x:f>I447*'Inputs &amp; Guide'!$B$8</x:f>
        <x:v>0.8197463366389613</x:v>
      </x:c>
      <x:c r="R447" s="104" t="n">
        <x:f>IFERROR(P447/Q447,0)</x:f>
        <x:v>13.851862323148623</x:v>
      </x:c>
      <x:c r="S447" s="105" t="n">
        <x:f>ROUND(E447*XLOOKUP(C447,'Reference Tables'!$E$4:$E$12,'Reference Tables'!$G$4:$G$12,1),1)</x:f>
        <x:v>10.5</x:v>
      </x:c>
      <x:c r="T447" s="106" t="str">
        <x:f>IF(R447&gt;='Inputs &amp; Guide'!$B$9,"HIGH",IF(R447&gt;=0.45,"WATCH","NORMAL"))</x:f>
        <x:v>HIGH</x:v>
      </x:c>
    </x:row>
    <x:row r="448">
      <x:c r="A448" s="95" t="n">
        <x:v>3553</x:v>
      </x:c>
      <x:c r="B448" s="96" t="n">
        <x:v>45440</x:v>
      </x:c>
      <x:c r="C448" s="97" t="str">
        <x:v>Wildfire</x:v>
      </x:c>
      <x:c r="D448" s="97" t="str">
        <x:v>USA</x:v>
      </x:c>
      <x:c r="E448" s="98" t="n">
        <x:v>9.902602204947442</x:v>
      </x:c>
      <x:c r="F448" s="99" t="n">
        <x:v>988.1432945474958</x:v>
      </x:c>
      <x:c r="G448" s="100" t="str">
        <x:f>XLOOKUP(D448,'Reference Tables'!$A$4:$A$23,'Reference Tables'!$B$4:$B$23,"Other")</x:f>
        <x:v>Other</x:v>
      </x:c>
      <x:c r="H448" s="100" t="str">
        <x:f>VLOOKUP(G448,'Reference Tables'!$I$4:$J$9,2,FALSE)</x:f>
        <x:v>Moderate</x:v>
      </x:c>
      <x:c r="I448" s="101" t="n">
        <x:f>F448*'Inputs &amp; Guide'!$B$4*XLOOKUP(D448,'Reference Tables'!$A$4:$A$23,'Reference Tables'!$C$4:$C$23,0.75)</x:f>
        <x:v>118.5771953456995</x:v>
      </x:c>
      <x:c r="J448" s="102" t="n">
        <x:f>XLOOKUP(C448,'Reference Tables'!$E$4:$E$12,'Reference Tables'!$F$4:$F$12,0.05)</x:f>
        <x:v>0.1</x:v>
      </x:c>
      <x:c r="K448" s="103" t="n">
        <x:f>MIN(I448,F448*J448)</x:f>
        <x:v>98.81432945474958</x:v>
      </x:c>
      <x:c r="L448" s="103" t="n">
        <x:f>'Inputs &amp; Guide'!$B$5</x:f>
        <x:v>15</x:v>
      </x:c>
      <x:c r="M448" s="103" t="n">
        <x:f>I448*'Inputs &amp; Guide'!$B$6</x:f>
        <x:v>65.21745744013472</x:v>
      </x:c>
      <x:c r="N448" s="103" t="n">
        <x:f>MAX(0,MIN(K448-L448,M448))</x:f>
        <x:v>65.21745744013472</x:v>
      </x:c>
      <x:c r="O448" s="103" t="n">
        <x:f>MAX(0,N448-'Inputs &amp; Guide'!$B$7)</x:f>
        <x:v>5.217457440134723</x:v>
      </x:c>
      <x:c r="P448" s="103" t="n">
        <x:f>N448-O448</x:f>
        <x:v>60</x:v>
      </x:c>
      <x:c r="Q448" s="103" t="n">
        <x:f>I448*'Inputs &amp; Guide'!$B$8</x:f>
        <x:v>2.1343895162225905</x:v>
      </x:c>
      <x:c r="R448" s="104" t="n">
        <x:f>IFERROR(P448/Q448,0)</x:f>
        <x:v>28.1110826041664</x:v>
      </x:c>
      <x:c r="S448" s="105" t="n">
        <x:f>ROUND(E448*XLOOKUP(C448,'Reference Tables'!$E$4:$E$12,'Reference Tables'!$G$4:$G$12,1),1)</x:f>
        <x:v>11.4</x:v>
      </x:c>
      <x:c r="T448" s="106" t="str">
        <x:f>IF(R448&gt;='Inputs &amp; Guide'!$B$9,"HIGH",IF(R448&gt;=0.45,"WATCH","NORMAL"))</x:f>
        <x:v>HIGH</x:v>
      </x:c>
    </x:row>
    <x:row r="449">
      <x:c r="A449" s="95" t="n">
        <x:v>3561</x:v>
      </x:c>
      <x:c r="B449" s="96" t="n">
        <x:v>45440.104166666664</x:v>
      </x:c>
      <x:c r="C449" s="97" t="str">
        <x:v>Earthquake</x:v>
      </x:c>
      <x:c r="D449" s="97" t="str">
        <x:v>USA</x:v>
      </x:c>
      <x:c r="E449" s="98" t="n">
        <x:v>8.78938342481765</x:v>
      </x:c>
      <x:c r="F449" s="99" t="n">
        <x:v>994.2663873397277</x:v>
      </x:c>
      <x:c r="G449" s="100" t="str">
        <x:f>XLOOKUP(D449,'Reference Tables'!$A$4:$A$23,'Reference Tables'!$B$4:$B$23,"Other")</x:f>
        <x:v>Other</x:v>
      </x:c>
      <x:c r="H449" s="100" t="str">
        <x:f>VLOOKUP(G449,'Reference Tables'!$I$4:$J$9,2,FALSE)</x:f>
        <x:v>Moderate</x:v>
      </x:c>
      <x:c r="I449" s="101" t="n">
        <x:f>F449*'Inputs &amp; Guide'!$B$4*XLOOKUP(D449,'Reference Tables'!$A$4:$A$23,'Reference Tables'!$C$4:$C$23,0.75)</x:f>
        <x:v>119.31196648076732</x:v>
      </x:c>
      <x:c r="J449" s="102" t="n">
        <x:f>XLOOKUP(C449,'Reference Tables'!$E$4:$E$12,'Reference Tables'!$F$4:$F$12,0.05)</x:f>
        <x:v>0.14</x:v>
      </x:c>
      <x:c r="K449" s="103" t="n">
        <x:f>MIN(I449,F449*J449)</x:f>
        <x:v>119.31196648076732</x:v>
      </x:c>
      <x:c r="L449" s="103" t="n">
        <x:f>'Inputs &amp; Guide'!$B$5</x:f>
        <x:v>15</x:v>
      </x:c>
      <x:c r="M449" s="103" t="n">
        <x:f>I449*'Inputs &amp; Guide'!$B$6</x:f>
        <x:v>65.62158156442203</x:v>
      </x:c>
      <x:c r="N449" s="103" t="n">
        <x:f>MAX(0,MIN(K449-L449,M449))</x:f>
        <x:v>65.62158156442203</x:v>
      </x:c>
      <x:c r="O449" s="103" t="n">
        <x:f>MAX(0,N449-'Inputs &amp; Guide'!$B$7)</x:f>
        <x:v>5.62158156442203</x:v>
      </x:c>
      <x:c r="P449" s="103" t="n">
        <x:f>N449-O449</x:f>
        <x:v>60</x:v>
      </x:c>
      <x:c r="Q449" s="103" t="n">
        <x:f>I449*'Inputs &amp; Guide'!$B$8</x:f>
        <x:v>2.1476153966538116</x:v>
      </x:c>
      <x:c r="R449" s="104" t="n">
        <x:f>IFERROR(P449/Q449,0)</x:f>
        <x:v>27.937963237498526</x:v>
      </x:c>
      <x:c r="S449" s="105" t="n">
        <x:f>ROUND(E449*XLOOKUP(C449,'Reference Tables'!$E$4:$E$12,'Reference Tables'!$G$4:$G$12,1),1)</x:f>
        <x:v>13.2</x:v>
      </x:c>
      <x:c r="T449" s="106" t="str">
        <x:f>IF(R449&gt;='Inputs &amp; Guide'!$B$9,"HIGH",IF(R449&gt;=0.45,"WATCH","NORMAL"))</x:f>
        <x:v>HIGH</x:v>
      </x:c>
    </x:row>
    <x:row r="450">
      <x:c r="A450" s="95" t="n">
        <x:v>3569</x:v>
      </x:c>
      <x:c r="B450" s="96" t="n">
        <x:v>45440.4375</x:v>
      </x:c>
      <x:c r="C450" s="97" t="str">
        <x:v>Hurricane</x:v>
      </x:c>
      <x:c r="D450" s="97" t="str">
        <x:v>China</x:v>
      </x:c>
      <x:c r="E450" s="98" t="n">
        <x:v>1.4561788407251228</x:v>
      </x:c>
      <x:c r="F450" s="99" t="n">
        <x:v>880.3407963503066</x:v>
      </x:c>
      <x:c r="G450" s="100" t="str">
        <x:f>XLOOKUP(D450,'Reference Tables'!$A$4:$A$23,'Reference Tables'!$B$4:$B$23,"Other")</x:f>
        <x:v>Asia Pacific</x:v>
      </x:c>
      <x:c r="H450" s="100" t="str">
        <x:f>VLOOKUP(G450,'Reference Tables'!$I$4:$J$9,2,FALSE)</x:f>
        <x:v>High</x:v>
      </x:c>
      <x:c r="I450" s="101" t="n">
        <x:f>F450*'Inputs &amp; Guide'!$B$4*XLOOKUP(D450,'Reference Tables'!$A$4:$A$23,'Reference Tables'!$C$4:$C$23,0.75)</x:f>
        <x:v>152.122889609333</x:v>
      </x:c>
      <x:c r="J450" s="102" t="n">
        <x:f>XLOOKUP(C450,'Reference Tables'!$E$4:$E$12,'Reference Tables'!$F$4:$F$12,0.05)</x:f>
        <x:v>0.18</x:v>
      </x:c>
      <x:c r="K450" s="103" t="n">
        <x:f>MIN(I450,F450*J450)</x:f>
        <x:v>152.122889609333</x:v>
      </x:c>
      <x:c r="L450" s="103" t="n">
        <x:f>'Inputs &amp; Guide'!$B$5</x:f>
        <x:v>15</x:v>
      </x:c>
      <x:c r="M450" s="103" t="n">
        <x:f>I450*'Inputs &amp; Guide'!$B$6</x:f>
        <x:v>83.66758928513315</x:v>
      </x:c>
      <x:c r="N450" s="103" t="n">
        <x:f>MAX(0,MIN(K450-L450,M450))</x:f>
        <x:v>83.66758928513315</x:v>
      </x:c>
      <x:c r="O450" s="103" t="n">
        <x:f>MAX(0,N450-'Inputs &amp; Guide'!$B$7)</x:f>
        <x:v>23.667589285133147</x:v>
      </x:c>
      <x:c r="P450" s="103" t="n">
        <x:f>N450-O450</x:f>
        <x:v>60</x:v>
      </x:c>
      <x:c r="Q450" s="103" t="n">
        <x:f>I450*'Inputs &amp; Guide'!$B$8</x:f>
        <x:v>2.7382120129679937</x:v>
      </x:c>
      <x:c r="R450" s="104" t="n">
        <x:f>IFERROR(P450/Q450,0)</x:f>
        <x:v>21.912108965939783</x:v>
      </x:c>
      <x:c r="S450" s="105" t="n">
        <x:f>ROUND(E450*XLOOKUP(C450,'Reference Tables'!$E$4:$E$12,'Reference Tables'!$G$4:$G$12,1),1)</x:f>
        <x:v>2</x:v>
      </x:c>
      <x:c r="T450" s="106" t="str">
        <x:f>IF(R450&gt;='Inputs &amp; Guide'!$B$9,"HIGH",IF(R450&gt;=0.45,"WATCH","NORMAL"))</x:f>
        <x:v>HIGH</x:v>
      </x:c>
    </x:row>
    <x:row r="451">
      <x:c r="A451" s="95" t="n">
        <x:v>3577</x:v>
      </x:c>
      <x:c r="B451" s="96" t="n">
        <x:v>45441</x:v>
      </x:c>
      <x:c r="C451" s="97" t="str">
        <x:v>Hurricane</x:v>
      </x:c>
      <x:c r="D451" s="97" t="str">
        <x:v>Japan</x:v>
      </x:c>
      <x:c r="E451" s="98" t="n">
        <x:v>7.91900814353029</x:v>
      </x:c>
      <x:c r="F451" s="99" t="n">
        <x:v>550.901633064742</x:v>
      </x:c>
      <x:c r="G451" s="100" t="str">
        <x:f>XLOOKUP(D451,'Reference Tables'!$A$4:$A$23,'Reference Tables'!$B$4:$B$23,"Other")</x:f>
        <x:v>Asia Pacific</x:v>
      </x:c>
      <x:c r="H451" s="100" t="str">
        <x:f>VLOOKUP(G451,'Reference Tables'!$I$4:$J$9,2,FALSE)</x:f>
        <x:v>High</x:v>
      </x:c>
      <x:c r="I451" s="101" t="n">
        <x:f>F451*'Inputs &amp; Guide'!$B$4*XLOOKUP(D451,'Reference Tables'!$A$4:$A$23,'Reference Tables'!$C$4:$C$23,0.75)</x:f>
        <x:v>104.01022832262328</x:v>
      </x:c>
      <x:c r="J451" s="102" t="n">
        <x:f>XLOOKUP(C451,'Reference Tables'!$E$4:$E$12,'Reference Tables'!$F$4:$F$12,0.05)</x:f>
        <x:v>0.18</x:v>
      </x:c>
      <x:c r="K451" s="103" t="n">
        <x:f>MIN(I451,F451*J451)</x:f>
        <x:v>99.16229395165355</x:v>
      </x:c>
      <x:c r="L451" s="103" t="n">
        <x:f>'Inputs &amp; Guide'!$B$5</x:f>
        <x:v>15</x:v>
      </x:c>
      <x:c r="M451" s="103" t="n">
        <x:f>I451*'Inputs &amp; Guide'!$B$6</x:f>
        <x:v>57.20562557744281</x:v>
      </x:c>
      <x:c r="N451" s="103" t="n">
        <x:f>MAX(0,MIN(K451-L451,M451))</x:f>
        <x:v>57.20562557744281</x:v>
      </x:c>
      <x:c r="O451" s="103" t="n">
        <x:f>MAX(0,N451-'Inputs &amp; Guide'!$B$7)</x:f>
        <x:v>0</x:v>
      </x:c>
      <x:c r="P451" s="103" t="n">
        <x:f>N451-O451</x:f>
        <x:v>57.20562557744281</x:v>
      </x:c>
      <x:c r="Q451" s="103" t="n">
        <x:f>I451*'Inputs &amp; Guide'!$B$8</x:f>
        <x:v>1.872184109807219</x:v>
      </x:c>
      <x:c r="R451" s="104" t="n">
        <x:f>IFERROR(P451/Q451,0)</x:f>
        <x:v>30.55555555555556</x:v>
      </x:c>
      <x:c r="S451" s="105" t="n">
        <x:f>ROUND(E451*XLOOKUP(C451,'Reference Tables'!$E$4:$E$12,'Reference Tables'!$G$4:$G$12,1),1)</x:f>
        <x:v>11.1</x:v>
      </x:c>
      <x:c r="T451" s="106" t="str">
        <x:f>IF(R451&gt;='Inputs &amp; Guide'!$B$9,"HIGH",IF(R451&gt;=0.45,"WATCH","NORMAL"))</x:f>
        <x:v>HIGH</x:v>
      </x:c>
    </x:row>
    <x:row r="452">
      <x:c r="A452" s="95" t="n">
        <x:v>3585</x:v>
      </x:c>
      <x:c r="B452" s="96" t="n">
        <x:v>45441.104166666664</x:v>
      </x:c>
      <x:c r="C452" s="97" t="str">
        <x:v>Flood</x:v>
      </x:c>
      <x:c r="D452" s="97" t="str">
        <x:v>Brazil</x:v>
      </x:c>
      <x:c r="E452" s="98" t="n">
        <x:v>1.2686411162961828</x:v>
      </x:c>
      <x:c r="F452" s="99" t="n">
        <x:v>617.5908071703096</x:v>
      </x:c>
      <x:c r="G452" s="100" t="str">
        <x:f>XLOOKUP(D452,'Reference Tables'!$A$4:$A$23,'Reference Tables'!$B$4:$B$23,"Other")</x:f>
        <x:v>Latin America</x:v>
      </x:c>
      <x:c r="H452" s="100" t="str">
        <x:f>VLOOKUP(G452,'Reference Tables'!$I$4:$J$9,2,FALSE)</x:f>
        <x:v>Moderate</x:v>
      </x:c>
      <x:c r="I452" s="101" t="n">
        <x:f>F452*'Inputs &amp; Guide'!$B$4*XLOOKUP(D452,'Reference Tables'!$A$4:$A$23,'Reference Tables'!$C$4:$C$23,0.75)</x:f>
        <x:v>81.02791390074462</x:v>
      </x:c>
      <x:c r="J452" s="102" t="n">
        <x:f>XLOOKUP(C452,'Reference Tables'!$E$4:$E$12,'Reference Tables'!$F$4:$F$12,0.05)</x:f>
        <x:v>0.12</x:v>
      </x:c>
      <x:c r="K452" s="103" t="n">
        <x:f>MIN(I452,F452*J452)</x:f>
        <x:v>74.11089686043715</x:v>
      </x:c>
      <x:c r="L452" s="103" t="n">
        <x:f>'Inputs &amp; Guide'!$B$5</x:f>
        <x:v>15</x:v>
      </x:c>
      <x:c r="M452" s="103" t="n">
        <x:f>I452*'Inputs &amp; Guide'!$B$6</x:f>
        <x:v>44.56535264540955</x:v>
      </x:c>
      <x:c r="N452" s="103" t="n">
        <x:f>MAX(0,MIN(K452-L452,M452))</x:f>
        <x:v>44.56535264540955</x:v>
      </x:c>
      <x:c r="O452" s="103" t="n">
        <x:f>MAX(0,N452-'Inputs &amp; Guide'!$B$7)</x:f>
        <x:v>0</x:v>
      </x:c>
      <x:c r="P452" s="103" t="n">
        <x:f>N452-O452</x:f>
        <x:v>44.56535264540955</x:v>
      </x:c>
      <x:c r="Q452" s="103" t="n">
        <x:f>I452*'Inputs &amp; Guide'!$B$8</x:f>
        <x:v>1.4585024502134032</x:v>
      </x:c>
      <x:c r="R452" s="104" t="n">
        <x:f>IFERROR(P452/Q452,0)</x:f>
        <x:v>30.55555555555556</x:v>
      </x:c>
      <x:c r="S452" s="105" t="n">
        <x:f>ROUND(E452*XLOOKUP(C452,'Reference Tables'!$E$4:$E$12,'Reference Tables'!$G$4:$G$12,1),1)</x:f>
        <x:v>1.6</x:v>
      </x:c>
      <x:c r="T452" s="106" t="str">
        <x:f>IF(R452&gt;='Inputs &amp; Guide'!$B$9,"HIGH",IF(R452&gt;=0.45,"WATCH","NORMAL"))</x:f>
        <x:v>HIGH</x:v>
      </x:c>
    </x:row>
    <x:row r="453">
      <x:c r="A453" s="95" t="n">
        <x:v>3593</x:v>
      </x:c>
      <x:c r="B453" s="96" t="n">
        <x:v>45441.4375</x:v>
      </x:c>
      <x:c r="C453" s="97" t="str">
        <x:v>Flood</x:v>
      </x:c>
      <x:c r="D453" s="97" t="str">
        <x:v>Indonesia</x:v>
      </x:c>
      <x:c r="E453" s="98" t="n">
        <x:v>6.972589759796161</x:v>
      </x:c>
      <x:c r="F453" s="99" t="n">
        <x:v>616.6144060163812</x:v>
      </x:c>
      <x:c r="G453" s="100" t="str">
        <x:f>XLOOKUP(D453,'Reference Tables'!$A$4:$A$23,'Reference Tables'!$B$4:$B$23,"Other")</x:f>
        <x:v>Asia Pacific</x:v>
      </x:c>
      <x:c r="H453" s="100" t="str">
        <x:f>VLOOKUP(G453,'Reference Tables'!$I$4:$J$9,2,FALSE)</x:f>
        <x:v>High</x:v>
      </x:c>
      <x:c r="I453" s="101" t="n">
        <x:f>F453*'Inputs &amp; Guide'!$B$4*XLOOKUP(D453,'Reference Tables'!$A$4:$A$23,'Reference Tables'!$C$4:$C$23,0.75)</x:f>
        <x:v>101.61805411149962</x:v>
      </x:c>
      <x:c r="J453" s="102" t="n">
        <x:f>XLOOKUP(C453,'Reference Tables'!$E$4:$E$12,'Reference Tables'!$F$4:$F$12,0.05)</x:f>
        <x:v>0.12</x:v>
      </x:c>
      <x:c r="K453" s="103" t="n">
        <x:f>MIN(I453,F453*J453)</x:f>
        <x:v>73.99372872196574</x:v>
      </x:c>
      <x:c r="L453" s="103" t="n">
        <x:f>'Inputs &amp; Guide'!$B$5</x:f>
        <x:v>15</x:v>
      </x:c>
      <x:c r="M453" s="103" t="n">
        <x:f>I453*'Inputs &amp; Guide'!$B$6</x:f>
        <x:v>55.889929761324794</x:v>
      </x:c>
      <x:c r="N453" s="103" t="n">
        <x:f>MAX(0,MIN(K453-L453,M453))</x:f>
        <x:v>55.889929761324794</x:v>
      </x:c>
      <x:c r="O453" s="103" t="n">
        <x:f>MAX(0,N453-'Inputs &amp; Guide'!$B$7)</x:f>
        <x:v>0</x:v>
      </x:c>
      <x:c r="P453" s="103" t="n">
        <x:f>N453-O453</x:f>
        <x:v>55.889929761324794</x:v>
      </x:c>
      <x:c r="Q453" s="103" t="n">
        <x:f>I453*'Inputs &amp; Guide'!$B$8</x:f>
        <x:v>1.829124974006993</x:v>
      </x:c>
      <x:c r="R453" s="104" t="n">
        <x:f>IFERROR(P453/Q453,0)</x:f>
        <x:v>30.55555555555556</x:v>
      </x:c>
      <x:c r="S453" s="105" t="n">
        <x:f>ROUND(E453*XLOOKUP(C453,'Reference Tables'!$E$4:$E$12,'Reference Tables'!$G$4:$G$12,1),1)</x:f>
        <x:v>8.7</x:v>
      </x:c>
      <x:c r="T453" s="106" t="str">
        <x:f>IF(R453&gt;='Inputs &amp; Guide'!$B$9,"HIGH",IF(R453&gt;=0.45,"WATCH","NORMAL"))</x:f>
        <x:v>HIGH</x:v>
      </x:c>
    </x:row>
    <x:row r="454">
      <x:c r="A454" s="95" t="n">
        <x:v>3601</x:v>
      </x:c>
      <x:c r="B454" s="96" t="n">
        <x:v>45442</x:v>
      </x:c>
      <x:c r="C454" s="97" t="str">
        <x:v>Wildfire</x:v>
      </x:c>
      <x:c r="D454" s="97" t="str">
        <x:v>China</x:v>
      </x:c>
      <x:c r="E454" s="98" t="n">
        <x:v>3.8310880948626043</x:v>
      </x:c>
      <x:c r="F454" s="99" t="n">
        <x:v>691.095756324923</x:v>
      </x:c>
      <x:c r="G454" s="100" t="str">
        <x:f>XLOOKUP(D454,'Reference Tables'!$A$4:$A$23,'Reference Tables'!$B$4:$B$23,"Other")</x:f>
        <x:v>Asia Pacific</x:v>
      </x:c>
      <x:c r="H454" s="100" t="str">
        <x:f>VLOOKUP(G454,'Reference Tables'!$I$4:$J$9,2,FALSE)</x:f>
        <x:v>High</x:v>
      </x:c>
      <x:c r="I454" s="101" t="n">
        <x:f>F454*'Inputs &amp; Guide'!$B$4*XLOOKUP(D454,'Reference Tables'!$A$4:$A$23,'Reference Tables'!$C$4:$C$23,0.75)</x:f>
        <x:v>119.42134669294668</x:v>
      </x:c>
      <x:c r="J454" s="102" t="n">
        <x:f>XLOOKUP(C454,'Reference Tables'!$E$4:$E$12,'Reference Tables'!$F$4:$F$12,0.05)</x:f>
        <x:v>0.1</x:v>
      </x:c>
      <x:c r="K454" s="103" t="n">
        <x:f>MIN(I454,F454*J454)</x:f>
        <x:v>69.1095756324923</x:v>
      </x:c>
      <x:c r="L454" s="103" t="n">
        <x:f>'Inputs &amp; Guide'!$B$5</x:f>
        <x:v>15</x:v>
      </x:c>
      <x:c r="M454" s="103" t="n">
        <x:f>I454*'Inputs &amp; Guide'!$B$6</x:f>
        <x:v>65.68174068112069</x:v>
      </x:c>
      <x:c r="N454" s="103" t="n">
        <x:f>MAX(0,MIN(K454-L454,M454))</x:f>
        <x:v>54.109575632492295</x:v>
      </x:c>
      <x:c r="O454" s="103" t="n">
        <x:f>MAX(0,N454-'Inputs &amp; Guide'!$B$7)</x:f>
        <x:v>0</x:v>
      </x:c>
      <x:c r="P454" s="103" t="n">
        <x:f>N454-O454</x:f>
        <x:v>54.109575632492295</x:v>
      </x:c>
      <x:c r="Q454" s="103" t="n">
        <x:f>I454*'Inputs &amp; Guide'!$B$8</x:f>
        <x:v>2.14958424047304</x:v>
      </x:c>
      <x:c r="R454" s="104" t="n">
        <x:f>IFERROR(P454/Q454,0)</x:f>
        <x:v>25.17211217578748</x:v>
      </x:c>
      <x:c r="S454" s="105" t="n">
        <x:f>ROUND(E454*XLOOKUP(C454,'Reference Tables'!$E$4:$E$12,'Reference Tables'!$G$4:$G$12,1),1)</x:f>
        <x:v>4.4</x:v>
      </x:c>
      <x:c r="T454" s="106" t="str">
        <x:f>IF(R454&gt;='Inputs &amp; Guide'!$B$9,"HIGH",IF(R454&gt;=0.45,"WATCH","NORMAL"))</x:f>
        <x:v>HIGH</x:v>
      </x:c>
    </x:row>
    <x:row r="455">
      <x:c r="A455" s="95" t="n">
        <x:v>3609</x:v>
      </x:c>
      <x:c r="B455" s="96" t="n">
        <x:v>45442.104166666664</x:v>
      </x:c>
      <x:c r="C455" s="97" t="str">
        <x:v>Earthquake</x:v>
      </x:c>
      <x:c r="D455" s="97" t="str">
        <x:v>India</x:v>
      </x:c>
      <x:c r="E455" s="98" t="n">
        <x:v>4.01578496153121</x:v>
      </x:c>
      <x:c r="F455" s="99" t="n">
        <x:v>207.18600112554086</x:v>
      </x:c>
      <x:c r="G455" s="100" t="str">
        <x:f>XLOOKUP(D455,'Reference Tables'!$A$4:$A$23,'Reference Tables'!$B$4:$B$23,"Other")</x:f>
        <x:v>Asia Pacific</x:v>
      </x:c>
      <x:c r="H455" s="100" t="str">
        <x:f>VLOOKUP(G455,'Reference Tables'!$I$4:$J$9,2,FALSE)</x:f>
        <x:v>High</x:v>
      </x:c>
      <x:c r="I455" s="101" t="n">
        <x:f>F455*'Inputs &amp; Guide'!$B$4*XLOOKUP(D455,'Reference Tables'!$A$4:$A$23,'Reference Tables'!$C$4:$C$23,0.75)</x:f>
        <x:v>30.16628176387875</x:v>
      </x:c>
      <x:c r="J455" s="102" t="n">
        <x:f>XLOOKUP(C455,'Reference Tables'!$E$4:$E$12,'Reference Tables'!$F$4:$F$12,0.05)</x:f>
        <x:v>0.14</x:v>
      </x:c>
      <x:c r="K455" s="103" t="n">
        <x:f>MIN(I455,F455*J455)</x:f>
        <x:v>29.006040157575722</x:v>
      </x:c>
      <x:c r="L455" s="103" t="n">
        <x:f>'Inputs &amp; Guide'!$B$5</x:f>
        <x:v>15</x:v>
      </x:c>
      <x:c r="M455" s="103" t="n">
        <x:f>I455*'Inputs &amp; Guide'!$B$6</x:f>
        <x:v>16.591454970133313</x:v>
      </x:c>
      <x:c r="N455" s="103" t="n">
        <x:f>MAX(0,MIN(K455-L455,M455))</x:f>
        <x:v>14.006040157575722</x:v>
      </x:c>
      <x:c r="O455" s="103" t="n">
        <x:f>MAX(0,N455-'Inputs &amp; Guide'!$B$7)</x:f>
        <x:v>0</x:v>
      </x:c>
      <x:c r="P455" s="103" t="n">
        <x:f>N455-O455</x:f>
        <x:v>14.006040157575722</x:v>
      </x:c>
      <x:c r="Q455" s="103" t="n">
        <x:f>I455*'Inputs &amp; Guide'!$B$8</x:f>
        <x:v>0.5429930717498175</x:v>
      </x:c>
      <x:c r="R455" s="104" t="n">
        <x:f>IFERROR(P455/Q455,0)</x:f>
        <x:v>25.794141557719477</x:v>
      </x:c>
      <x:c r="S455" s="105" t="n">
        <x:f>ROUND(E455*XLOOKUP(C455,'Reference Tables'!$E$4:$E$12,'Reference Tables'!$G$4:$G$12,1),1)</x:f>
        <x:v>6</x:v>
      </x:c>
      <x:c r="T455" s="106" t="str">
        <x:f>IF(R455&gt;='Inputs &amp; Guide'!$B$9,"HIGH",IF(R455&gt;=0.45,"WATCH","NORMAL"))</x:f>
        <x:v>HIGH</x:v>
      </x:c>
    </x:row>
    <x:row r="456">
      <x:c r="A456" s="95" t="n">
        <x:v>3617</x:v>
      </x:c>
      <x:c r="B456" s="96" t="n">
        <x:v>45442.4375</x:v>
      </x:c>
      <x:c r="C456" s="97" t="str">
        <x:v>Hurricane</x:v>
      </x:c>
      <x:c r="D456" s="97" t="str">
        <x:v>China</x:v>
      </x:c>
      <x:c r="E456" s="98" t="n">
        <x:v>3.6020975944671267</x:v>
      </x:c>
      <x:c r="F456" s="99" t="n">
        <x:v>483.6576252332588</x:v>
      </x:c>
      <x:c r="G456" s="100" t="str">
        <x:f>XLOOKUP(D456,'Reference Tables'!$A$4:$A$23,'Reference Tables'!$B$4:$B$23,"Other")</x:f>
        <x:v>Asia Pacific</x:v>
      </x:c>
      <x:c r="H456" s="100" t="str">
        <x:f>VLOOKUP(G456,'Reference Tables'!$I$4:$J$9,2,FALSE)</x:f>
        <x:v>High</x:v>
      </x:c>
      <x:c r="I456" s="101" t="n">
        <x:f>F456*'Inputs &amp; Guide'!$B$4*XLOOKUP(D456,'Reference Tables'!$A$4:$A$23,'Reference Tables'!$C$4:$C$23,0.75)</x:f>
        <x:v>83.57603764030712</x:v>
      </x:c>
      <x:c r="J456" s="102" t="n">
        <x:f>XLOOKUP(C456,'Reference Tables'!$E$4:$E$12,'Reference Tables'!$F$4:$F$12,0.05)</x:f>
        <x:v>0.18</x:v>
      </x:c>
      <x:c r="K456" s="103" t="n">
        <x:f>MIN(I456,F456*J456)</x:f>
        <x:v>83.57603764030712</x:v>
      </x:c>
      <x:c r="L456" s="103" t="n">
        <x:f>'Inputs &amp; Guide'!$B$5</x:f>
        <x:v>15</x:v>
      </x:c>
      <x:c r="M456" s="103" t="n">
        <x:f>I456*'Inputs &amp; Guide'!$B$6</x:f>
        <x:v>45.96682070216892</x:v>
      </x:c>
      <x:c r="N456" s="103" t="n">
        <x:f>MAX(0,MIN(K456-L456,M456))</x:f>
        <x:v>45.96682070216892</x:v>
      </x:c>
      <x:c r="O456" s="103" t="n">
        <x:f>MAX(0,N456-'Inputs &amp; Guide'!$B$7)</x:f>
        <x:v>0</x:v>
      </x:c>
      <x:c r="P456" s="103" t="n">
        <x:f>N456-O456</x:f>
        <x:v>45.96682070216892</x:v>
      </x:c>
      <x:c r="Q456" s="103" t="n">
        <x:f>I456*'Inputs &amp; Guide'!$B$8</x:f>
        <x:v>1.504368677525528</x:v>
      </x:c>
      <x:c r="R456" s="104" t="n">
        <x:f>IFERROR(P456/Q456,0)</x:f>
        <x:v>30.555555555555557</x:v>
      </x:c>
      <x:c r="S456" s="105" t="n">
        <x:f>ROUND(E456*XLOOKUP(C456,'Reference Tables'!$E$4:$E$12,'Reference Tables'!$G$4:$G$12,1),1)</x:f>
        <x:v>5</x:v>
      </x:c>
      <x:c r="T456" s="106" t="str">
        <x:f>IF(R456&gt;='Inputs &amp; Guide'!$B$9,"HIGH",IF(R456&gt;=0.45,"WATCH","NORMAL"))</x:f>
        <x:v>HIGH</x:v>
      </x:c>
    </x:row>
    <x:row r="457">
      <x:c r="A457" s="95" t="n">
        <x:v>3625</x:v>
      </x:c>
      <x:c r="B457" s="96" t="n">
        <x:v>45443</x:v>
      </x:c>
      <x:c r="C457" s="97" t="str">
        <x:v>Wildfire</x:v>
      </x:c>
      <x:c r="D457" s="97" t="str">
        <x:v>India</x:v>
      </x:c>
      <x:c r="E457" s="98" t="n">
        <x:v>9.606986656871461</x:v>
      </x:c>
      <x:c r="F457" s="99" t="n">
        <x:v>591.5128238068659</x:v>
      </x:c>
      <x:c r="G457" s="100" t="str">
        <x:f>XLOOKUP(D457,'Reference Tables'!$A$4:$A$23,'Reference Tables'!$B$4:$B$23,"Other")</x:f>
        <x:v>Asia Pacific</x:v>
      </x:c>
      <x:c r="H457" s="100" t="str">
        <x:f>VLOOKUP(G457,'Reference Tables'!$I$4:$J$9,2,FALSE)</x:f>
        <x:v>High</x:v>
      </x:c>
      <x:c r="I457" s="101" t="n">
        <x:f>F457*'Inputs &amp; Guide'!$B$4*XLOOKUP(D457,'Reference Tables'!$A$4:$A$23,'Reference Tables'!$C$4:$C$23,0.75)</x:f>
        <x:v>86.12426714627968</x:v>
      </x:c>
      <x:c r="J457" s="102" t="n">
        <x:f>XLOOKUP(C457,'Reference Tables'!$E$4:$E$12,'Reference Tables'!$F$4:$F$12,0.05)</x:f>
        <x:v>0.1</x:v>
      </x:c>
      <x:c r="K457" s="103" t="n">
        <x:f>MIN(I457,F457*J457)</x:f>
        <x:v>59.15128238068659</x:v>
      </x:c>
      <x:c r="L457" s="103" t="n">
        <x:f>'Inputs &amp; Guide'!$B$5</x:f>
        <x:v>15</x:v>
      </x:c>
      <x:c r="M457" s="103" t="n">
        <x:f>I457*'Inputs &amp; Guide'!$B$6</x:f>
        <x:v>47.368346930453825</x:v>
      </x:c>
      <x:c r="N457" s="103" t="n">
        <x:f>MAX(0,MIN(K457-L457,M457))</x:f>
        <x:v>44.15128238068659</x:v>
      </x:c>
      <x:c r="O457" s="103" t="n">
        <x:f>MAX(0,N457-'Inputs &amp; Guide'!$B$7)</x:f>
        <x:v>0</x:v>
      </x:c>
      <x:c r="P457" s="103" t="n">
        <x:f>N457-O457</x:f>
        <x:v>44.15128238068659</x:v>
      </x:c>
      <x:c r="Q457" s="103" t="n">
        <x:f>I457*'Inputs &amp; Guide'!$B$8</x:f>
        <x:v>1.550236808633034</x:v>
      </x:c>
      <x:c r="R457" s="104" t="n">
        <x:f>IFERROR(P457/Q457,0)</x:f>
        <x:v>28.48034708943484</x:v>
      </x:c>
      <x:c r="S457" s="105" t="n">
        <x:f>ROUND(E457*XLOOKUP(C457,'Reference Tables'!$E$4:$E$12,'Reference Tables'!$G$4:$G$12,1),1)</x:f>
        <x:v>11</x:v>
      </x:c>
      <x:c r="T457" s="106" t="str">
        <x:f>IF(R457&gt;='Inputs &amp; Guide'!$B$9,"HIGH",IF(R457&gt;=0.45,"WATCH","NORMAL"))</x:f>
        <x:v>HIGH</x:v>
      </x:c>
    </x:row>
    <x:row r="458">
      <x:c r="A458" s="95" t="n">
        <x:v>3633</x:v>
      </x:c>
      <x:c r="B458" s="96" t="n">
        <x:v>45443.104166666664</x:v>
      </x:c>
      <x:c r="C458" s="97" t="str">
        <x:v>Earthquake</x:v>
      </x:c>
      <x:c r="D458" s="97" t="str">
        <x:v>Indonesia</x:v>
      </x:c>
      <x:c r="E458" s="98" t="n">
        <x:v>8.41674057676496</x:v>
      </x:c>
      <x:c r="F458" s="99" t="n">
        <x:v>649.5482825605789</x:v>
      </x:c>
      <x:c r="G458" s="100" t="str">
        <x:f>XLOOKUP(D458,'Reference Tables'!$A$4:$A$23,'Reference Tables'!$B$4:$B$23,"Other")</x:f>
        <x:v>Asia Pacific</x:v>
      </x:c>
      <x:c r="H458" s="100" t="str">
        <x:f>VLOOKUP(G458,'Reference Tables'!$I$4:$J$9,2,FALSE)</x:f>
        <x:v>High</x:v>
      </x:c>
      <x:c r="I458" s="101" t="n">
        <x:f>F458*'Inputs &amp; Guide'!$B$4*XLOOKUP(D458,'Reference Tables'!$A$4:$A$23,'Reference Tables'!$C$4:$C$23,0.75)</x:f>
        <x:v>107.04555696598341</x:v>
      </x:c>
      <x:c r="J458" s="102" t="n">
        <x:f>XLOOKUP(C458,'Reference Tables'!$E$4:$E$12,'Reference Tables'!$F$4:$F$12,0.05)</x:f>
        <x:v>0.14</x:v>
      </x:c>
      <x:c r="K458" s="103" t="n">
        <x:f>MIN(I458,F458*J458)</x:f>
        <x:v>90.93675955848104</x:v>
      </x:c>
      <x:c r="L458" s="103" t="n">
        <x:f>'Inputs &amp; Guide'!$B$5</x:f>
        <x:v>15</x:v>
      </x:c>
      <x:c r="M458" s="103" t="n">
        <x:f>I458*'Inputs &amp; Guide'!$B$6</x:f>
        <x:v>58.87505633129088</x:v>
      </x:c>
      <x:c r="N458" s="103" t="n">
        <x:f>MAX(0,MIN(K458-L458,M458))</x:f>
        <x:v>58.87505633129088</x:v>
      </x:c>
      <x:c r="O458" s="103" t="n">
        <x:f>MAX(0,N458-'Inputs &amp; Guide'!$B$7)</x:f>
        <x:v>0</x:v>
      </x:c>
      <x:c r="P458" s="103" t="n">
        <x:f>N458-O458</x:f>
        <x:v>58.87505633129088</x:v>
      </x:c>
      <x:c r="Q458" s="103" t="n">
        <x:f>I458*'Inputs &amp; Guide'!$B$8</x:f>
        <x:v>1.9268200253877013</x:v>
      </x:c>
      <x:c r="R458" s="104" t="n">
        <x:f>IFERROR(P458/Q458,0)</x:f>
        <x:v>30.55555555555556</x:v>
      </x:c>
      <x:c r="S458" s="105" t="n">
        <x:f>ROUND(E458*XLOOKUP(C458,'Reference Tables'!$E$4:$E$12,'Reference Tables'!$G$4:$G$12,1),1)</x:f>
        <x:v>12.6</x:v>
      </x:c>
      <x:c r="T458" s="106" t="str">
        <x:f>IF(R458&gt;='Inputs &amp; Guide'!$B$9,"HIGH",IF(R458&gt;=0.45,"WATCH","NORMAL"))</x:f>
        <x:v>HIGH</x:v>
      </x:c>
    </x:row>
    <x:row r="459">
      <x:c r="A459" s="95" t="n">
        <x:v>3641</x:v>
      </x:c>
      <x:c r="B459" s="96" t="n">
        <x:v>45443.4375</x:v>
      </x:c>
      <x:c r="C459" s="97" t="str">
        <x:v>Wildfire</x:v>
      </x:c>
      <x:c r="D459" s="97" t="str">
        <x:v>USA</x:v>
      </x:c>
      <x:c r="E459" s="98" t="n">
        <x:v>8.83483490774198</x:v>
      </x:c>
      <x:c r="F459" s="99" t="n">
        <x:v>510.5844529991609</x:v>
      </x:c>
      <x:c r="G459" s="100" t="str">
        <x:f>XLOOKUP(D459,'Reference Tables'!$A$4:$A$23,'Reference Tables'!$B$4:$B$23,"Other")</x:f>
        <x:v>Other</x:v>
      </x:c>
      <x:c r="H459" s="100" t="str">
        <x:f>VLOOKUP(G459,'Reference Tables'!$I$4:$J$9,2,FALSE)</x:f>
        <x:v>Moderate</x:v>
      </x:c>
      <x:c r="I459" s="101" t="n">
        <x:f>F459*'Inputs &amp; Guide'!$B$4*XLOOKUP(D459,'Reference Tables'!$A$4:$A$23,'Reference Tables'!$C$4:$C$23,0.75)</x:f>
        <x:v>61.27013435989931</x:v>
      </x:c>
      <x:c r="J459" s="102" t="n">
        <x:f>XLOOKUP(C459,'Reference Tables'!$E$4:$E$12,'Reference Tables'!$F$4:$F$12,0.05)</x:f>
        <x:v>0.1</x:v>
      </x:c>
      <x:c r="K459" s="103" t="n">
        <x:f>MIN(I459,F459*J459)</x:f>
        <x:v>51.05844529991609</x:v>
      </x:c>
      <x:c r="L459" s="103" t="n">
        <x:f>'Inputs &amp; Guide'!$B$5</x:f>
        <x:v>15</x:v>
      </x:c>
      <x:c r="M459" s="103" t="n">
        <x:f>I459*'Inputs &amp; Guide'!$B$6</x:f>
        <x:v>33.69857389794462</x:v>
      </x:c>
      <x:c r="N459" s="103" t="n">
        <x:f>MAX(0,MIN(K459-L459,M459))</x:f>
        <x:v>33.69857389794462</x:v>
      </x:c>
      <x:c r="O459" s="103" t="n">
        <x:f>MAX(0,N459-'Inputs &amp; Guide'!$B$7)</x:f>
        <x:v>0</x:v>
      </x:c>
      <x:c r="P459" s="103" t="n">
        <x:f>N459-O459</x:f>
        <x:v>33.69857389794462</x:v>
      </x:c>
      <x:c r="Q459" s="103" t="n">
        <x:f>I459*'Inputs &amp; Guide'!$B$8</x:f>
        <x:v>1.1028624184781874</x:v>
      </x:c>
      <x:c r="R459" s="104" t="n">
        <x:f>IFERROR(P459/Q459,0)</x:f>
        <x:v>30.555555555555557</x:v>
      </x:c>
      <x:c r="S459" s="105" t="n">
        <x:f>ROUND(E459*XLOOKUP(C459,'Reference Tables'!$E$4:$E$12,'Reference Tables'!$G$4:$G$12,1),1)</x:f>
        <x:v>10.2</x:v>
      </x:c>
      <x:c r="T459" s="106" t="str">
        <x:f>IF(R459&gt;='Inputs &amp; Guide'!$B$9,"HIGH",IF(R459&gt;=0.45,"WATCH","NORMAL"))</x:f>
        <x:v>HIGH</x:v>
      </x:c>
    </x:row>
    <x:row r="460">
      <x:c r="A460" s="95" t="n">
        <x:v>3649</x:v>
      </x:c>
      <x:c r="B460" s="96" t="n">
        <x:v>45444</x:v>
      </x:c>
      <x:c r="C460" s="97" t="str">
        <x:v>Wildfire</x:v>
      </x:c>
      <x:c r="D460" s="97" t="str">
        <x:v>India</x:v>
      </x:c>
      <x:c r="E460" s="98" t="n">
        <x:v>6.617371466983812</x:v>
      </x:c>
      <x:c r="F460" s="99" t="n">
        <x:v>95.74823141676991</x:v>
      </x:c>
      <x:c r="G460" s="100" t="str">
        <x:f>XLOOKUP(D460,'Reference Tables'!$A$4:$A$23,'Reference Tables'!$B$4:$B$23,"Other")</x:f>
        <x:v>Asia Pacific</x:v>
      </x:c>
      <x:c r="H460" s="100" t="str">
        <x:f>VLOOKUP(G460,'Reference Tables'!$I$4:$J$9,2,FALSE)</x:f>
        <x:v>High</x:v>
      </x:c>
      <x:c r="I460" s="101" t="n">
        <x:f>F460*'Inputs &amp; Guide'!$B$4*XLOOKUP(D460,'Reference Tables'!$A$4:$A$23,'Reference Tables'!$C$4:$C$23,0.75)</x:f>
        <x:v>13.9409424942817</x:v>
      </x:c>
      <x:c r="J460" s="102" t="n">
        <x:f>XLOOKUP(C460,'Reference Tables'!$E$4:$E$12,'Reference Tables'!$F$4:$F$12,0.05)</x:f>
        <x:v>0.1</x:v>
      </x:c>
      <x:c r="K460" s="103" t="n">
        <x:f>MIN(I460,F460*J460)</x:f>
        <x:v>9.574823141676992</x:v>
      </x:c>
      <x:c r="L460" s="103" t="n">
        <x:f>'Inputs &amp; Guide'!$B$5</x:f>
        <x:v>15</x:v>
      </x:c>
      <x:c r="M460" s="103" t="n">
        <x:f>I460*'Inputs &amp; Guide'!$B$6</x:f>
        <x:v>7.667518371854936</x:v>
      </x:c>
      <x:c r="N460" s="103" t="n">
        <x:f>MAX(0,MIN(K460-L460,M460))</x:f>
        <x:v>0</x:v>
      </x:c>
      <x:c r="O460" s="103" t="n">
        <x:f>MAX(0,N460-'Inputs &amp; Guide'!$B$7)</x:f>
        <x:v>0</x:v>
      </x:c>
      <x:c r="P460" s="103" t="n">
        <x:f>N460-O460</x:f>
        <x:v>0</x:v>
      </x:c>
      <x:c r="Q460" s="103" t="n">
        <x:f>I460*'Inputs &amp; Guide'!$B$8</x:f>
        <x:v>0.25093696489707057</x:v>
      </x:c>
      <x:c r="R460" s="104" t="n">
        <x:f>IFERROR(P460/Q460,0)</x:f>
        <x:v>0</x:v>
      </x:c>
      <x:c r="S460" s="105" t="n">
        <x:f>ROUND(E460*XLOOKUP(C460,'Reference Tables'!$E$4:$E$12,'Reference Tables'!$G$4:$G$12,1),1)</x:f>
        <x:v>7.6</x:v>
      </x:c>
      <x:c r="T460" s="106" t="str">
        <x:f>IF(R460&gt;='Inputs &amp; Guide'!$B$9,"HIGH",IF(R460&gt;=0.45,"WATCH","NORMAL"))</x:f>
        <x:v>NORMAL</x:v>
      </x:c>
    </x:row>
    <x:row r="461">
      <x:c r="A461" s="95" t="n">
        <x:v>3657</x:v>
      </x:c>
      <x:c r="B461" s="96" t="n">
        <x:v>45444.104166666664</x:v>
      </x:c>
      <x:c r="C461" s="97" t="str">
        <x:v>Tornado</x:v>
      </x:c>
      <x:c r="D461" s="97" t="str">
        <x:v>Japan</x:v>
      </x:c>
      <x:c r="E461" s="98" t="n">
        <x:v>3.0925880770855074</x:v>
      </x:c>
      <x:c r="F461" s="99" t="n">
        <x:v>223.95447053488954</x:v>
      </x:c>
      <x:c r="G461" s="100" t="str">
        <x:f>XLOOKUP(D461,'Reference Tables'!$A$4:$A$23,'Reference Tables'!$B$4:$B$23,"Other")</x:f>
        <x:v>Asia Pacific</x:v>
      </x:c>
      <x:c r="H461" s="100" t="str">
        <x:f>VLOOKUP(G461,'Reference Tables'!$I$4:$J$9,2,FALSE)</x:f>
        <x:v>High</x:v>
      </x:c>
      <x:c r="I461" s="101" t="n">
        <x:f>F461*'Inputs &amp; Guide'!$B$4*XLOOKUP(D461,'Reference Tables'!$A$4:$A$23,'Reference Tables'!$C$4:$C$23,0.75)</x:f>
        <x:v>42.28260403698714</x:v>
      </x:c>
      <x:c r="J461" s="102" t="n">
        <x:f>XLOOKUP(C461,'Reference Tables'!$E$4:$E$12,'Reference Tables'!$F$4:$F$12,0.05)</x:f>
        <x:v>0.09</x:v>
      </x:c>
      <x:c r="K461" s="103" t="n">
        <x:f>MIN(I461,F461*J461)</x:f>
        <x:v>20.155902348140057</x:v>
      </x:c>
      <x:c r="L461" s="103" t="n">
        <x:f>'Inputs &amp; Guide'!$B$5</x:f>
        <x:v>15</x:v>
      </x:c>
      <x:c r="M461" s="103" t="n">
        <x:f>I461*'Inputs &amp; Guide'!$B$6</x:f>
        <x:v>23.25543222034293</x:v>
      </x:c>
      <x:c r="N461" s="103" t="n">
        <x:f>MAX(0,MIN(K461-L461,M461))</x:f>
        <x:v>5.1559023481400565</x:v>
      </x:c>
      <x:c r="O461" s="103" t="n">
        <x:f>MAX(0,N461-'Inputs &amp; Guide'!$B$7)</x:f>
        <x:v>0</x:v>
      </x:c>
      <x:c r="P461" s="103" t="n">
        <x:f>N461-O461</x:f>
        <x:v>5.1559023481400565</x:v>
      </x:c>
      <x:c r="Q461" s="103" t="n">
        <x:f>I461*'Inputs &amp; Guide'!$B$8</x:f>
        <x:v>0.7610868726657685</x:v>
      </x:c>
      <x:c r="R461" s="104" t="n">
        <x:f>IFERROR(P461/Q461,0)</x:f>
        <x:v>6.774394005878843</x:v>
      </x:c>
      <x:c r="S461" s="105" t="n">
        <x:f>ROUND(E461*XLOOKUP(C461,'Reference Tables'!$E$4:$E$12,'Reference Tables'!$G$4:$G$12,1),1)</x:f>
        <x:v>3.2</x:v>
      </x:c>
      <x:c r="T461" s="106" t="str">
        <x:f>IF(R461&gt;='Inputs &amp; Guide'!$B$9,"HIGH",IF(R461&gt;=0.45,"WATCH","NORMAL"))</x:f>
        <x:v>HIGH</x:v>
      </x:c>
    </x:row>
    <x:row r="462">
      <x:c r="A462" s="95" t="n">
        <x:v>3665</x:v>
      </x:c>
      <x:c r="B462" s="96" t="n">
        <x:v>45444.4375</x:v>
      </x:c>
      <x:c r="C462" s="97" t="str">
        <x:v>Flood</x:v>
      </x:c>
      <x:c r="D462" s="97" t="str">
        <x:v>Japan</x:v>
      </x:c>
      <x:c r="E462" s="98" t="n">
        <x:v>8.439903450740232</x:v>
      </x:c>
      <x:c r="F462" s="99" t="n">
        <x:v>409.14787643975626</x:v>
      </x:c>
      <x:c r="G462" s="100" t="str">
        <x:f>XLOOKUP(D462,'Reference Tables'!$A$4:$A$23,'Reference Tables'!$B$4:$B$23,"Other")</x:f>
        <x:v>Asia Pacific</x:v>
      </x:c>
      <x:c r="H462" s="100" t="str">
        <x:f>VLOOKUP(G462,'Reference Tables'!$I$4:$J$9,2,FALSE)</x:f>
        <x:v>High</x:v>
      </x:c>
      <x:c r="I462" s="101" t="n">
        <x:f>F462*'Inputs &amp; Guide'!$B$4*XLOOKUP(D462,'Reference Tables'!$A$4:$A$23,'Reference Tables'!$C$4:$C$23,0.75)</x:f>
        <x:v>77.24711907182598</x:v>
      </x:c>
      <x:c r="J462" s="102" t="n">
        <x:f>XLOOKUP(C462,'Reference Tables'!$E$4:$E$12,'Reference Tables'!$F$4:$F$12,0.05)</x:f>
        <x:v>0.12</x:v>
      </x:c>
      <x:c r="K462" s="103" t="n">
        <x:f>MIN(I462,F462*J462)</x:f>
        <x:v>49.09774517277075</x:v>
      </x:c>
      <x:c r="L462" s="103" t="n">
        <x:f>'Inputs &amp; Guide'!$B$5</x:f>
        <x:v>15</x:v>
      </x:c>
      <x:c r="M462" s="103" t="n">
        <x:f>I462*'Inputs &amp; Guide'!$B$6</x:f>
        <x:v>42.48591548950429</x:v>
      </x:c>
      <x:c r="N462" s="103" t="n">
        <x:f>MAX(0,MIN(K462-L462,M462))</x:f>
        <x:v>34.09774517277075</x:v>
      </x:c>
      <x:c r="O462" s="103" t="n">
        <x:f>MAX(0,N462-'Inputs &amp; Guide'!$B$7)</x:f>
        <x:v>0</x:v>
      </x:c>
      <x:c r="P462" s="103" t="n">
        <x:f>N462-O462</x:f>
        <x:v>34.09774517277075</x:v>
      </x:c>
      <x:c r="Q462" s="103" t="n">
        <x:f>I462*'Inputs &amp; Guide'!$B$8</x:f>
        <x:v>1.3904481432928675</x:v>
      </x:c>
      <x:c r="R462" s="104" t="n">
        <x:f>IFERROR(P462/Q462,0)</x:f>
        <x:v>24.52284562876273</x:v>
      </x:c>
      <x:c r="S462" s="105" t="n">
        <x:f>ROUND(E462*XLOOKUP(C462,'Reference Tables'!$E$4:$E$12,'Reference Tables'!$G$4:$G$12,1),1)</x:f>
        <x:v>10.5</x:v>
      </x:c>
      <x:c r="T462" s="106" t="str">
        <x:f>IF(R462&gt;='Inputs &amp; Guide'!$B$9,"HIGH",IF(R462&gt;=0.45,"WATCH","NORMAL"))</x:f>
        <x:v>HIGH</x:v>
      </x:c>
    </x:row>
    <x:row r="463">
      <x:c r="A463" s="95" t="n">
        <x:v>3673</x:v>
      </x:c>
      <x:c r="B463" s="96" t="n">
        <x:v>45445</x:v>
      </x:c>
      <x:c r="C463" s="97" t="str">
        <x:v>Wildfire</x:v>
      </x:c>
      <x:c r="D463" s="97" t="str">
        <x:v>Brazil</x:v>
      </x:c>
      <x:c r="E463" s="98" t="n">
        <x:v>9.594283798864774</x:v>
      </x:c>
      <x:c r="F463" s="99" t="n">
        <x:v>26.039514515499327</x:v>
      </x:c>
      <x:c r="G463" s="100" t="str">
        <x:f>XLOOKUP(D463,'Reference Tables'!$A$4:$A$23,'Reference Tables'!$B$4:$B$23,"Other")</x:f>
        <x:v>Latin America</x:v>
      </x:c>
      <x:c r="H463" s="100" t="str">
        <x:f>VLOOKUP(G463,'Reference Tables'!$I$4:$J$9,2,FALSE)</x:f>
        <x:v>Moderate</x:v>
      </x:c>
      <x:c r="I463" s="101" t="n">
        <x:f>F463*'Inputs &amp; Guide'!$B$4*XLOOKUP(D463,'Reference Tables'!$A$4:$A$23,'Reference Tables'!$C$4:$C$23,0.75)</x:f>
        <x:v>3.4163843044335116</x:v>
      </x:c>
      <x:c r="J463" s="102" t="n">
        <x:f>XLOOKUP(C463,'Reference Tables'!$E$4:$E$12,'Reference Tables'!$F$4:$F$12,0.05)</x:f>
        <x:v>0.1</x:v>
      </x:c>
      <x:c r="K463" s="103" t="n">
        <x:f>MIN(I463,F463*J463)</x:f>
        <x:v>2.603951451549933</x:v>
      </x:c>
      <x:c r="L463" s="103" t="n">
        <x:f>'Inputs &amp; Guide'!$B$5</x:f>
        <x:v>15</x:v>
      </x:c>
      <x:c r="M463" s="103" t="n">
        <x:f>I463*'Inputs &amp; Guide'!$B$6</x:f>
        <x:v>1.8790113674384314</x:v>
      </x:c>
      <x:c r="N463" s="103" t="n">
        <x:f>MAX(0,MIN(K463-L463,M463))</x:f>
        <x:v>0</x:v>
      </x:c>
      <x:c r="O463" s="103" t="n">
        <x:f>MAX(0,N463-'Inputs &amp; Guide'!$B$7)</x:f>
        <x:v>0</x:v>
      </x:c>
      <x:c r="P463" s="103" t="n">
        <x:f>N463-O463</x:f>
        <x:v>0</x:v>
      </x:c>
      <x:c r="Q463" s="103" t="n">
        <x:f>I463*'Inputs &amp; Guide'!$B$8</x:f>
        <x:v>0.06149491747980321</x:v>
      </x:c>
      <x:c r="R463" s="104" t="n">
        <x:f>IFERROR(P463/Q463,0)</x:f>
        <x:v>0</x:v>
      </x:c>
      <x:c r="S463" s="105" t="n">
        <x:f>ROUND(E463*XLOOKUP(C463,'Reference Tables'!$E$4:$E$12,'Reference Tables'!$G$4:$G$12,1),1)</x:f>
        <x:v>11</x:v>
      </x:c>
      <x:c r="T463" s="106" t="str">
        <x:f>IF(R463&gt;='Inputs &amp; Guide'!$B$9,"HIGH",IF(R463&gt;=0.45,"WATCH","NORMAL"))</x:f>
        <x:v>NORMAL</x:v>
      </x:c>
    </x:row>
    <x:row r="464">
      <x:c r="A464" s="95" t="n">
        <x:v>3681</x:v>
      </x:c>
      <x:c r="B464" s="96" t="n">
        <x:v>45445.104166666664</x:v>
      </x:c>
      <x:c r="C464" s="97" t="str">
        <x:v>Tornado</x:v>
      </x:c>
      <x:c r="D464" s="97" t="str">
        <x:v>USA</x:v>
      </x:c>
      <x:c r="E464" s="98" t="n">
        <x:v>4.274407096512938</x:v>
      </x:c>
      <x:c r="F464" s="99" t="n">
        <x:v>393.37291697986205</x:v>
      </x:c>
      <x:c r="G464" s="100" t="str">
        <x:f>XLOOKUP(D464,'Reference Tables'!$A$4:$A$23,'Reference Tables'!$B$4:$B$23,"Other")</x:f>
        <x:v>Other</x:v>
      </x:c>
      <x:c r="H464" s="100" t="str">
        <x:f>VLOOKUP(G464,'Reference Tables'!$I$4:$J$9,2,FALSE)</x:f>
        <x:v>Moderate</x:v>
      </x:c>
      <x:c r="I464" s="101" t="n">
        <x:f>F464*'Inputs &amp; Guide'!$B$4*XLOOKUP(D464,'Reference Tables'!$A$4:$A$23,'Reference Tables'!$C$4:$C$23,0.75)</x:f>
        <x:v>47.204750037583445</x:v>
      </x:c>
      <x:c r="J464" s="102" t="n">
        <x:f>XLOOKUP(C464,'Reference Tables'!$E$4:$E$12,'Reference Tables'!$F$4:$F$12,0.05)</x:f>
        <x:v>0.09</x:v>
      </x:c>
      <x:c r="K464" s="103" t="n">
        <x:f>MIN(I464,F464*J464)</x:f>
        <x:v>35.403562528187585</x:v>
      </x:c>
      <x:c r="L464" s="103" t="n">
        <x:f>'Inputs &amp; Guide'!$B$5</x:f>
        <x:v>15</x:v>
      </x:c>
      <x:c r="M464" s="103" t="n">
        <x:f>I464*'Inputs &amp; Guide'!$B$6</x:f>
        <x:v>25.962612520670895</x:v>
      </x:c>
      <x:c r="N464" s="103" t="n">
        <x:f>MAX(0,MIN(K464-L464,M464))</x:f>
        <x:v>20.403562528187585</x:v>
      </x:c>
      <x:c r="O464" s="103" t="n">
        <x:f>MAX(0,N464-'Inputs &amp; Guide'!$B$7)</x:f>
        <x:v>0</x:v>
      </x:c>
      <x:c r="P464" s="103" t="n">
        <x:f>N464-O464</x:f>
        <x:v>20.403562528187585</x:v>
      </x:c>
      <x:c r="Q464" s="103" t="n">
        <x:f>I464*'Inputs &amp; Guide'!$B$8</x:f>
        <x:v>0.849685500676502</x:v>
      </x:c>
      <x:c r="R464" s="104" t="n">
        <x:f>IFERROR(P464/Q464,0)</x:f>
        <x:v>24.013076028651415</x:v>
      </x:c>
      <x:c r="S464" s="105" t="n">
        <x:f>ROUND(E464*XLOOKUP(C464,'Reference Tables'!$E$4:$E$12,'Reference Tables'!$G$4:$G$12,1),1)</x:f>
        <x:v>4.5</x:v>
      </x:c>
      <x:c r="T464" s="106" t="str">
        <x:f>IF(R464&gt;='Inputs &amp; Guide'!$B$9,"HIGH",IF(R464&gt;=0.45,"WATCH","NORMAL"))</x:f>
        <x:v>HIGH</x:v>
      </x:c>
    </x:row>
    <x:row r="465">
      <x:c r="A465" s="95" t="n">
        <x:v>3689</x:v>
      </x:c>
      <x:c r="B465" s="96" t="n">
        <x:v>45445.4375</x:v>
      </x:c>
      <x:c r="C465" s="97" t="str">
        <x:v>Earthquake</x:v>
      </x:c>
      <x:c r="D465" s="97" t="str">
        <x:v>Japan</x:v>
      </x:c>
      <x:c r="E465" s="98" t="n">
        <x:v>4.55334949173993</x:v>
      </x:c>
      <x:c r="F465" s="99" t="n">
        <x:v>634.3536446023513</x:v>
      </x:c>
      <x:c r="G465" s="100" t="str">
        <x:f>XLOOKUP(D465,'Reference Tables'!$A$4:$A$23,'Reference Tables'!$B$4:$B$23,"Other")</x:f>
        <x:v>Asia Pacific</x:v>
      </x:c>
      <x:c r="H465" s="100" t="str">
        <x:f>VLOOKUP(G465,'Reference Tables'!$I$4:$J$9,2,FALSE)</x:f>
        <x:v>High</x:v>
      </x:c>
      <x:c r="I465" s="101" t="n">
        <x:f>F465*'Inputs &amp; Guide'!$B$4*XLOOKUP(D465,'Reference Tables'!$A$4:$A$23,'Reference Tables'!$C$4:$C$23,0.75)</x:f>
        <x:v>119.76596810092393</x:v>
      </x:c>
      <x:c r="J465" s="102" t="n">
        <x:f>XLOOKUP(C465,'Reference Tables'!$E$4:$E$12,'Reference Tables'!$F$4:$F$12,0.05)</x:f>
        <x:v>0.14</x:v>
      </x:c>
      <x:c r="K465" s="103" t="n">
        <x:f>MIN(I465,F465*J465)</x:f>
        <x:v>88.80951024432919</x:v>
      </x:c>
      <x:c r="L465" s="103" t="n">
        <x:f>'Inputs &amp; Guide'!$B$5</x:f>
        <x:v>15</x:v>
      </x:c>
      <x:c r="M465" s="103" t="n">
        <x:f>I465*'Inputs &amp; Guide'!$B$6</x:f>
        <x:v>65.87128245550817</x:v>
      </x:c>
      <x:c r="N465" s="103" t="n">
        <x:f>MAX(0,MIN(K465-L465,M465))</x:f>
        <x:v>65.87128245550817</x:v>
      </x:c>
      <x:c r="O465" s="103" t="n">
        <x:f>MAX(0,N465-'Inputs &amp; Guide'!$B$7)</x:f>
        <x:v>5.871282455508165</x:v>
      </x:c>
      <x:c r="P465" s="103" t="n">
        <x:f>N465-O465</x:f>
        <x:v>60</x:v>
      </x:c>
      <x:c r="Q465" s="103" t="n">
        <x:f>I465*'Inputs &amp; Guide'!$B$8</x:f>
        <x:v>2.1557874258166305</x:v>
      </x:c>
      <x:c r="R465" s="104" t="n">
        <x:f>IFERROR(P465/Q465,0)</x:f>
        <x:v>27.832057688745213</x:v>
      </x:c>
      <x:c r="S465" s="105" t="n">
        <x:f>ROUND(E465*XLOOKUP(C465,'Reference Tables'!$E$4:$E$12,'Reference Tables'!$G$4:$G$12,1),1)</x:f>
        <x:v>6.8</x:v>
      </x:c>
      <x:c r="T465" s="106" t="str">
        <x:f>IF(R465&gt;='Inputs &amp; Guide'!$B$9,"HIGH",IF(R465&gt;=0.45,"WATCH","NORMAL"))</x:f>
        <x:v>HIGH</x:v>
      </x:c>
    </x:row>
    <x:row r="466">
      <x:c r="A466" s="95" t="n">
        <x:v>3697</x:v>
      </x:c>
      <x:c r="B466" s="96" t="n">
        <x:v>45446</x:v>
      </x:c>
      <x:c r="C466" s="97" t="str">
        <x:v>Hurricane</x:v>
      </x:c>
      <x:c r="D466" s="97" t="str">
        <x:v>China</x:v>
      </x:c>
      <x:c r="E466" s="98" t="n">
        <x:v>3.322240740226264</x:v>
      </x:c>
      <x:c r="F466" s="99" t="n">
        <x:v>172.58218491104353</x:v>
      </x:c>
      <x:c r="G466" s="100" t="str">
        <x:f>XLOOKUP(D466,'Reference Tables'!$A$4:$A$23,'Reference Tables'!$B$4:$B$23,"Other")</x:f>
        <x:v>Asia Pacific</x:v>
      </x:c>
      <x:c r="H466" s="100" t="str">
        <x:f>VLOOKUP(G466,'Reference Tables'!$I$4:$J$9,2,FALSE)</x:f>
        <x:v>High</x:v>
      </x:c>
      <x:c r="I466" s="101" t="n">
        <x:f>F466*'Inputs &amp; Guide'!$B$4*XLOOKUP(D466,'Reference Tables'!$A$4:$A$23,'Reference Tables'!$C$4:$C$23,0.75)</x:f>
        <x:v>29.822201552628325</x:v>
      </x:c>
      <x:c r="J466" s="102" t="n">
        <x:f>XLOOKUP(C466,'Reference Tables'!$E$4:$E$12,'Reference Tables'!$F$4:$F$12,0.05)</x:f>
        <x:v>0.18</x:v>
      </x:c>
      <x:c r="K466" s="103" t="n">
        <x:f>MIN(I466,F466*J466)</x:f>
        <x:v>29.822201552628325</x:v>
      </x:c>
      <x:c r="L466" s="103" t="n">
        <x:f>'Inputs &amp; Guide'!$B$5</x:f>
        <x:v>15</x:v>
      </x:c>
      <x:c r="M466" s="103" t="n">
        <x:f>I466*'Inputs &amp; Guide'!$B$6</x:f>
        <x:v>16.40221085394558</x:v>
      </x:c>
      <x:c r="N466" s="103" t="n">
        <x:f>MAX(0,MIN(K466-L466,M466))</x:f>
        <x:v>14.822201552628325</x:v>
      </x:c>
      <x:c r="O466" s="103" t="n">
        <x:f>MAX(0,N466-'Inputs &amp; Guide'!$B$7)</x:f>
        <x:v>0</x:v>
      </x:c>
      <x:c r="P466" s="103" t="n">
        <x:f>N466-O466</x:f>
        <x:v>14.822201552628325</x:v>
      </x:c>
      <x:c r="Q466" s="103" t="n">
        <x:f>I466*'Inputs &amp; Guide'!$B$8</x:f>
        <x:v>0.5367996279473098</x:v>
      </x:c>
      <x:c r="R466" s="104" t="n">
        <x:f>IFERROR(P466/Q466,0)</x:f>
        <x:v>27.612168080867622</x:v>
      </x:c>
      <x:c r="S466" s="105" t="n">
        <x:f>ROUND(E466*XLOOKUP(C466,'Reference Tables'!$E$4:$E$12,'Reference Tables'!$G$4:$G$12,1),1)</x:f>
        <x:v>4.7</x:v>
      </x:c>
      <x:c r="T466" s="106" t="str">
        <x:f>IF(R466&gt;='Inputs &amp; Guide'!$B$9,"HIGH",IF(R466&gt;=0.45,"WATCH","NORMAL"))</x:f>
        <x:v>HIGH</x:v>
      </x:c>
    </x:row>
    <x:row r="467">
      <x:c r="A467" s="95" t="n">
        <x:v>3705</x:v>
      </x:c>
      <x:c r="B467" s="96" t="n">
        <x:v>45446.104166666664</x:v>
      </x:c>
      <x:c r="C467" s="97" t="str">
        <x:v>Wildfire</x:v>
      </x:c>
      <x:c r="D467" s="97" t="str">
        <x:v>Japan</x:v>
      </x:c>
      <x:c r="E467" s="98" t="n">
        <x:v>1.2657134277606885</x:v>
      </x:c>
      <x:c r="F467" s="99" t="n">
        <x:v>115.80290953767071</x:v>
      </x:c>
      <x:c r="G467" s="100" t="str">
        <x:f>XLOOKUP(D467,'Reference Tables'!$A$4:$A$23,'Reference Tables'!$B$4:$B$23,"Other")</x:f>
        <x:v>Asia Pacific</x:v>
      </x:c>
      <x:c r="H467" s="100" t="str">
        <x:f>VLOOKUP(G467,'Reference Tables'!$I$4:$J$9,2,FALSE)</x:f>
        <x:v>High</x:v>
      </x:c>
      <x:c r="I467" s="101" t="n">
        <x:f>F467*'Inputs &amp; Guide'!$B$4*XLOOKUP(D467,'Reference Tables'!$A$4:$A$23,'Reference Tables'!$C$4:$C$23,0.75)</x:f>
        <x:v>21.86358932071223</x:v>
      </x:c>
      <x:c r="J467" s="102" t="n">
        <x:f>XLOOKUP(C467,'Reference Tables'!$E$4:$E$12,'Reference Tables'!$F$4:$F$12,0.05)</x:f>
        <x:v>0.1</x:v>
      </x:c>
      <x:c r="K467" s="103" t="n">
        <x:f>MIN(I467,F467*J467)</x:f>
        <x:v>11.580290953767072</x:v>
      </x:c>
      <x:c r="L467" s="103" t="n">
        <x:f>'Inputs &amp; Guide'!$B$5</x:f>
        <x:v>15</x:v>
      </x:c>
      <x:c r="M467" s="103" t="n">
        <x:f>I467*'Inputs &amp; Guide'!$B$6</x:f>
        <x:v>12.024974126391728</x:v>
      </x:c>
      <x:c r="N467" s="103" t="n">
        <x:f>MAX(0,MIN(K467-L467,M467))</x:f>
        <x:v>0</x:v>
      </x:c>
      <x:c r="O467" s="103" t="n">
        <x:f>MAX(0,N467-'Inputs &amp; Guide'!$B$7)</x:f>
        <x:v>0</x:v>
      </x:c>
      <x:c r="P467" s="103" t="n">
        <x:f>N467-O467</x:f>
        <x:v>0</x:v>
      </x:c>
      <x:c r="Q467" s="103" t="n">
        <x:f>I467*'Inputs &amp; Guide'!$B$8</x:f>
        <x:v>0.3935446077728201</x:v>
      </x:c>
      <x:c r="R467" s="104" t="n">
        <x:f>IFERROR(P467/Q467,0)</x:f>
        <x:v>0</x:v>
      </x:c>
      <x:c r="S467" s="105" t="n">
        <x:f>ROUND(E467*XLOOKUP(C467,'Reference Tables'!$E$4:$E$12,'Reference Tables'!$G$4:$G$12,1),1)</x:f>
        <x:v>1.5</x:v>
      </x:c>
      <x:c r="T467" s="106" t="str">
        <x:f>IF(R467&gt;='Inputs &amp; Guide'!$B$9,"HIGH",IF(R467&gt;=0.45,"WATCH","NORMAL"))</x:f>
        <x:v>NORMAL</x:v>
      </x:c>
    </x:row>
    <x:row r="468">
      <x:c r="A468" s="95" t="n">
        <x:v>3713</x:v>
      </x:c>
      <x:c r="B468" s="96" t="n">
        <x:v>45446.4375</x:v>
      </x:c>
      <x:c r="C468" s="97" t="str">
        <x:v>Hurricane</x:v>
      </x:c>
      <x:c r="D468" s="97" t="str">
        <x:v>Brazil</x:v>
      </x:c>
      <x:c r="E468" s="98" t="n">
        <x:v>8.021972751896673</x:v>
      </x:c>
      <x:c r="F468" s="99" t="n">
        <x:v>572.1938009987354</x:v>
      </x:c>
      <x:c r="G468" s="100" t="str">
        <x:f>XLOOKUP(D468,'Reference Tables'!$A$4:$A$23,'Reference Tables'!$B$4:$B$23,"Other")</x:f>
        <x:v>Latin America</x:v>
      </x:c>
      <x:c r="H468" s="100" t="str">
        <x:f>VLOOKUP(G468,'Reference Tables'!$I$4:$J$9,2,FALSE)</x:f>
        <x:v>Moderate</x:v>
      </x:c>
      <x:c r="I468" s="101" t="n">
        <x:f>F468*'Inputs &amp; Guide'!$B$4*XLOOKUP(D468,'Reference Tables'!$A$4:$A$23,'Reference Tables'!$C$4:$C$23,0.75)</x:f>
        <x:v>75.07182669103408</x:v>
      </x:c>
      <x:c r="J468" s="102" t="n">
        <x:f>XLOOKUP(C468,'Reference Tables'!$E$4:$E$12,'Reference Tables'!$F$4:$F$12,0.05)</x:f>
        <x:v>0.18</x:v>
      </x:c>
      <x:c r="K468" s="103" t="n">
        <x:f>MIN(I468,F468*J468)</x:f>
        <x:v>75.07182669103408</x:v>
      </x:c>
      <x:c r="L468" s="103" t="n">
        <x:f>'Inputs &amp; Guide'!$B$5</x:f>
        <x:v>15</x:v>
      </x:c>
      <x:c r="M468" s="103" t="n">
        <x:f>I468*'Inputs &amp; Guide'!$B$6</x:f>
        <x:v>41.289504680068745</x:v>
      </x:c>
      <x:c r="N468" s="103" t="n">
        <x:f>MAX(0,MIN(K468-L468,M468))</x:f>
        <x:v>41.289504680068745</x:v>
      </x:c>
      <x:c r="O468" s="103" t="n">
        <x:f>MAX(0,N468-'Inputs &amp; Guide'!$B$7)</x:f>
        <x:v>0</x:v>
      </x:c>
      <x:c r="P468" s="103" t="n">
        <x:f>N468-O468</x:f>
        <x:v>41.289504680068745</x:v>
      </x:c>
      <x:c r="Q468" s="103" t="n">
        <x:f>I468*'Inputs &amp; Guide'!$B$8</x:f>
        <x:v>1.3512928804386133</x:v>
      </x:c>
      <x:c r="R468" s="104" t="n">
        <x:f>IFERROR(P468/Q468,0)</x:f>
        <x:v>30.55555555555556</x:v>
      </x:c>
      <x:c r="S468" s="105" t="n">
        <x:f>ROUND(E468*XLOOKUP(C468,'Reference Tables'!$E$4:$E$12,'Reference Tables'!$G$4:$G$12,1),1)</x:f>
        <x:v>11.2</x:v>
      </x:c>
      <x:c r="T468" s="106" t="str">
        <x:f>IF(R468&gt;='Inputs &amp; Guide'!$B$9,"HIGH",IF(R468&gt;=0.45,"WATCH","NORMAL"))</x:f>
        <x:v>HIGH</x:v>
      </x:c>
    </x:row>
    <x:row r="469">
      <x:c r="A469" s="95" t="n">
        <x:v>3721</x:v>
      </x:c>
      <x:c r="B469" s="96" t="n">
        <x:v>45447</x:v>
      </x:c>
      <x:c r="C469" s="97" t="str">
        <x:v>Hurricane</x:v>
      </x:c>
      <x:c r="D469" s="97" t="str">
        <x:v>USA</x:v>
      </x:c>
      <x:c r="E469" s="98" t="n">
        <x:v>1.125709341152176</x:v>
      </x:c>
      <x:c r="F469" s="99" t="n">
        <x:v>5.8343658215235585</x:v>
      </x:c>
      <x:c r="G469" s="100" t="str">
        <x:f>XLOOKUP(D469,'Reference Tables'!$A$4:$A$23,'Reference Tables'!$B$4:$B$23,"Other")</x:f>
        <x:v>Other</x:v>
      </x:c>
      <x:c r="H469" s="100" t="str">
        <x:f>VLOOKUP(G469,'Reference Tables'!$I$4:$J$9,2,FALSE)</x:f>
        <x:v>Moderate</x:v>
      </x:c>
      <x:c r="I469" s="101" t="n">
        <x:f>F469*'Inputs &amp; Guide'!$B$4*XLOOKUP(D469,'Reference Tables'!$A$4:$A$23,'Reference Tables'!$C$4:$C$23,0.75)</x:f>
        <x:v>0.7001238985828271</x:v>
      </x:c>
      <x:c r="J469" s="102" t="n">
        <x:f>XLOOKUP(C469,'Reference Tables'!$E$4:$E$12,'Reference Tables'!$F$4:$F$12,0.05)</x:f>
        <x:v>0.18</x:v>
      </x:c>
      <x:c r="K469" s="103" t="n">
        <x:f>MIN(I469,F469*J469)</x:f>
        <x:v>0.7001238985828271</x:v>
      </x:c>
      <x:c r="L469" s="103" t="n">
        <x:f>'Inputs &amp; Guide'!$B$5</x:f>
        <x:v>15</x:v>
      </x:c>
      <x:c r="M469" s="103" t="n">
        <x:f>I469*'Inputs &amp; Guide'!$B$6</x:f>
        <x:v>0.3850681442205549</x:v>
      </x:c>
      <x:c r="N469" s="103" t="n">
        <x:f>MAX(0,MIN(K469-L469,M469))</x:f>
        <x:v>0</x:v>
      </x:c>
      <x:c r="O469" s="103" t="n">
        <x:f>MAX(0,N469-'Inputs &amp; Guide'!$B$7)</x:f>
        <x:v>0</x:v>
      </x:c>
      <x:c r="P469" s="103" t="n">
        <x:f>N469-O469</x:f>
        <x:v>0</x:v>
      </x:c>
      <x:c r="Q469" s="103" t="n">
        <x:f>I469*'Inputs &amp; Guide'!$B$8</x:f>
        <x:v>0.012602230174490886</x:v>
      </x:c>
      <x:c r="R469" s="104" t="n">
        <x:f>IFERROR(P469/Q469,0)</x:f>
        <x:v>0</x:v>
      </x:c>
      <x:c r="S469" s="105" t="n">
        <x:f>ROUND(E469*XLOOKUP(C469,'Reference Tables'!$E$4:$E$12,'Reference Tables'!$G$4:$G$12,1),1)</x:f>
        <x:v>1.6</x:v>
      </x:c>
      <x:c r="T469" s="106" t="str">
        <x:f>IF(R469&gt;='Inputs &amp; Guide'!$B$9,"HIGH",IF(R469&gt;=0.45,"WATCH","NORMAL"))</x:f>
        <x:v>NORMAL</x:v>
      </x:c>
    </x:row>
    <x:row r="470">
      <x:c r="A470" s="95" t="n">
        <x:v>3729</x:v>
      </x:c>
      <x:c r="B470" s="96" t="n">
        <x:v>45447.104166666664</x:v>
      </x:c>
      <x:c r="C470" s="97" t="str">
        <x:v>Wildfire</x:v>
      </x:c>
      <x:c r="D470" s="97" t="str">
        <x:v>USA</x:v>
      </x:c>
      <x:c r="E470" s="98" t="n">
        <x:v>7.817238500443968</x:v>
      </x:c>
      <x:c r="F470" s="99" t="n">
        <x:v>771.2406540730922</x:v>
      </x:c>
      <x:c r="G470" s="100" t="str">
        <x:f>XLOOKUP(D470,'Reference Tables'!$A$4:$A$23,'Reference Tables'!$B$4:$B$23,"Other")</x:f>
        <x:v>Other</x:v>
      </x:c>
      <x:c r="H470" s="100" t="str">
        <x:f>VLOOKUP(G470,'Reference Tables'!$I$4:$J$9,2,FALSE)</x:f>
        <x:v>Moderate</x:v>
      </x:c>
      <x:c r="I470" s="101" t="n">
        <x:f>F470*'Inputs &amp; Guide'!$B$4*XLOOKUP(D470,'Reference Tables'!$A$4:$A$23,'Reference Tables'!$C$4:$C$23,0.75)</x:f>
        <x:v>92.54887848877107</x:v>
      </x:c>
      <x:c r="J470" s="102" t="n">
        <x:f>XLOOKUP(C470,'Reference Tables'!$E$4:$E$12,'Reference Tables'!$F$4:$F$12,0.05)</x:f>
        <x:v>0.1</x:v>
      </x:c>
      <x:c r="K470" s="103" t="n">
        <x:f>MIN(I470,F470*J470)</x:f>
        <x:v>77.12406540730922</x:v>
      </x:c>
      <x:c r="L470" s="103" t="n">
        <x:f>'Inputs &amp; Guide'!$B$5</x:f>
        <x:v>15</x:v>
      </x:c>
      <x:c r="M470" s="103" t="n">
        <x:f>I470*'Inputs &amp; Guide'!$B$6</x:f>
        <x:v>50.90188316882409</x:v>
      </x:c>
      <x:c r="N470" s="103" t="n">
        <x:f>MAX(0,MIN(K470-L470,M470))</x:f>
        <x:v>50.90188316882409</x:v>
      </x:c>
      <x:c r="O470" s="103" t="n">
        <x:f>MAX(0,N470-'Inputs &amp; Guide'!$B$7)</x:f>
        <x:v>0</x:v>
      </x:c>
      <x:c r="P470" s="103" t="n">
        <x:f>N470-O470</x:f>
        <x:v>50.90188316882409</x:v>
      </x:c>
      <x:c r="Q470" s="103" t="n">
        <x:f>I470*'Inputs &amp; Guide'!$B$8</x:f>
        <x:v>1.6658798127978791</x:v>
      </x:c>
      <x:c r="R470" s="104" t="n">
        <x:f>IFERROR(P470/Q470,0)</x:f>
        <x:v>30.55555555555556</x:v>
      </x:c>
      <x:c r="S470" s="105" t="n">
        <x:f>ROUND(E470*XLOOKUP(C470,'Reference Tables'!$E$4:$E$12,'Reference Tables'!$G$4:$G$12,1),1)</x:f>
        <x:v>9</x:v>
      </x:c>
      <x:c r="T470" s="106" t="str">
        <x:f>IF(R470&gt;='Inputs &amp; Guide'!$B$9,"HIGH",IF(R470&gt;=0.45,"WATCH","NORMAL"))</x:f>
        <x:v>HIGH</x:v>
      </x:c>
    </x:row>
    <x:row r="471">
      <x:c r="A471" s="95" t="n">
        <x:v>3737</x:v>
      </x:c>
      <x:c r="B471" s="96" t="n">
        <x:v>45447.4375</x:v>
      </x:c>
      <x:c r="C471" s="97" t="str">
        <x:v>Earthquake</x:v>
      </x:c>
      <x:c r="D471" s="97" t="str">
        <x:v>Brazil</x:v>
      </x:c>
      <x:c r="E471" s="98" t="n">
        <x:v>7.176927675035769</x:v>
      </x:c>
      <x:c r="F471" s="99" t="n">
        <x:v>246.10139516101646</x:v>
      </x:c>
      <x:c r="G471" s="100" t="str">
        <x:f>XLOOKUP(D471,'Reference Tables'!$A$4:$A$23,'Reference Tables'!$B$4:$B$23,"Other")</x:f>
        <x:v>Latin America</x:v>
      </x:c>
      <x:c r="H471" s="100" t="str">
        <x:f>VLOOKUP(G471,'Reference Tables'!$I$4:$J$9,2,FALSE)</x:f>
        <x:v>Moderate</x:v>
      </x:c>
      <x:c r="I471" s="101" t="n">
        <x:f>F471*'Inputs &amp; Guide'!$B$4*XLOOKUP(D471,'Reference Tables'!$A$4:$A$23,'Reference Tables'!$C$4:$C$23,0.75)</x:f>
        <x:v>32.28850304512536</x:v>
      </x:c>
      <x:c r="J471" s="102" t="n">
        <x:f>XLOOKUP(C471,'Reference Tables'!$E$4:$E$12,'Reference Tables'!$F$4:$F$12,0.05)</x:f>
        <x:v>0.14</x:v>
      </x:c>
      <x:c r="K471" s="103" t="n">
        <x:f>MIN(I471,F471*J471)</x:f>
        <x:v>32.28850304512536</x:v>
      </x:c>
      <x:c r="L471" s="103" t="n">
        <x:f>'Inputs &amp; Guide'!$B$5</x:f>
        <x:v>15</x:v>
      </x:c>
      <x:c r="M471" s="103" t="n">
        <x:f>I471*'Inputs &amp; Guide'!$B$6</x:f>
        <x:v>17.75867667481895</x:v>
      </x:c>
      <x:c r="N471" s="103" t="n">
        <x:f>MAX(0,MIN(K471-L471,M471))</x:f>
        <x:v>17.28850304512536</x:v>
      </x:c>
      <x:c r="O471" s="103" t="n">
        <x:f>MAX(0,N471-'Inputs &amp; Guide'!$B$7)</x:f>
        <x:v>0</x:v>
      </x:c>
      <x:c r="P471" s="103" t="n">
        <x:f>N471-O471</x:f>
        <x:v>17.28850304512536</x:v>
      </x:c>
      <x:c r="Q471" s="103" t="n">
        <x:f>I471*'Inputs &amp; Guide'!$B$8</x:f>
        <x:v>0.5811930548122565</x:v>
      </x:c>
      <x:c r="R471" s="104" t="n">
        <x:f>IFERROR(P471/Q471,0)</x:f>
        <x:v>29.746575431308425</x:v>
      </x:c>
      <x:c r="S471" s="105" t="n">
        <x:f>ROUND(E471*XLOOKUP(C471,'Reference Tables'!$E$4:$E$12,'Reference Tables'!$G$4:$G$12,1),1)</x:f>
        <x:v>10.8</x:v>
      </x:c>
      <x:c r="T471" s="106" t="str">
        <x:f>IF(R471&gt;='Inputs &amp; Guide'!$B$9,"HIGH",IF(R471&gt;=0.45,"WATCH","NORMAL"))</x:f>
        <x:v>HIGH</x:v>
      </x:c>
    </x:row>
    <x:row r="472">
      <x:c r="A472" s="95" t="n">
        <x:v>3745</x:v>
      </x:c>
      <x:c r="B472" s="96" t="n">
        <x:v>45448</x:v>
      </x:c>
      <x:c r="C472" s="97" t="str">
        <x:v>Hurricane</x:v>
      </x:c>
      <x:c r="D472" s="97" t="str">
        <x:v>India</x:v>
      </x:c>
      <x:c r="E472" s="98" t="n">
        <x:v>4.158141570052159</x:v>
      </x:c>
      <x:c r="F472" s="99" t="n">
        <x:v>971.9334713150835</x:v>
      </x:c>
      <x:c r="G472" s="100" t="str">
        <x:f>XLOOKUP(D472,'Reference Tables'!$A$4:$A$23,'Reference Tables'!$B$4:$B$23,"Other")</x:f>
        <x:v>Asia Pacific</x:v>
      </x:c>
      <x:c r="H472" s="100" t="str">
        <x:f>VLOOKUP(G472,'Reference Tables'!$I$4:$J$9,2,FALSE)</x:f>
        <x:v>High</x:v>
      </x:c>
      <x:c r="I472" s="101" t="n">
        <x:f>F472*'Inputs &amp; Guide'!$B$4*XLOOKUP(D472,'Reference Tables'!$A$4:$A$23,'Reference Tables'!$C$4:$C$23,0.75)</x:f>
        <x:v>141.51351342347616</x:v>
      </x:c>
      <x:c r="J472" s="102" t="n">
        <x:f>XLOOKUP(C472,'Reference Tables'!$E$4:$E$12,'Reference Tables'!$F$4:$F$12,0.05)</x:f>
        <x:v>0.18</x:v>
      </x:c>
      <x:c r="K472" s="103" t="n">
        <x:f>MIN(I472,F472*J472)</x:f>
        <x:v>141.51351342347616</x:v>
      </x:c>
      <x:c r="L472" s="103" t="n">
        <x:f>'Inputs &amp; Guide'!$B$5</x:f>
        <x:v>15</x:v>
      </x:c>
      <x:c r="M472" s="103" t="n">
        <x:f>I472*'Inputs &amp; Guide'!$B$6</x:f>
        <x:v>77.83243238291189</x:v>
      </x:c>
      <x:c r="N472" s="103" t="n">
        <x:f>MAX(0,MIN(K472-L472,M472))</x:f>
        <x:v>77.83243238291189</x:v>
      </x:c>
      <x:c r="O472" s="103" t="n">
        <x:f>MAX(0,N472-'Inputs &amp; Guide'!$B$7)</x:f>
        <x:v>17.83243238291189</x:v>
      </x:c>
      <x:c r="P472" s="103" t="n">
        <x:f>N472-O472</x:f>
        <x:v>60</x:v>
      </x:c>
      <x:c r="Q472" s="103" t="n">
        <x:f>I472*'Inputs &amp; Guide'!$B$8</x:f>
        <x:v>2.5472432416225708</x:v>
      </x:c>
      <x:c r="R472" s="104" t="n">
        <x:f>IFERROR(P472/Q472,0)</x:f>
        <x:v>23.554876511039655</x:v>
      </x:c>
      <x:c r="S472" s="105" t="n">
        <x:f>ROUND(E472*XLOOKUP(C472,'Reference Tables'!$E$4:$E$12,'Reference Tables'!$G$4:$G$12,1),1)</x:f>
        <x:v>5.8</x:v>
      </x:c>
      <x:c r="T472" s="106" t="str">
        <x:f>IF(R472&gt;='Inputs &amp; Guide'!$B$9,"HIGH",IF(R472&gt;=0.45,"WATCH","NORMAL"))</x:f>
        <x:v>HIGH</x:v>
      </x:c>
    </x:row>
    <x:row r="473">
      <x:c r="A473" s="95" t="n">
        <x:v>3753</x:v>
      </x:c>
      <x:c r="B473" s="96" t="n">
        <x:v>45448.104166666664</x:v>
      </x:c>
      <x:c r="C473" s="97" t="str">
        <x:v>Hurricane</x:v>
      </x:c>
      <x:c r="D473" s="97" t="str">
        <x:v>USA</x:v>
      </x:c>
      <x:c r="E473" s="98" t="n">
        <x:v>5.689460397144649</x:v>
      </x:c>
      <x:c r="F473" s="99" t="n">
        <x:v>353.6101659430998</x:v>
      </x:c>
      <x:c r="G473" s="100" t="str">
        <x:f>XLOOKUP(D473,'Reference Tables'!$A$4:$A$23,'Reference Tables'!$B$4:$B$23,"Other")</x:f>
        <x:v>Other</x:v>
      </x:c>
      <x:c r="H473" s="100" t="str">
        <x:f>VLOOKUP(G473,'Reference Tables'!$I$4:$J$9,2,FALSE)</x:f>
        <x:v>Moderate</x:v>
      </x:c>
      <x:c r="I473" s="101" t="n">
        <x:f>F473*'Inputs &amp; Guide'!$B$4*XLOOKUP(D473,'Reference Tables'!$A$4:$A$23,'Reference Tables'!$C$4:$C$23,0.75)</x:f>
        <x:v>42.433219913171975</x:v>
      </x:c>
      <x:c r="J473" s="102" t="n">
        <x:f>XLOOKUP(C473,'Reference Tables'!$E$4:$E$12,'Reference Tables'!$F$4:$F$12,0.05)</x:f>
        <x:v>0.18</x:v>
      </x:c>
      <x:c r="K473" s="103" t="n">
        <x:f>MIN(I473,F473*J473)</x:f>
        <x:v>42.433219913171975</x:v>
      </x:c>
      <x:c r="L473" s="103" t="n">
        <x:f>'Inputs &amp; Guide'!$B$5</x:f>
        <x:v>15</x:v>
      </x:c>
      <x:c r="M473" s="103" t="n">
        <x:f>I473*'Inputs &amp; Guide'!$B$6</x:f>
        <x:v>23.33827095224459</x:v>
      </x:c>
      <x:c r="N473" s="103" t="n">
        <x:f>MAX(0,MIN(K473-L473,M473))</x:f>
        <x:v>23.33827095224459</x:v>
      </x:c>
      <x:c r="O473" s="103" t="n">
        <x:f>MAX(0,N473-'Inputs &amp; Guide'!$B$7)</x:f>
        <x:v>0</x:v>
      </x:c>
      <x:c r="P473" s="103" t="n">
        <x:f>N473-O473</x:f>
        <x:v>23.33827095224459</x:v>
      </x:c>
      <x:c r="Q473" s="103" t="n">
        <x:f>I473*'Inputs &amp; Guide'!$B$8</x:f>
        <x:v>0.7637979584370955</x:v>
      </x:c>
      <x:c r="R473" s="104" t="n">
        <x:f>IFERROR(P473/Q473,0)</x:f>
        <x:v>30.55555555555556</x:v>
      </x:c>
      <x:c r="S473" s="105" t="n">
        <x:f>ROUND(E473*XLOOKUP(C473,'Reference Tables'!$E$4:$E$12,'Reference Tables'!$G$4:$G$12,1),1)</x:f>
        <x:v>8</x:v>
      </x:c>
      <x:c r="T473" s="106" t="str">
        <x:f>IF(R473&gt;='Inputs &amp; Guide'!$B$9,"HIGH",IF(R473&gt;=0.45,"WATCH","NORMAL"))</x:f>
        <x:v>HIGH</x:v>
      </x:c>
    </x:row>
    <x:row r="474">
      <x:c r="A474" s="95" t="n">
        <x:v>3761</x:v>
      </x:c>
      <x:c r="B474" s="96" t="n">
        <x:v>45448.4375</x:v>
      </x:c>
      <x:c r="C474" s="97" t="str">
        <x:v>Flood</x:v>
      </x:c>
      <x:c r="D474" s="97" t="str">
        <x:v>USA</x:v>
      </x:c>
      <x:c r="E474" s="98" t="n">
        <x:v>7.859622926830349</x:v>
      </x:c>
      <x:c r="F474" s="99" t="n">
        <x:v>457.6615635479921</x:v>
      </x:c>
      <x:c r="G474" s="100" t="str">
        <x:f>XLOOKUP(D474,'Reference Tables'!$A$4:$A$23,'Reference Tables'!$B$4:$B$23,"Other")</x:f>
        <x:v>Other</x:v>
      </x:c>
      <x:c r="H474" s="100" t="str">
        <x:f>VLOOKUP(G474,'Reference Tables'!$I$4:$J$9,2,FALSE)</x:f>
        <x:v>Moderate</x:v>
      </x:c>
      <x:c r="I474" s="101" t="n">
        <x:f>F474*'Inputs &amp; Guide'!$B$4*XLOOKUP(D474,'Reference Tables'!$A$4:$A$23,'Reference Tables'!$C$4:$C$23,0.75)</x:f>
        <x:v>54.91938762575906</x:v>
      </x:c>
      <x:c r="J474" s="102" t="n">
        <x:f>XLOOKUP(C474,'Reference Tables'!$E$4:$E$12,'Reference Tables'!$F$4:$F$12,0.05)</x:f>
        <x:v>0.12</x:v>
      </x:c>
      <x:c r="K474" s="103" t="n">
        <x:f>MIN(I474,F474*J474)</x:f>
        <x:v>54.91938762575905</x:v>
      </x:c>
      <x:c r="L474" s="103" t="n">
        <x:f>'Inputs &amp; Guide'!$B$5</x:f>
        <x:v>15</x:v>
      </x:c>
      <x:c r="M474" s="103" t="n">
        <x:f>I474*'Inputs &amp; Guide'!$B$6</x:f>
        <x:v>30.205663194167485</x:v>
      </x:c>
      <x:c r="N474" s="103" t="n">
        <x:f>MAX(0,MIN(K474-L474,M474))</x:f>
        <x:v>30.205663194167485</x:v>
      </x:c>
      <x:c r="O474" s="103" t="n">
        <x:f>MAX(0,N474-'Inputs &amp; Guide'!$B$7)</x:f>
        <x:v>0</x:v>
      </x:c>
      <x:c r="P474" s="103" t="n">
        <x:f>N474-O474</x:f>
        <x:v>30.205663194167485</x:v>
      </x:c>
      <x:c r="Q474" s="103" t="n">
        <x:f>I474*'Inputs &amp; Guide'!$B$8</x:f>
        <x:v>0.988548977263663</x:v>
      </x:c>
      <x:c r="R474" s="104" t="n">
        <x:f>IFERROR(P474/Q474,0)</x:f>
        <x:v>30.55555555555556</x:v>
      </x:c>
      <x:c r="S474" s="105" t="n">
        <x:f>ROUND(E474*XLOOKUP(C474,'Reference Tables'!$E$4:$E$12,'Reference Tables'!$G$4:$G$12,1),1)</x:f>
        <x:v>9.8</x:v>
      </x:c>
      <x:c r="T474" s="106" t="str">
        <x:f>IF(R474&gt;='Inputs &amp; Guide'!$B$9,"HIGH",IF(R474&gt;=0.45,"WATCH","NORMAL"))</x:f>
        <x:v>HIGH</x:v>
      </x:c>
    </x:row>
    <x:row r="475">
      <x:c r="A475" s="95" t="n">
        <x:v>3769</x:v>
      </x:c>
      <x:c r="B475" s="96" t="n">
        <x:v>45449</x:v>
      </x:c>
      <x:c r="C475" s="97" t="str">
        <x:v>Flood</x:v>
      </x:c>
      <x:c r="D475" s="97" t="str">
        <x:v>India</x:v>
      </x:c>
      <x:c r="E475" s="98" t="n">
        <x:v>4.813849664720632</x:v>
      </x:c>
      <x:c r="F475" s="99" t="n">
        <x:v>343.84431999733425</x:v>
      </x:c>
      <x:c r="G475" s="100" t="str">
        <x:f>XLOOKUP(D475,'Reference Tables'!$A$4:$A$23,'Reference Tables'!$B$4:$B$23,"Other")</x:f>
        <x:v>Asia Pacific</x:v>
      </x:c>
      <x:c r="H475" s="100" t="str">
        <x:f>VLOOKUP(G475,'Reference Tables'!$I$4:$J$9,2,FALSE)</x:f>
        <x:v>High</x:v>
      </x:c>
      <x:c r="I475" s="101" t="n">
        <x:f>F475*'Inputs &amp; Guide'!$B$4*XLOOKUP(D475,'Reference Tables'!$A$4:$A$23,'Reference Tables'!$C$4:$C$23,0.75)</x:f>
        <x:v>50.06373299161187</x:v>
      </x:c>
      <x:c r="J475" s="102" t="n">
        <x:f>XLOOKUP(C475,'Reference Tables'!$E$4:$E$12,'Reference Tables'!$F$4:$F$12,0.05)</x:f>
        <x:v>0.12</x:v>
      </x:c>
      <x:c r="K475" s="103" t="n">
        <x:f>MIN(I475,F475*J475)</x:f>
        <x:v>41.26131839968011</x:v>
      </x:c>
      <x:c r="L475" s="103" t="n">
        <x:f>'Inputs &amp; Guide'!$B$5</x:f>
        <x:v>15</x:v>
      </x:c>
      <x:c r="M475" s="103" t="n">
        <x:f>I475*'Inputs &amp; Guide'!$B$6</x:f>
        <x:v>27.53505314538653</x:v>
      </x:c>
      <x:c r="N475" s="103" t="n">
        <x:f>MAX(0,MIN(K475-L475,M475))</x:f>
        <x:v>26.261318399680107</x:v>
      </x:c>
      <x:c r="O475" s="103" t="n">
        <x:f>MAX(0,N475-'Inputs &amp; Guide'!$B$7)</x:f>
        <x:v>0</x:v>
      </x:c>
      <x:c r="P475" s="103" t="n">
        <x:f>N475-O475</x:f>
        <x:v>26.261318399680107</x:v>
      </x:c>
      <x:c r="Q475" s="103" t="n">
        <x:f>I475*'Inputs &amp; Guide'!$B$8</x:f>
        <x:v>0.9011471938490137</x:v>
      </x:c>
      <x:c r="R475" s="104" t="n">
        <x:f>IFERROR(P475/Q475,0)</x:f>
        <x:v>29.142096406594554</x:v>
      </x:c>
      <x:c r="S475" s="105" t="n">
        <x:f>ROUND(E475*XLOOKUP(C475,'Reference Tables'!$E$4:$E$12,'Reference Tables'!$G$4:$G$12,1),1)</x:f>
        <x:v>6</x:v>
      </x:c>
      <x:c r="T475" s="106" t="str">
        <x:f>IF(R475&gt;='Inputs &amp; Guide'!$B$9,"HIGH",IF(R475&gt;=0.45,"WATCH","NORMAL"))</x:f>
        <x:v>HIGH</x:v>
      </x:c>
    </x:row>
    <x:row r="476">
      <x:c r="A476" s="95" t="n">
        <x:v>3777</x:v>
      </x:c>
      <x:c r="B476" s="96" t="n">
        <x:v>45449.104166666664</x:v>
      </x:c>
      <x:c r="C476" s="97" t="str">
        <x:v>Hurricane</x:v>
      </x:c>
      <x:c r="D476" s="97" t="str">
        <x:v>USA</x:v>
      </x:c>
      <x:c r="E476" s="98" t="n">
        <x:v>2.936351722931358</x:v>
      </x:c>
      <x:c r="F476" s="99" t="n">
        <x:v>983.5079336986823</x:v>
      </x:c>
      <x:c r="G476" s="100" t="str">
        <x:f>XLOOKUP(D476,'Reference Tables'!$A$4:$A$23,'Reference Tables'!$B$4:$B$23,"Other")</x:f>
        <x:v>Other</x:v>
      </x:c>
      <x:c r="H476" s="100" t="str">
        <x:f>VLOOKUP(G476,'Reference Tables'!$I$4:$J$9,2,FALSE)</x:f>
        <x:v>Moderate</x:v>
      </x:c>
      <x:c r="I476" s="101" t="n">
        <x:f>F476*'Inputs &amp; Guide'!$B$4*XLOOKUP(D476,'Reference Tables'!$A$4:$A$23,'Reference Tables'!$C$4:$C$23,0.75)</x:f>
        <x:v>118.02095204384187</x:v>
      </x:c>
      <x:c r="J476" s="102" t="n">
        <x:f>XLOOKUP(C476,'Reference Tables'!$E$4:$E$12,'Reference Tables'!$F$4:$F$12,0.05)</x:f>
        <x:v>0.18</x:v>
      </x:c>
      <x:c r="K476" s="103" t="n">
        <x:f>MIN(I476,F476*J476)</x:f>
        <x:v>118.02095204384187</x:v>
      </x:c>
      <x:c r="L476" s="103" t="n">
        <x:f>'Inputs &amp; Guide'!$B$5</x:f>
        <x:v>15</x:v>
      </x:c>
      <x:c r="M476" s="103" t="n">
        <x:f>I476*'Inputs &amp; Guide'!$B$6</x:f>
        <x:v>64.91152362411303</x:v>
      </x:c>
      <x:c r="N476" s="103" t="n">
        <x:f>MAX(0,MIN(K476-L476,M476))</x:f>
        <x:v>64.91152362411303</x:v>
      </x:c>
      <x:c r="O476" s="103" t="n">
        <x:f>MAX(0,N476-'Inputs &amp; Guide'!$B$7)</x:f>
        <x:v>4.9115236241130305</x:v>
      </x:c>
      <x:c r="P476" s="103" t="n">
        <x:f>N476-O476</x:f>
        <x:v>60</x:v>
      </x:c>
      <x:c r="Q476" s="103" t="n">
        <x:f>I476*'Inputs &amp; Guide'!$B$8</x:f>
        <x:v>2.1243771367891537</x:v>
      </x:c>
      <x:c r="R476" s="104" t="n">
        <x:f>IFERROR(P476/Q476,0)</x:f>
        <x:v>28.243572650516175</x:v>
      </x:c>
      <x:c r="S476" s="105" t="n">
        <x:f>ROUND(E476*XLOOKUP(C476,'Reference Tables'!$E$4:$E$12,'Reference Tables'!$G$4:$G$12,1),1)</x:f>
        <x:v>4.1</x:v>
      </x:c>
      <x:c r="T476" s="106" t="str">
        <x:f>IF(R476&gt;='Inputs &amp; Guide'!$B$9,"HIGH",IF(R476&gt;=0.45,"WATCH","NORMAL"))</x:f>
        <x:v>HIGH</x:v>
      </x:c>
    </x:row>
    <x:row r="477">
      <x:c r="A477" s="95" t="n">
        <x:v>3785</x:v>
      </x:c>
      <x:c r="B477" s="96" t="n">
        <x:v>45449.4375</x:v>
      </x:c>
      <x:c r="C477" s="97" t="str">
        <x:v>Flood</x:v>
      </x:c>
      <x:c r="D477" s="97" t="str">
        <x:v>Brazil</x:v>
      </x:c>
      <x:c r="E477" s="98" t="n">
        <x:v>4.069217162340674</x:v>
      </x:c>
      <x:c r="F477" s="99" t="n">
        <x:v>743.15119811043</x:v>
      </x:c>
      <x:c r="G477" s="100" t="str">
        <x:f>XLOOKUP(D477,'Reference Tables'!$A$4:$A$23,'Reference Tables'!$B$4:$B$23,"Other")</x:f>
        <x:v>Latin America</x:v>
      </x:c>
      <x:c r="H477" s="100" t="str">
        <x:f>VLOOKUP(G477,'Reference Tables'!$I$4:$J$9,2,FALSE)</x:f>
        <x:v>Moderate</x:v>
      </x:c>
      <x:c r="I477" s="101" t="n">
        <x:f>F477*'Inputs &amp; Guide'!$B$4*XLOOKUP(D477,'Reference Tables'!$A$4:$A$23,'Reference Tables'!$C$4:$C$23,0.75)</x:f>
        <x:v>97.5014371920884</x:v>
      </x:c>
      <x:c r="J477" s="102" t="n">
        <x:f>XLOOKUP(C477,'Reference Tables'!$E$4:$E$12,'Reference Tables'!$F$4:$F$12,0.05)</x:f>
        <x:v>0.12</x:v>
      </x:c>
      <x:c r="K477" s="103" t="n">
        <x:f>MIN(I477,F477*J477)</x:f>
        <x:v>89.17814377325159</x:v>
      </x:c>
      <x:c r="L477" s="103" t="n">
        <x:f>'Inputs &amp; Guide'!$B$5</x:f>
        <x:v>15</x:v>
      </x:c>
      <x:c r="M477" s="103" t="n">
        <x:f>I477*'Inputs &amp; Guide'!$B$6</x:f>
        <x:v>53.62579045564863</x:v>
      </x:c>
      <x:c r="N477" s="103" t="n">
        <x:f>MAX(0,MIN(K477-L477,M477))</x:f>
        <x:v>53.62579045564863</x:v>
      </x:c>
      <x:c r="O477" s="103" t="n">
        <x:f>MAX(0,N477-'Inputs &amp; Guide'!$B$7)</x:f>
        <x:v>0</x:v>
      </x:c>
      <x:c r="P477" s="103" t="n">
        <x:f>N477-O477</x:f>
        <x:v>53.62579045564863</x:v>
      </x:c>
      <x:c r="Q477" s="103" t="n">
        <x:f>I477*'Inputs &amp; Guide'!$B$8</x:f>
        <x:v>1.755025869457591</x:v>
      </x:c>
      <x:c r="R477" s="104" t="n">
        <x:f>IFERROR(P477/Q477,0)</x:f>
        <x:v>30.55555555555556</x:v>
      </x:c>
      <x:c r="S477" s="105" t="n">
        <x:f>ROUND(E477*XLOOKUP(C477,'Reference Tables'!$E$4:$E$12,'Reference Tables'!$G$4:$G$12,1),1)</x:f>
        <x:v>5.1</x:v>
      </x:c>
      <x:c r="T477" s="106" t="str">
        <x:f>IF(R477&gt;='Inputs &amp; Guide'!$B$9,"HIGH",IF(R477&gt;=0.45,"WATCH","NORMAL"))</x:f>
        <x:v>HIGH</x:v>
      </x:c>
    </x:row>
    <x:row r="478">
      <x:c r="A478" s="95" t="n">
        <x:v>3793</x:v>
      </x:c>
      <x:c r="B478" s="96" t="n">
        <x:v>45450</x:v>
      </x:c>
      <x:c r="C478" s="97" t="str">
        <x:v>Hurricane</x:v>
      </x:c>
      <x:c r="D478" s="97" t="str">
        <x:v>Brazil</x:v>
      </x:c>
      <x:c r="E478" s="98" t="n">
        <x:v>9.891914247485369</x:v>
      </x:c>
      <x:c r="F478" s="99" t="n">
        <x:v>415.0778693611179</x:v>
      </x:c>
      <x:c r="G478" s="100" t="str">
        <x:f>XLOOKUP(D478,'Reference Tables'!$A$4:$A$23,'Reference Tables'!$B$4:$B$23,"Other")</x:f>
        <x:v>Latin America</x:v>
      </x:c>
      <x:c r="H478" s="100" t="str">
        <x:f>VLOOKUP(G478,'Reference Tables'!$I$4:$J$9,2,FALSE)</x:f>
        <x:v>Moderate</x:v>
      </x:c>
      <x:c r="I478" s="101" t="n">
        <x:f>F478*'Inputs &amp; Guide'!$B$4*XLOOKUP(D478,'Reference Tables'!$A$4:$A$23,'Reference Tables'!$C$4:$C$23,0.75)</x:f>
        <x:v>54.45821646017867</x:v>
      </x:c>
      <x:c r="J478" s="102" t="n">
        <x:f>XLOOKUP(C478,'Reference Tables'!$E$4:$E$12,'Reference Tables'!$F$4:$F$12,0.05)</x:f>
        <x:v>0.18</x:v>
      </x:c>
      <x:c r="K478" s="103" t="n">
        <x:f>MIN(I478,F478*J478)</x:f>
        <x:v>54.45821646017867</x:v>
      </x:c>
      <x:c r="L478" s="103" t="n">
        <x:f>'Inputs &amp; Guide'!$B$5</x:f>
        <x:v>15</x:v>
      </x:c>
      <x:c r="M478" s="103" t="n">
        <x:f>I478*'Inputs &amp; Guide'!$B$6</x:f>
        <x:v>29.95201905309827</x:v>
      </x:c>
      <x:c r="N478" s="103" t="n">
        <x:f>MAX(0,MIN(K478-L478,M478))</x:f>
        <x:v>29.95201905309827</x:v>
      </x:c>
      <x:c r="O478" s="103" t="n">
        <x:f>MAX(0,N478-'Inputs &amp; Guide'!$B$7)</x:f>
        <x:v>0</x:v>
      </x:c>
      <x:c r="P478" s="103" t="n">
        <x:f>N478-O478</x:f>
        <x:v>29.95201905309827</x:v>
      </x:c>
      <x:c r="Q478" s="103" t="n">
        <x:f>I478*'Inputs &amp; Guide'!$B$8</x:f>
        <x:v>0.980247896283216</x:v>
      </x:c>
      <x:c r="R478" s="104" t="n">
        <x:f>IFERROR(P478/Q478,0)</x:f>
        <x:v>30.55555555555556</x:v>
      </x:c>
      <x:c r="S478" s="105" t="n">
        <x:f>ROUND(E478*XLOOKUP(C478,'Reference Tables'!$E$4:$E$12,'Reference Tables'!$G$4:$G$12,1),1)</x:f>
        <x:v>13.8</x:v>
      </x:c>
      <x:c r="T478" s="106" t="str">
        <x:f>IF(R478&gt;='Inputs &amp; Guide'!$B$9,"HIGH",IF(R478&gt;=0.45,"WATCH","NORMAL"))</x:f>
        <x:v>HIGH</x:v>
      </x:c>
    </x:row>
    <x:row r="479">
      <x:c r="A479" s="95" t="n">
        <x:v>3801</x:v>
      </x:c>
      <x:c r="B479" s="96" t="n">
        <x:v>45450.104166666664</x:v>
      </x:c>
      <x:c r="C479" s="97" t="str">
        <x:v>Earthquake</x:v>
      </x:c>
      <x:c r="D479" s="97" t="str">
        <x:v>China</x:v>
      </x:c>
      <x:c r="E479" s="98" t="n">
        <x:v>4.081871517891326</x:v>
      </x:c>
      <x:c r="F479" s="99" t="n">
        <x:v>293.76156380659677</x:v>
      </x:c>
      <x:c r="G479" s="100" t="str">
        <x:f>XLOOKUP(D479,'Reference Tables'!$A$4:$A$23,'Reference Tables'!$B$4:$B$23,"Other")</x:f>
        <x:v>Asia Pacific</x:v>
      </x:c>
      <x:c r="H479" s="100" t="str">
        <x:f>VLOOKUP(G479,'Reference Tables'!$I$4:$J$9,2,FALSE)</x:f>
        <x:v>High</x:v>
      </x:c>
      <x:c r="I479" s="101" t="n">
        <x:f>F479*'Inputs &amp; Guide'!$B$4*XLOOKUP(D479,'Reference Tables'!$A$4:$A$23,'Reference Tables'!$C$4:$C$23,0.75)</x:f>
        <x:v>50.76199822577993</x:v>
      </x:c>
      <x:c r="J479" s="102" t="n">
        <x:f>XLOOKUP(C479,'Reference Tables'!$E$4:$E$12,'Reference Tables'!$F$4:$F$12,0.05)</x:f>
        <x:v>0.14</x:v>
      </x:c>
      <x:c r="K479" s="103" t="n">
        <x:f>MIN(I479,F479*J479)</x:f>
        <x:v>41.12661893292355</x:v>
      </x:c>
      <x:c r="L479" s="103" t="n">
        <x:f>'Inputs &amp; Guide'!$B$5</x:f>
        <x:v>15</x:v>
      </x:c>
      <x:c r="M479" s="103" t="n">
        <x:f>I479*'Inputs &amp; Guide'!$B$6</x:f>
        <x:v>27.919099024178962</x:v>
      </x:c>
      <x:c r="N479" s="103" t="n">
        <x:f>MAX(0,MIN(K479-L479,M479))</x:f>
        <x:v>26.12661893292355</x:v>
      </x:c>
      <x:c r="O479" s="103" t="n">
        <x:f>MAX(0,N479-'Inputs &amp; Guide'!$B$7)</x:f>
        <x:v>0</x:v>
      </x:c>
      <x:c r="P479" s="103" t="n">
        <x:f>N479-O479</x:f>
        <x:v>26.12661893292355</x:v>
      </x:c>
      <x:c r="Q479" s="103" t="n">
        <x:f>I479*'Inputs &amp; Guide'!$B$8</x:f>
        <x:v>0.9137159680640387</x:v>
      </x:c>
      <x:c r="R479" s="104" t="n">
        <x:f>IFERROR(P479/Q479,0)</x:f>
        <x:v>28.593807973258972</x:v>
      </x:c>
      <x:c r="S479" s="105" t="n">
        <x:f>ROUND(E479*XLOOKUP(C479,'Reference Tables'!$E$4:$E$12,'Reference Tables'!$G$4:$G$12,1),1)</x:f>
        <x:v>6.1</x:v>
      </x:c>
      <x:c r="T479" s="106" t="str">
        <x:f>IF(R479&gt;='Inputs &amp; Guide'!$B$9,"HIGH",IF(R479&gt;=0.45,"WATCH","NORMAL"))</x:f>
        <x:v>HIGH</x:v>
      </x:c>
    </x:row>
    <x:row r="480">
      <x:c r="A480" s="95" t="n">
        <x:v>3809</x:v>
      </x:c>
      <x:c r="B480" s="96" t="n">
        <x:v>45450.4375</x:v>
      </x:c>
      <x:c r="C480" s="97" t="str">
        <x:v>Earthquake</x:v>
      </x:c>
      <x:c r="D480" s="97" t="str">
        <x:v>Indonesia</x:v>
      </x:c>
      <x:c r="E480" s="98" t="n">
        <x:v>5.31686959421628</x:v>
      </x:c>
      <x:c r="F480" s="99" t="n">
        <x:v>399.5237802608607</x:v>
      </x:c>
      <x:c r="G480" s="100" t="str">
        <x:f>XLOOKUP(D480,'Reference Tables'!$A$4:$A$23,'Reference Tables'!$B$4:$B$23,"Other")</x:f>
        <x:v>Asia Pacific</x:v>
      </x:c>
      <x:c r="H480" s="100" t="str">
        <x:f>VLOOKUP(G480,'Reference Tables'!$I$4:$J$9,2,FALSE)</x:f>
        <x:v>High</x:v>
      </x:c>
      <x:c r="I480" s="101" t="n">
        <x:f>F480*'Inputs &amp; Guide'!$B$4*XLOOKUP(D480,'Reference Tables'!$A$4:$A$23,'Reference Tables'!$C$4:$C$23,0.75)</x:f>
        <x:v>65.84151898698984</x:v>
      </x:c>
      <x:c r="J480" s="102" t="n">
        <x:f>XLOOKUP(C480,'Reference Tables'!$E$4:$E$12,'Reference Tables'!$F$4:$F$12,0.05)</x:f>
        <x:v>0.14</x:v>
      </x:c>
      <x:c r="K480" s="103" t="n">
        <x:f>MIN(I480,F480*J480)</x:f>
        <x:v>55.9333292365205</x:v>
      </x:c>
      <x:c r="L480" s="103" t="n">
        <x:f>'Inputs &amp; Guide'!$B$5</x:f>
        <x:v>15</x:v>
      </x:c>
      <x:c r="M480" s="103" t="n">
        <x:f>I480*'Inputs &amp; Guide'!$B$6</x:f>
        <x:v>36.212835442844415</x:v>
      </x:c>
      <x:c r="N480" s="103" t="n">
        <x:f>MAX(0,MIN(K480-L480,M480))</x:f>
        <x:v>36.212835442844415</x:v>
      </x:c>
      <x:c r="O480" s="103" t="n">
        <x:f>MAX(0,N480-'Inputs &amp; Guide'!$B$7)</x:f>
        <x:v>0</x:v>
      </x:c>
      <x:c r="P480" s="103" t="n">
        <x:f>N480-O480</x:f>
        <x:v>36.212835442844415</x:v>
      </x:c>
      <x:c r="Q480" s="103" t="n">
        <x:f>I480*'Inputs &amp; Guide'!$B$8</x:f>
        <x:v>1.185147341765817</x:v>
      </x:c>
      <x:c r="R480" s="104" t="n">
        <x:f>IFERROR(P480/Q480,0)</x:f>
        <x:v>30.555555555555564</x:v>
      </x:c>
      <x:c r="S480" s="105" t="n">
        <x:f>ROUND(E480*XLOOKUP(C480,'Reference Tables'!$E$4:$E$12,'Reference Tables'!$G$4:$G$12,1),1)</x:f>
        <x:v>8</x:v>
      </x:c>
      <x:c r="T480" s="106" t="str">
        <x:f>IF(R480&gt;='Inputs &amp; Guide'!$B$9,"HIGH",IF(R480&gt;=0.45,"WATCH","NORMAL"))</x:f>
        <x:v>HIGH</x:v>
      </x:c>
    </x:row>
    <x:row r="481">
      <x:c r="A481" s="95" t="n">
        <x:v>3817</x:v>
      </x:c>
      <x:c r="B481" s="96" t="n">
        <x:v>45451</x:v>
      </x:c>
      <x:c r="C481" s="97" t="str">
        <x:v>Hurricane</x:v>
      </x:c>
      <x:c r="D481" s="97" t="str">
        <x:v>Japan</x:v>
      </x:c>
      <x:c r="E481" s="98" t="n">
        <x:v>9.415757956918299</x:v>
      </x:c>
      <x:c r="F481" s="99" t="n">
        <x:v>994.5733878925283</x:v>
      </x:c>
      <x:c r="G481" s="100" t="str">
        <x:f>XLOOKUP(D481,'Reference Tables'!$A$4:$A$23,'Reference Tables'!$B$4:$B$23,"Other")</x:f>
        <x:v>Asia Pacific</x:v>
      </x:c>
      <x:c r="H481" s="100" t="str">
        <x:f>VLOOKUP(G481,'Reference Tables'!$I$4:$J$9,2,FALSE)</x:f>
        <x:v>High</x:v>
      </x:c>
      <x:c r="I481" s="101" t="n">
        <x:f>F481*'Inputs &amp; Guide'!$B$4*XLOOKUP(D481,'Reference Tables'!$A$4:$A$23,'Reference Tables'!$C$4:$C$23,0.75)</x:f>
        <x:v>187.77545563410933</x:v>
      </x:c>
      <x:c r="J481" s="102" t="n">
        <x:f>XLOOKUP(C481,'Reference Tables'!$E$4:$E$12,'Reference Tables'!$F$4:$F$12,0.05)</x:f>
        <x:v>0.18</x:v>
      </x:c>
      <x:c r="K481" s="103" t="n">
        <x:f>MIN(I481,F481*J481)</x:f>
        <x:v>179.0232098206551</x:v>
      </x:c>
      <x:c r="L481" s="103" t="n">
        <x:f>'Inputs &amp; Guide'!$B$5</x:f>
        <x:v>15</x:v>
      </x:c>
      <x:c r="M481" s="103" t="n">
        <x:f>I481*'Inputs &amp; Guide'!$B$6</x:f>
        <x:v>103.27650059876014</x:v>
      </x:c>
      <x:c r="N481" s="103" t="n">
        <x:f>MAX(0,MIN(K481-L481,M481))</x:f>
        <x:v>103.27650059876014</x:v>
      </x:c>
      <x:c r="O481" s="103" t="n">
        <x:f>MAX(0,N481-'Inputs &amp; Guide'!$B$7)</x:f>
        <x:v>43.27650059876014</x:v>
      </x:c>
      <x:c r="P481" s="103" t="n">
        <x:f>N481-O481</x:f>
        <x:v>60</x:v>
      </x:c>
      <x:c r="Q481" s="103" t="n">
        <x:f>I481*'Inputs &amp; Guide'!$B$8</x:f>
        <x:v>3.379958201413968</x:v>
      </x:c>
      <x:c r="R481" s="104" t="n">
        <x:f>IFERROR(P481/Q481,0)</x:f>
        <x:v>17.751698815358033</x:v>
      </x:c>
      <x:c r="S481" s="105" t="n">
        <x:f>ROUND(E481*XLOOKUP(C481,'Reference Tables'!$E$4:$E$12,'Reference Tables'!$G$4:$G$12,1),1)</x:f>
        <x:v>13.2</x:v>
      </x:c>
      <x:c r="T481" s="106" t="str">
        <x:f>IF(R481&gt;='Inputs &amp; Guide'!$B$9,"HIGH",IF(R481&gt;=0.45,"WATCH","NORMAL"))</x:f>
        <x:v>HIGH</x:v>
      </x:c>
    </x:row>
    <x:row r="482">
      <x:c r="A482" s="95" t="n">
        <x:v>3825</x:v>
      </x:c>
      <x:c r="B482" s="96" t="n">
        <x:v>45451.104166666664</x:v>
      </x:c>
      <x:c r="C482" s="97" t="str">
        <x:v>Wildfire</x:v>
      </x:c>
      <x:c r="D482" s="97" t="str">
        <x:v>USA</x:v>
      </x:c>
      <x:c r="E482" s="98" t="n">
        <x:v>5.133084287851261</x:v>
      </x:c>
      <x:c r="F482" s="99" t="n">
        <x:v>922.9219159280598</x:v>
      </x:c>
      <x:c r="G482" s="100" t="str">
        <x:f>XLOOKUP(D482,'Reference Tables'!$A$4:$A$23,'Reference Tables'!$B$4:$B$23,"Other")</x:f>
        <x:v>Other</x:v>
      </x:c>
      <x:c r="H482" s="100" t="str">
        <x:f>VLOOKUP(G482,'Reference Tables'!$I$4:$J$9,2,FALSE)</x:f>
        <x:v>Moderate</x:v>
      </x:c>
      <x:c r="I482" s="101" t="n">
        <x:f>F482*'Inputs &amp; Guide'!$B$4*XLOOKUP(D482,'Reference Tables'!$A$4:$A$23,'Reference Tables'!$C$4:$C$23,0.75)</x:f>
        <x:v>110.75062991136718</x:v>
      </x:c>
      <x:c r="J482" s="102" t="n">
        <x:f>XLOOKUP(C482,'Reference Tables'!$E$4:$E$12,'Reference Tables'!$F$4:$F$12,0.05)</x:f>
        <x:v>0.1</x:v>
      </x:c>
      <x:c r="K482" s="103" t="n">
        <x:f>MIN(I482,F482*J482)</x:f>
        <x:v>92.29219159280598</x:v>
      </x:c>
      <x:c r="L482" s="103" t="n">
        <x:f>'Inputs &amp; Guide'!$B$5</x:f>
        <x:v>15</x:v>
      </x:c>
      <x:c r="M482" s="103" t="n">
        <x:f>I482*'Inputs &amp; Guide'!$B$6</x:f>
        <x:v>60.91284645125196</x:v>
      </x:c>
      <x:c r="N482" s="103" t="n">
        <x:f>MAX(0,MIN(K482-L482,M482))</x:f>
        <x:v>60.91284645125196</x:v>
      </x:c>
      <x:c r="O482" s="103" t="n">
        <x:f>MAX(0,N482-'Inputs &amp; Guide'!$B$7)</x:f>
        <x:v>0.9128464512519585</x:v>
      </x:c>
      <x:c r="P482" s="103" t="n">
        <x:f>N482-O482</x:f>
        <x:v>60</x:v>
      </x:c>
      <x:c r="Q482" s="103" t="n">
        <x:f>I482*'Inputs &amp; Guide'!$B$8</x:f>
        <x:v>1.9935113384046093</x:v>
      </x:c>
      <x:c r="R482" s="104" t="n">
        <x:f>IFERROR(P482/Q482,0)</x:f>
        <x:v>30.097646722198984</x:v>
      </x:c>
      <x:c r="S482" s="105" t="n">
        <x:f>ROUND(E482*XLOOKUP(C482,'Reference Tables'!$E$4:$E$12,'Reference Tables'!$G$4:$G$12,1),1)</x:f>
        <x:v>5.9</x:v>
      </x:c>
      <x:c r="T482" s="106" t="str">
        <x:f>IF(R482&gt;='Inputs &amp; Guide'!$B$9,"HIGH",IF(R482&gt;=0.45,"WATCH","NORMAL"))</x:f>
        <x:v>HIGH</x:v>
      </x:c>
    </x:row>
    <x:row r="483">
      <x:c r="A483" s="95" t="n">
        <x:v>3833</x:v>
      </x:c>
      <x:c r="B483" s="96" t="n">
        <x:v>45451.4375</x:v>
      </x:c>
      <x:c r="C483" s="97" t="str">
        <x:v>Earthquake</x:v>
      </x:c>
      <x:c r="D483" s="97" t="str">
        <x:v>India</x:v>
      </x:c>
      <x:c r="E483" s="98" t="n">
        <x:v>3.6845892039724664</x:v>
      </x:c>
      <x:c r="F483" s="99" t="n">
        <x:v>606.1883303642962</x:v>
      </x:c>
      <x:c r="G483" s="100" t="str">
        <x:f>XLOOKUP(D483,'Reference Tables'!$A$4:$A$23,'Reference Tables'!$B$4:$B$23,"Other")</x:f>
        <x:v>Asia Pacific</x:v>
      </x:c>
      <x:c r="H483" s="100" t="str">
        <x:f>VLOOKUP(G483,'Reference Tables'!$I$4:$J$9,2,FALSE)</x:f>
        <x:v>High</x:v>
      </x:c>
      <x:c r="I483" s="101" t="n">
        <x:f>F483*'Inputs &amp; Guide'!$B$4*XLOOKUP(D483,'Reference Tables'!$A$4:$A$23,'Reference Tables'!$C$4:$C$23,0.75)</x:f>
        <x:v>88.26102090104153</x:v>
      </x:c>
      <x:c r="J483" s="102" t="n">
        <x:f>XLOOKUP(C483,'Reference Tables'!$E$4:$E$12,'Reference Tables'!$F$4:$F$12,0.05)</x:f>
        <x:v>0.14</x:v>
      </x:c>
      <x:c r="K483" s="103" t="n">
        <x:f>MIN(I483,F483*J483)</x:f>
        <x:v>84.86636625100148</x:v>
      </x:c>
      <x:c r="L483" s="103" t="n">
        <x:f>'Inputs &amp; Guide'!$B$5</x:f>
        <x:v>15</x:v>
      </x:c>
      <x:c r="M483" s="103" t="n">
        <x:f>I483*'Inputs &amp; Guide'!$B$6</x:f>
        <x:v>48.543561495572845</x:v>
      </x:c>
      <x:c r="N483" s="103" t="n">
        <x:f>MAX(0,MIN(K483-L483,M483))</x:f>
        <x:v>48.543561495572845</x:v>
      </x:c>
      <x:c r="O483" s="103" t="n">
        <x:f>MAX(0,N483-'Inputs &amp; Guide'!$B$7)</x:f>
        <x:v>0</x:v>
      </x:c>
      <x:c r="P483" s="103" t="n">
        <x:f>N483-O483</x:f>
        <x:v>48.543561495572845</x:v>
      </x:c>
      <x:c r="Q483" s="103" t="n">
        <x:f>I483*'Inputs &amp; Guide'!$B$8</x:f>
        <x:v>1.5886983762187474</x:v>
      </x:c>
      <x:c r="R483" s="104" t="n">
        <x:f>IFERROR(P483/Q483,0)</x:f>
        <x:v>30.55555555555556</x:v>
      </x:c>
      <x:c r="S483" s="105" t="n">
        <x:f>ROUND(E483*XLOOKUP(C483,'Reference Tables'!$E$4:$E$12,'Reference Tables'!$G$4:$G$12,1),1)</x:f>
        <x:v>5.5</x:v>
      </x:c>
      <x:c r="T483" s="106" t="str">
        <x:f>IF(R483&gt;='Inputs &amp; Guide'!$B$9,"HIGH",IF(R483&gt;=0.45,"WATCH","NORMAL"))</x:f>
        <x:v>HIGH</x:v>
      </x:c>
    </x:row>
    <x:row r="484">
      <x:c r="A484" s="95" t="n">
        <x:v>3841</x:v>
      </x:c>
      <x:c r="B484" s="96" t="n">
        <x:v>45452</x:v>
      </x:c>
      <x:c r="C484" s="97" t="str">
        <x:v>Wildfire</x:v>
      </x:c>
      <x:c r="D484" s="97" t="str">
        <x:v>China</x:v>
      </x:c>
      <x:c r="E484" s="98" t="n">
        <x:v>6.98562132991262</x:v>
      </x:c>
      <x:c r="F484" s="99" t="n">
        <x:v>157.20139077791845</x:v>
      </x:c>
      <x:c r="G484" s="100" t="str">
        <x:f>XLOOKUP(D484,'Reference Tables'!$A$4:$A$23,'Reference Tables'!$B$4:$B$23,"Other")</x:f>
        <x:v>Asia Pacific</x:v>
      </x:c>
      <x:c r="H484" s="100" t="str">
        <x:f>VLOOKUP(G484,'Reference Tables'!$I$4:$J$9,2,FALSE)</x:f>
        <x:v>High</x:v>
      </x:c>
      <x:c r="I484" s="101" t="n">
        <x:f>F484*'Inputs &amp; Guide'!$B$4*XLOOKUP(D484,'Reference Tables'!$A$4:$A$23,'Reference Tables'!$C$4:$C$23,0.75)</x:f>
        <x:v>27.16440032642431</x:v>
      </x:c>
      <x:c r="J484" s="102" t="n">
        <x:f>XLOOKUP(C484,'Reference Tables'!$E$4:$E$12,'Reference Tables'!$F$4:$F$12,0.05)</x:f>
        <x:v>0.1</x:v>
      </x:c>
      <x:c r="K484" s="103" t="n">
        <x:f>MIN(I484,F484*J484)</x:f>
        <x:v>15.720139077791845</x:v>
      </x:c>
      <x:c r="L484" s="103" t="n">
        <x:f>'Inputs &amp; Guide'!$B$5</x:f>
        <x:v>15</x:v>
      </x:c>
      <x:c r="M484" s="103" t="n">
        <x:f>I484*'Inputs &amp; Guide'!$B$6</x:f>
        <x:v>14.940420179533373</x:v>
      </x:c>
      <x:c r="N484" s="103" t="n">
        <x:f>MAX(0,MIN(K484-L484,M484))</x:f>
        <x:v>0.7201390777918455</x:v>
      </x:c>
      <x:c r="O484" s="103" t="n">
        <x:f>MAX(0,N484-'Inputs &amp; Guide'!$B$7)</x:f>
        <x:v>0</x:v>
      </x:c>
      <x:c r="P484" s="103" t="n">
        <x:f>N484-O484</x:f>
        <x:v>0.7201390777918455</x:v>
      </x:c>
      <x:c r="Q484" s="103" t="n">
        <x:f>I484*'Inputs &amp; Guide'!$B$8</x:f>
        <x:v>0.48895920587563757</x:v>
      </x:c>
      <x:c r="R484" s="104" t="n">
        <x:f>IFERROR(P484/Q484,0)</x:f>
        <x:v>1.472799916921917</x:v>
      </x:c>
      <x:c r="S484" s="105" t="n">
        <x:f>ROUND(E484*XLOOKUP(C484,'Reference Tables'!$E$4:$E$12,'Reference Tables'!$G$4:$G$12,1),1)</x:f>
        <x:v>8</x:v>
      </x:c>
      <x:c r="T484" s="106" t="str">
        <x:f>IF(R484&gt;='Inputs &amp; Guide'!$B$9,"HIGH",IF(R484&gt;=0.45,"WATCH","NORMAL"))</x:f>
        <x:v>HIGH</x:v>
      </x:c>
    </x:row>
    <x:row r="485">
      <x:c r="A485" s="95" t="n">
        <x:v>3849</x:v>
      </x:c>
      <x:c r="B485" s="96" t="n">
        <x:v>45452.104166666664</x:v>
      </x:c>
      <x:c r="C485" s="97" t="str">
        <x:v>Earthquake</x:v>
      </x:c>
      <x:c r="D485" s="97" t="str">
        <x:v>China</x:v>
      </x:c>
      <x:c r="E485" s="98" t="n">
        <x:v>7.5224941803937275</x:v>
      </x:c>
      <x:c r="F485" s="99" t="n">
        <x:v>660.4734230381302</x:v>
      </x:c>
      <x:c r="G485" s="100" t="str">
        <x:f>XLOOKUP(D485,'Reference Tables'!$A$4:$A$23,'Reference Tables'!$B$4:$B$23,"Other")</x:f>
        <x:v>Asia Pacific</x:v>
      </x:c>
      <x:c r="H485" s="100" t="str">
        <x:f>VLOOKUP(G485,'Reference Tables'!$I$4:$J$9,2,FALSE)</x:f>
        <x:v>High</x:v>
      </x:c>
      <x:c r="I485" s="101" t="n">
        <x:f>F485*'Inputs &amp; Guide'!$B$4*XLOOKUP(D485,'Reference Tables'!$A$4:$A$23,'Reference Tables'!$C$4:$C$23,0.75)</x:f>
        <x:v>114.12980750098892</x:v>
      </x:c>
      <x:c r="J485" s="102" t="n">
        <x:f>XLOOKUP(C485,'Reference Tables'!$E$4:$E$12,'Reference Tables'!$F$4:$F$12,0.05)</x:f>
        <x:v>0.14</x:v>
      </x:c>
      <x:c r="K485" s="103" t="n">
        <x:f>MIN(I485,F485*J485)</x:f>
        <x:v>92.46627922533824</x:v>
      </x:c>
      <x:c r="L485" s="103" t="n">
        <x:f>'Inputs &amp; Guide'!$B$5</x:f>
        <x:v>15</x:v>
      </x:c>
      <x:c r="M485" s="103" t="n">
        <x:f>I485*'Inputs &amp; Guide'!$B$6</x:f>
        <x:v>62.77139412554391</x:v>
      </x:c>
      <x:c r="N485" s="103" t="n">
        <x:f>MAX(0,MIN(K485-L485,M485))</x:f>
        <x:v>62.77139412554391</x:v>
      </x:c>
      <x:c r="O485" s="103" t="n">
        <x:f>MAX(0,N485-'Inputs &amp; Guide'!$B$7)</x:f>
        <x:v>2.7713941255439067</x:v>
      </x:c>
      <x:c r="P485" s="103" t="n">
        <x:f>N485-O485</x:f>
        <x:v>60</x:v>
      </x:c>
      <x:c r="Q485" s="103" t="n">
        <x:f>I485*'Inputs &amp; Guide'!$B$8</x:f>
        <x:v>2.0543365350178004</x:v>
      </x:c>
      <x:c r="R485" s="104" t="n">
        <x:f>IFERROR(P485/Q485,0)</x:f>
        <x:v>29.206509730636764</x:v>
      </x:c>
      <x:c r="S485" s="105" t="n">
        <x:f>ROUND(E485*XLOOKUP(C485,'Reference Tables'!$E$4:$E$12,'Reference Tables'!$G$4:$G$12,1),1)</x:f>
        <x:v>11.3</x:v>
      </x:c>
      <x:c r="T485" s="106" t="str">
        <x:f>IF(R485&gt;='Inputs &amp; Guide'!$B$9,"HIGH",IF(R485&gt;=0.45,"WATCH","NORMAL"))</x:f>
        <x:v>HIGH</x:v>
      </x:c>
    </x:row>
    <x:row r="486">
      <x:c r="A486" s="95" t="n">
        <x:v>3857</x:v>
      </x:c>
      <x:c r="B486" s="96" t="n">
        <x:v>45452.4375</x:v>
      </x:c>
      <x:c r="C486" s="97" t="str">
        <x:v>Flood</x:v>
      </x:c>
      <x:c r="D486" s="97" t="str">
        <x:v>India</x:v>
      </x:c>
      <x:c r="E486" s="98" t="n">
        <x:v>7.140977525617918</x:v>
      </x:c>
      <x:c r="F486" s="99" t="n">
        <x:v>324.3529643626781</x:v>
      </x:c>
      <x:c r="G486" s="100" t="str">
        <x:f>XLOOKUP(D486,'Reference Tables'!$A$4:$A$23,'Reference Tables'!$B$4:$B$23,"Other")</x:f>
        <x:v>Asia Pacific</x:v>
      </x:c>
      <x:c r="H486" s="100" t="str">
        <x:f>VLOOKUP(G486,'Reference Tables'!$I$4:$J$9,2,FALSE)</x:f>
        <x:v>High</x:v>
      </x:c>
      <x:c r="I486" s="101" t="n">
        <x:f>F486*'Inputs &amp; Guide'!$B$4*XLOOKUP(D486,'Reference Tables'!$A$4:$A$23,'Reference Tables'!$C$4:$C$23,0.75)</x:f>
        <x:v>47.225791611205935</x:v>
      </x:c>
      <x:c r="J486" s="102" t="n">
        <x:f>XLOOKUP(C486,'Reference Tables'!$E$4:$E$12,'Reference Tables'!$F$4:$F$12,0.05)</x:f>
        <x:v>0.12</x:v>
      </x:c>
      <x:c r="K486" s="103" t="n">
        <x:f>MIN(I486,F486*J486)</x:f>
        <x:v>38.92235572352137</x:v>
      </x:c>
      <x:c r="L486" s="103" t="n">
        <x:f>'Inputs &amp; Guide'!$B$5</x:f>
        <x:v>15</x:v>
      </x:c>
      <x:c r="M486" s="103" t="n">
        <x:f>I486*'Inputs &amp; Guide'!$B$6</x:f>
        <x:v>25.974185386163267</x:v>
      </x:c>
      <x:c r="N486" s="103" t="n">
        <x:f>MAX(0,MIN(K486-L486,M486))</x:f>
        <x:v>23.92235572352137</x:v>
      </x:c>
      <x:c r="O486" s="103" t="n">
        <x:f>MAX(0,N486-'Inputs &amp; Guide'!$B$7)</x:f>
        <x:v>0</x:v>
      </x:c>
      <x:c r="P486" s="103" t="n">
        <x:f>N486-O486</x:f>
        <x:v>23.92235572352137</x:v>
      </x:c>
      <x:c r="Q486" s="103" t="n">
        <x:f>I486*'Inputs &amp; Guide'!$B$8</x:f>
        <x:v>0.8500642490017067</x:v>
      </x:c>
      <x:c r="R486" s="104" t="n">
        <x:f>IFERROR(P486/Q486,0)</x:f>
        <x:v>28.141820752508014</x:v>
      </x:c>
      <x:c r="S486" s="105" t="n">
        <x:f>ROUND(E486*XLOOKUP(C486,'Reference Tables'!$E$4:$E$12,'Reference Tables'!$G$4:$G$12,1),1)</x:f>
        <x:v>8.9</x:v>
      </x:c>
      <x:c r="T486" s="106" t="str">
        <x:f>IF(R486&gt;='Inputs &amp; Guide'!$B$9,"HIGH",IF(R486&gt;=0.45,"WATCH","NORMAL"))</x:f>
        <x:v>HIGH</x:v>
      </x:c>
    </x:row>
    <x:row r="487">
      <x:c r="A487" s="95" t="n">
        <x:v>3865</x:v>
      </x:c>
      <x:c r="B487" s="96" t="n">
        <x:v>45453</x:v>
      </x:c>
      <x:c r="C487" s="97" t="str">
        <x:v>Flood</x:v>
      </x:c>
      <x:c r="D487" s="97" t="str">
        <x:v>India</x:v>
      </x:c>
      <x:c r="E487" s="98" t="n">
        <x:v>4.942687880030198</x:v>
      </x:c>
      <x:c r="F487" s="99" t="n">
        <x:v>174.78717217089675</x:v>
      </x:c>
      <x:c r="G487" s="100" t="str">
        <x:f>XLOOKUP(D487,'Reference Tables'!$A$4:$A$23,'Reference Tables'!$B$4:$B$23,"Other")</x:f>
        <x:v>Asia Pacific</x:v>
      </x:c>
      <x:c r="H487" s="100" t="str">
        <x:f>VLOOKUP(G487,'Reference Tables'!$I$4:$J$9,2,FALSE)</x:f>
        <x:v>High</x:v>
      </x:c>
      <x:c r="I487" s="101" t="n">
        <x:f>F487*'Inputs &amp; Guide'!$B$4*XLOOKUP(D487,'Reference Tables'!$A$4:$A$23,'Reference Tables'!$C$4:$C$23,0.75)</x:f>
        <x:v>25.44901226808257</x:v>
      </x:c>
      <x:c r="J487" s="102" t="n">
        <x:f>XLOOKUP(C487,'Reference Tables'!$E$4:$E$12,'Reference Tables'!$F$4:$F$12,0.05)</x:f>
        <x:v>0.12</x:v>
      </x:c>
      <x:c r="K487" s="103" t="n">
        <x:f>MIN(I487,F487*J487)</x:f>
        <x:v>20.97446066050761</x:v>
      </x:c>
      <x:c r="L487" s="103" t="n">
        <x:f>'Inputs &amp; Guide'!$B$5</x:f>
        <x:v>15</x:v>
      </x:c>
      <x:c r="M487" s="103" t="n">
        <x:f>I487*'Inputs &amp; Guide'!$B$6</x:f>
        <x:v>13.996956747445415</x:v>
      </x:c>
      <x:c r="N487" s="103" t="n">
        <x:f>MAX(0,MIN(K487-L487,M487))</x:f>
        <x:v>5.97446066050761</x:v>
      </x:c>
      <x:c r="O487" s="103" t="n">
        <x:f>MAX(0,N487-'Inputs &amp; Guide'!$B$7)</x:f>
        <x:v>0</x:v>
      </x:c>
      <x:c r="P487" s="103" t="n">
        <x:f>N487-O487</x:f>
        <x:v>5.97446066050761</x:v>
      </x:c>
      <x:c r="Q487" s="103" t="n">
        <x:f>I487*'Inputs &amp; Guide'!$B$8</x:f>
        <x:v>0.4580822208254862</x:v>
      </x:c>
      <x:c r="R487" s="104" t="n">
        <x:f>IFERROR(P487/Q487,0)</x:f>
        <x:v>13.042332552748597</x:v>
      </x:c>
      <x:c r="S487" s="105" t="n">
        <x:f>ROUND(E487*XLOOKUP(C487,'Reference Tables'!$E$4:$E$12,'Reference Tables'!$G$4:$G$12,1),1)</x:f>
        <x:v>6.2</x:v>
      </x:c>
      <x:c r="T487" s="106" t="str">
        <x:f>IF(R487&gt;='Inputs &amp; Guide'!$B$9,"HIGH",IF(R487&gt;=0.45,"WATCH","NORMAL"))</x:f>
        <x:v>HIGH</x:v>
      </x:c>
    </x:row>
    <x:row r="488">
      <x:c r="A488" s="95" t="n">
        <x:v>3873</x:v>
      </x:c>
      <x:c r="B488" s="96" t="n">
        <x:v>45453.104166666664</x:v>
      </x:c>
      <x:c r="C488" s="97" t="str">
        <x:v>Earthquake</x:v>
      </x:c>
      <x:c r="D488" s="97" t="str">
        <x:v>China</x:v>
      </x:c>
      <x:c r="E488" s="98" t="n">
        <x:v>5.206338589315185</x:v>
      </x:c>
      <x:c r="F488" s="99" t="n">
        <x:v>546.5031075682477</x:v>
      </x:c>
      <x:c r="G488" s="100" t="str">
        <x:f>XLOOKUP(D488,'Reference Tables'!$A$4:$A$23,'Reference Tables'!$B$4:$B$23,"Other")</x:f>
        <x:v>Asia Pacific</x:v>
      </x:c>
      <x:c r="H488" s="100" t="str">
        <x:f>VLOOKUP(G488,'Reference Tables'!$I$4:$J$9,2,FALSE)</x:f>
        <x:v>High</x:v>
      </x:c>
      <x:c r="I488" s="101" t="n">
        <x:f>F488*'Inputs &amp; Guide'!$B$4*XLOOKUP(D488,'Reference Tables'!$A$4:$A$23,'Reference Tables'!$C$4:$C$23,0.75)</x:f>
        <x:v>94.43573698779322</x:v>
      </x:c>
      <x:c r="J488" s="102" t="n">
        <x:f>XLOOKUP(C488,'Reference Tables'!$E$4:$E$12,'Reference Tables'!$F$4:$F$12,0.05)</x:f>
        <x:v>0.14</x:v>
      </x:c>
      <x:c r="K488" s="103" t="n">
        <x:f>MIN(I488,F488*J488)</x:f>
        <x:v>76.5104350595547</x:v>
      </x:c>
      <x:c r="L488" s="103" t="n">
        <x:f>'Inputs &amp; Guide'!$B$5</x:f>
        <x:v>15</x:v>
      </x:c>
      <x:c r="M488" s="103" t="n">
        <x:f>I488*'Inputs &amp; Guide'!$B$6</x:f>
        <x:v>51.939655343286276</x:v>
      </x:c>
      <x:c r="N488" s="103" t="n">
        <x:f>MAX(0,MIN(K488-L488,M488))</x:f>
        <x:v>51.939655343286276</x:v>
      </x:c>
      <x:c r="O488" s="103" t="n">
        <x:f>MAX(0,N488-'Inputs &amp; Guide'!$B$7)</x:f>
        <x:v>0</x:v>
      </x:c>
      <x:c r="P488" s="103" t="n">
        <x:f>N488-O488</x:f>
        <x:v>51.939655343286276</x:v>
      </x:c>
      <x:c r="Q488" s="103" t="n">
        <x:f>I488*'Inputs &amp; Guide'!$B$8</x:f>
        <x:v>1.6998432657802778</x:v>
      </x:c>
      <x:c r="R488" s="104" t="n">
        <x:f>IFERROR(P488/Q488,0)</x:f>
        <x:v>30.55555555555556</x:v>
      </x:c>
      <x:c r="S488" s="105" t="n">
        <x:f>ROUND(E488*XLOOKUP(C488,'Reference Tables'!$E$4:$E$12,'Reference Tables'!$G$4:$G$12,1),1)</x:f>
        <x:v>7.8</x:v>
      </x:c>
      <x:c r="T488" s="106" t="str">
        <x:f>IF(R488&gt;='Inputs &amp; Guide'!$B$9,"HIGH",IF(R488&gt;=0.45,"WATCH","NORMAL"))</x:f>
        <x:v>HIGH</x:v>
      </x:c>
    </x:row>
    <x:row r="489">
      <x:c r="A489" s="95" t="n">
        <x:v>3881</x:v>
      </x:c>
      <x:c r="B489" s="96" t="n">
        <x:v>45453.4375</x:v>
      </x:c>
      <x:c r="C489" s="97" t="str">
        <x:v>Flood</x:v>
      </x:c>
      <x:c r="D489" s="97" t="str">
        <x:v>Japan</x:v>
      </x:c>
      <x:c r="E489" s="98" t="n">
        <x:v>7.135295717969331</x:v>
      </x:c>
      <x:c r="F489" s="99" t="n">
        <x:v>678.2505363445116</x:v>
      </x:c>
      <x:c r="G489" s="100" t="str">
        <x:f>XLOOKUP(D489,'Reference Tables'!$A$4:$A$23,'Reference Tables'!$B$4:$B$23,"Other")</x:f>
        <x:v>Asia Pacific</x:v>
      </x:c>
      <x:c r="H489" s="100" t="str">
        <x:f>VLOOKUP(G489,'Reference Tables'!$I$4:$J$9,2,FALSE)</x:f>
        <x:v>High</x:v>
      </x:c>
      <x:c r="I489" s="101" t="n">
        <x:f>F489*'Inputs &amp; Guide'!$B$4*XLOOKUP(D489,'Reference Tables'!$A$4:$A$23,'Reference Tables'!$C$4:$C$23,0.75)</x:f>
        <x:v>128.0537012618438</x:v>
      </x:c>
      <x:c r="J489" s="102" t="n">
        <x:f>XLOOKUP(C489,'Reference Tables'!$E$4:$E$12,'Reference Tables'!$F$4:$F$12,0.05)</x:f>
        <x:v>0.12</x:v>
      </x:c>
      <x:c r="K489" s="103" t="n">
        <x:f>MIN(I489,F489*J489)</x:f>
        <x:v>81.39006436134139</x:v>
      </x:c>
      <x:c r="L489" s="103" t="n">
        <x:f>'Inputs &amp; Guide'!$B$5</x:f>
        <x:v>15</x:v>
      </x:c>
      <x:c r="M489" s="103" t="n">
        <x:f>I489*'Inputs &amp; Guide'!$B$6</x:f>
        <x:v>70.42953569401409</x:v>
      </x:c>
      <x:c r="N489" s="103" t="n">
        <x:f>MAX(0,MIN(K489-L489,M489))</x:f>
        <x:v>66.39006436134139</x:v>
      </x:c>
      <x:c r="O489" s="103" t="n">
        <x:f>MAX(0,N489-'Inputs &amp; Guide'!$B$7)</x:f>
        <x:v>6.390064361341388</x:v>
      </x:c>
      <x:c r="P489" s="103" t="n">
        <x:f>N489-O489</x:f>
        <x:v>60</x:v>
      </x:c>
      <x:c r="Q489" s="103" t="n">
        <x:f>I489*'Inputs &amp; Guide'!$B$8</x:f>
        <x:v>2.3049666227131884</x:v>
      </x:c>
      <x:c r="R489" s="104" t="n">
        <x:f>IFERROR(P489/Q489,0)</x:f>
        <x:v>26.03074569877011</x:v>
      </x:c>
      <x:c r="S489" s="105" t="n">
        <x:f>ROUND(E489*XLOOKUP(C489,'Reference Tables'!$E$4:$E$12,'Reference Tables'!$G$4:$G$12,1),1)</x:f>
        <x:v>8.9</x:v>
      </x:c>
      <x:c r="T489" s="106" t="str">
        <x:f>IF(R489&gt;='Inputs &amp; Guide'!$B$9,"HIGH",IF(R489&gt;=0.45,"WATCH","NORMAL"))</x:f>
        <x:v>HIGH</x:v>
      </x:c>
    </x:row>
    <x:row r="490">
      <x:c r="A490" s="95" t="n">
        <x:v>3889</x:v>
      </x:c>
      <x:c r="B490" s="96" t="n">
        <x:v>45454</x:v>
      </x:c>
      <x:c r="C490" s="97" t="str">
        <x:v>Hurricane</x:v>
      </x:c>
      <x:c r="D490" s="97" t="str">
        <x:v>India</x:v>
      </x:c>
      <x:c r="E490" s="98" t="n">
        <x:v>3.7241922098803717</x:v>
      </x:c>
      <x:c r="F490" s="99" t="n">
        <x:v>118.01012876739514</x:v>
      </x:c>
      <x:c r="G490" s="100" t="str">
        <x:f>XLOOKUP(D490,'Reference Tables'!$A$4:$A$23,'Reference Tables'!$B$4:$B$23,"Other")</x:f>
        <x:v>Asia Pacific</x:v>
      </x:c>
      <x:c r="H490" s="100" t="str">
        <x:f>VLOOKUP(G490,'Reference Tables'!$I$4:$J$9,2,FALSE)</x:f>
        <x:v>High</x:v>
      </x:c>
      <x:c r="I490" s="101" t="n">
        <x:f>F490*'Inputs &amp; Guide'!$B$4*XLOOKUP(D490,'Reference Tables'!$A$4:$A$23,'Reference Tables'!$C$4:$C$23,0.75)</x:f>
        <x:v>17.182274748532734</x:v>
      </x:c>
      <x:c r="J490" s="102" t="n">
        <x:f>XLOOKUP(C490,'Reference Tables'!$E$4:$E$12,'Reference Tables'!$F$4:$F$12,0.05)</x:f>
        <x:v>0.18</x:v>
      </x:c>
      <x:c r="K490" s="103" t="n">
        <x:f>MIN(I490,F490*J490)</x:f>
        <x:v>17.182274748532734</x:v>
      </x:c>
      <x:c r="L490" s="103" t="n">
        <x:f>'Inputs &amp; Guide'!$B$5</x:f>
        <x:v>15</x:v>
      </x:c>
      <x:c r="M490" s="103" t="n">
        <x:f>I490*'Inputs &amp; Guide'!$B$6</x:f>
        <x:v>9.450251111693005</x:v>
      </x:c>
      <x:c r="N490" s="103" t="n">
        <x:f>MAX(0,MIN(K490-L490,M490))</x:f>
        <x:v>2.182274748532734</x:v>
      </x:c>
      <x:c r="O490" s="103" t="n">
        <x:f>MAX(0,N490-'Inputs &amp; Guide'!$B$7)</x:f>
        <x:v>0</x:v>
      </x:c>
      <x:c r="P490" s="103" t="n">
        <x:f>N490-O490</x:f>
        <x:v>2.182274748532734</x:v>
      </x:c>
      <x:c r="Q490" s="103" t="n">
        <x:f>I490*'Inputs &amp; Guide'!$B$8</x:f>
        <x:v>0.3092809454735892</x:v>
      </x:c>
      <x:c r="R490" s="104" t="n">
        <x:f>IFERROR(P490/Q490,0)</x:f>
        <x:v>7.05596248482462</x:v>
      </x:c>
      <x:c r="S490" s="105" t="n">
        <x:f>ROUND(E490*XLOOKUP(C490,'Reference Tables'!$E$4:$E$12,'Reference Tables'!$G$4:$G$12,1),1)</x:f>
        <x:v>5.2</x:v>
      </x:c>
      <x:c r="T490" s="106" t="str">
        <x:f>IF(R490&gt;='Inputs &amp; Guide'!$B$9,"HIGH",IF(R490&gt;=0.45,"WATCH","NORMAL"))</x:f>
        <x:v>HIGH</x:v>
      </x:c>
    </x:row>
    <x:row r="491">
      <x:c r="A491" s="95" t="n">
        <x:v>3897</x:v>
      </x:c>
      <x:c r="B491" s="96" t="n">
        <x:v>45454.104166666664</x:v>
      </x:c>
      <x:c r="C491" s="97" t="str">
        <x:v>Earthquake</x:v>
      </x:c>
      <x:c r="D491" s="97" t="str">
        <x:v>Indonesia</x:v>
      </x:c>
      <x:c r="E491" s="98" t="n">
        <x:v>2.9069122813726804</x:v>
      </x:c>
      <x:c r="F491" s="99" t="n">
        <x:v>465.7140372319468</x:v>
      </x:c>
      <x:c r="G491" s="100" t="str">
        <x:f>XLOOKUP(D491,'Reference Tables'!$A$4:$A$23,'Reference Tables'!$B$4:$B$23,"Other")</x:f>
        <x:v>Asia Pacific</x:v>
      </x:c>
      <x:c r="H491" s="100" t="str">
        <x:f>VLOOKUP(G491,'Reference Tables'!$I$4:$J$9,2,FALSE)</x:f>
        <x:v>High</x:v>
      </x:c>
      <x:c r="I491" s="101" t="n">
        <x:f>F491*'Inputs &amp; Guide'!$B$4*XLOOKUP(D491,'Reference Tables'!$A$4:$A$23,'Reference Tables'!$C$4:$C$23,0.75)</x:f>
        <x:v>76.74967333582482</x:v>
      </x:c>
      <x:c r="J491" s="102" t="n">
        <x:f>XLOOKUP(C491,'Reference Tables'!$E$4:$E$12,'Reference Tables'!$F$4:$F$12,0.05)</x:f>
        <x:v>0.14</x:v>
      </x:c>
      <x:c r="K491" s="103" t="n">
        <x:f>MIN(I491,F491*J491)</x:f>
        <x:v>65.19996521247256</x:v>
      </x:c>
      <x:c r="L491" s="103" t="n">
        <x:f>'Inputs &amp; Guide'!$B$5</x:f>
        <x:v>15</x:v>
      </x:c>
      <x:c r="M491" s="103" t="n">
        <x:f>I491*'Inputs &amp; Guide'!$B$6</x:f>
        <x:v>42.212320334703655</x:v>
      </x:c>
      <x:c r="N491" s="103" t="n">
        <x:f>MAX(0,MIN(K491-L491,M491))</x:f>
        <x:v>42.212320334703655</x:v>
      </x:c>
      <x:c r="O491" s="103" t="n">
        <x:f>MAX(0,N491-'Inputs &amp; Guide'!$B$7)</x:f>
        <x:v>0</x:v>
      </x:c>
      <x:c r="P491" s="103" t="n">
        <x:f>N491-O491</x:f>
        <x:v>42.212320334703655</x:v>
      </x:c>
      <x:c r="Q491" s="103" t="n">
        <x:f>I491*'Inputs &amp; Guide'!$B$8</x:f>
        <x:v>1.3814941200448467</x:v>
      </x:c>
      <x:c r="R491" s="104" t="n">
        <x:f>IFERROR(P491/Q491,0)</x:f>
        <x:v>30.55555555555556</x:v>
      </x:c>
      <x:c r="S491" s="105" t="n">
        <x:f>ROUND(E491*XLOOKUP(C491,'Reference Tables'!$E$4:$E$12,'Reference Tables'!$G$4:$G$12,1),1)</x:f>
        <x:v>4.4</x:v>
      </x:c>
      <x:c r="T491" s="106" t="str">
        <x:f>IF(R491&gt;='Inputs &amp; Guide'!$B$9,"HIGH",IF(R491&gt;=0.45,"WATCH","NORMAL"))</x:f>
        <x:v>HIGH</x:v>
      </x:c>
    </x:row>
    <x:row r="492">
      <x:c r="A492" s="95" t="n">
        <x:v>3905</x:v>
      </x:c>
      <x:c r="B492" s="96" t="n">
        <x:v>45454.4375</x:v>
      </x:c>
      <x:c r="C492" s="97" t="str">
        <x:v>Tornado</x:v>
      </x:c>
      <x:c r="D492" s="97" t="str">
        <x:v>USA</x:v>
      </x:c>
      <x:c r="E492" s="98" t="n">
        <x:v>5.821636131976106</x:v>
      </x:c>
      <x:c r="F492" s="99" t="n">
        <x:v>263.2656592060353</x:v>
      </x:c>
      <x:c r="G492" s="100" t="str">
        <x:f>XLOOKUP(D492,'Reference Tables'!$A$4:$A$23,'Reference Tables'!$B$4:$B$23,"Other")</x:f>
        <x:v>Other</x:v>
      </x:c>
      <x:c r="H492" s="100" t="str">
        <x:f>VLOOKUP(G492,'Reference Tables'!$I$4:$J$9,2,FALSE)</x:f>
        <x:v>Moderate</x:v>
      </x:c>
      <x:c r="I492" s="101" t="n">
        <x:f>F492*'Inputs &amp; Guide'!$B$4*XLOOKUP(D492,'Reference Tables'!$A$4:$A$23,'Reference Tables'!$C$4:$C$23,0.75)</x:f>
        <x:v>31.591879104724235</x:v>
      </x:c>
      <x:c r="J492" s="102" t="n">
        <x:f>XLOOKUP(C492,'Reference Tables'!$E$4:$E$12,'Reference Tables'!$F$4:$F$12,0.05)</x:f>
        <x:v>0.09</x:v>
      </x:c>
      <x:c r="K492" s="103" t="n">
        <x:f>MIN(I492,F492*J492)</x:f>
        <x:v>23.693909328543178</x:v>
      </x:c>
      <x:c r="L492" s="103" t="n">
        <x:f>'Inputs &amp; Guide'!$B$5</x:f>
        <x:v>15</x:v>
      </x:c>
      <x:c r="M492" s="103" t="n">
        <x:f>I492*'Inputs &amp; Guide'!$B$6</x:f>
        <x:v>17.37553350759833</x:v>
      </x:c>
      <x:c r="N492" s="103" t="n">
        <x:f>MAX(0,MIN(K492-L492,M492))</x:f>
        <x:v>8.693909328543178</x:v>
      </x:c>
      <x:c r="O492" s="103" t="n">
        <x:f>MAX(0,N492-'Inputs &amp; Guide'!$B$7)</x:f>
        <x:v>0</x:v>
      </x:c>
      <x:c r="P492" s="103" t="n">
        <x:f>N492-O492</x:f>
        <x:v>8.693909328543178</x:v>
      </x:c>
      <x:c r="Q492" s="103" t="n">
        <x:f>I492*'Inputs &amp; Guide'!$B$8</x:f>
        <x:v>0.5686538238850362</x:v>
      </x:c>
      <x:c r="R492" s="104" t="n">
        <x:f>IFERROR(P492/Q492,0)</x:f>
        <x:v>15.288579735816235</x:v>
      </x:c>
      <x:c r="S492" s="105" t="n">
        <x:f>ROUND(E492*XLOOKUP(C492,'Reference Tables'!$E$4:$E$12,'Reference Tables'!$G$4:$G$12,1),1)</x:f>
        <x:v>6.1</x:v>
      </x:c>
      <x:c r="T492" s="106" t="str">
        <x:f>IF(R492&gt;='Inputs &amp; Guide'!$B$9,"HIGH",IF(R492&gt;=0.45,"WATCH","NORMAL"))</x:f>
        <x:v>HIGH</x:v>
      </x:c>
    </x:row>
    <x:row r="493">
      <x:c r="A493" s="95" t="n">
        <x:v>3913</x:v>
      </x:c>
      <x:c r="B493" s="96" t="n">
        <x:v>45455</x:v>
      </x:c>
      <x:c r="C493" s="97" t="str">
        <x:v>Tornado</x:v>
      </x:c>
      <x:c r="D493" s="97" t="str">
        <x:v>Brazil</x:v>
      </x:c>
      <x:c r="E493" s="98" t="n">
        <x:v>1.288318241235761</x:v>
      </x:c>
      <x:c r="F493" s="99" t="n">
        <x:v>692.1830562403909</x:v>
      </x:c>
      <x:c r="G493" s="100" t="str">
        <x:f>XLOOKUP(D493,'Reference Tables'!$A$4:$A$23,'Reference Tables'!$B$4:$B$23,"Other")</x:f>
        <x:v>Latin America</x:v>
      </x:c>
      <x:c r="H493" s="100" t="str">
        <x:f>VLOOKUP(G493,'Reference Tables'!$I$4:$J$9,2,FALSE)</x:f>
        <x:v>Moderate</x:v>
      </x:c>
      <x:c r="I493" s="101" t="n">
        <x:f>F493*'Inputs &amp; Guide'!$B$4*XLOOKUP(D493,'Reference Tables'!$A$4:$A$23,'Reference Tables'!$C$4:$C$23,0.75)</x:f>
        <x:v>90.81441697873929</x:v>
      </x:c>
      <x:c r="J493" s="102" t="n">
        <x:f>XLOOKUP(C493,'Reference Tables'!$E$4:$E$12,'Reference Tables'!$F$4:$F$12,0.05)</x:f>
        <x:v>0.09</x:v>
      </x:c>
      <x:c r="K493" s="103" t="n">
        <x:f>MIN(I493,F493*J493)</x:f>
        <x:v>62.29647506163518</x:v>
      </x:c>
      <x:c r="L493" s="103" t="n">
        <x:f>'Inputs &amp; Guide'!$B$5</x:f>
        <x:v>15</x:v>
      </x:c>
      <x:c r="M493" s="103" t="n">
        <x:f>I493*'Inputs &amp; Guide'!$B$6</x:f>
        <x:v>49.947929338306615</x:v>
      </x:c>
      <x:c r="N493" s="103" t="n">
        <x:f>MAX(0,MIN(K493-L493,M493))</x:f>
        <x:v>47.29647506163518</x:v>
      </x:c>
      <x:c r="O493" s="103" t="n">
        <x:f>MAX(0,N493-'Inputs &amp; Guide'!$B$7)</x:f>
        <x:v>0</x:v>
      </x:c>
      <x:c r="P493" s="103" t="n">
        <x:f>N493-O493</x:f>
        <x:v>47.29647506163518</x:v>
      </x:c>
      <x:c r="Q493" s="103" t="n">
        <x:f>I493*'Inputs &amp; Guide'!$B$8</x:f>
        <x:v>1.634659505617307</x:v>
      </x:c>
      <x:c r="R493" s="104" t="n">
        <x:f>IFERROR(P493/Q493,0)</x:f>
        <x:v>28.933533190922414</x:v>
      </x:c>
      <x:c r="S493" s="105" t="n">
        <x:f>ROUND(E493*XLOOKUP(C493,'Reference Tables'!$E$4:$E$12,'Reference Tables'!$G$4:$G$12,1),1)</x:f>
        <x:v>1.4</x:v>
      </x:c>
      <x:c r="T493" s="106" t="str">
        <x:f>IF(R493&gt;='Inputs &amp; Guide'!$B$9,"HIGH",IF(R493&gt;=0.45,"WATCH","NORMAL"))</x:f>
        <x:v>HIGH</x:v>
      </x:c>
    </x:row>
    <x:row r="494">
      <x:c r="A494" s="95" t="n">
        <x:v>3921</x:v>
      </x:c>
      <x:c r="B494" s="96" t="n">
        <x:v>45455.104166666664</x:v>
      </x:c>
      <x:c r="C494" s="97" t="str">
        <x:v>Flood</x:v>
      </x:c>
      <x:c r="D494" s="97" t="str">
        <x:v>Japan</x:v>
      </x:c>
      <x:c r="E494" s="98" t="n">
        <x:v>9.815038739335218</x:v>
      </x:c>
      <x:c r="F494" s="99" t="n">
        <x:v>814.4580585928525</x:v>
      </x:c>
      <x:c r="G494" s="100" t="str">
        <x:f>XLOOKUP(D494,'Reference Tables'!$A$4:$A$23,'Reference Tables'!$B$4:$B$23,"Other")</x:f>
        <x:v>Asia Pacific</x:v>
      </x:c>
      <x:c r="H494" s="100" t="str">
        <x:f>VLOOKUP(G494,'Reference Tables'!$I$4:$J$9,2,FALSE)</x:f>
        <x:v>High</x:v>
      </x:c>
      <x:c r="I494" s="101" t="n">
        <x:f>F494*'Inputs &amp; Guide'!$B$4*XLOOKUP(D494,'Reference Tables'!$A$4:$A$23,'Reference Tables'!$C$4:$C$23,0.75)</x:f>
        <x:v>153.76968146233054</x:v>
      </x:c>
      <x:c r="J494" s="102" t="n">
        <x:f>XLOOKUP(C494,'Reference Tables'!$E$4:$E$12,'Reference Tables'!$F$4:$F$12,0.05)</x:f>
        <x:v>0.12</x:v>
      </x:c>
      <x:c r="K494" s="103" t="n">
        <x:f>MIN(I494,F494*J494)</x:f>
        <x:v>97.73496703114229</x:v>
      </x:c>
      <x:c r="L494" s="103" t="n">
        <x:f>'Inputs &amp; Guide'!$B$5</x:f>
        <x:v>15</x:v>
      </x:c>
      <x:c r="M494" s="103" t="n">
        <x:f>I494*'Inputs &amp; Guide'!$B$6</x:f>
        <x:v>84.5733248042818</x:v>
      </x:c>
      <x:c r="N494" s="103" t="n">
        <x:f>MAX(0,MIN(K494-L494,M494))</x:f>
        <x:v>82.73496703114229</x:v>
      </x:c>
      <x:c r="O494" s="103" t="n">
        <x:f>MAX(0,N494-'Inputs &amp; Guide'!$B$7)</x:f>
        <x:v>22.73496703114229</x:v>
      </x:c>
      <x:c r="P494" s="103" t="n">
        <x:f>N494-O494</x:f>
        <x:v>60</x:v>
      </x:c>
      <x:c r="Q494" s="103" t="n">
        <x:f>I494*'Inputs &amp; Guide'!$B$8</x:f>
        <x:v>2.7678542663219496</x:v>
      </x:c>
      <x:c r="R494" s="104" t="n">
        <x:f>IFERROR(P494/Q494,0)</x:f>
        <x:v>21.677441883430777</x:v>
      </x:c>
      <x:c r="S494" s="105" t="n">
        <x:f>ROUND(E494*XLOOKUP(C494,'Reference Tables'!$E$4:$E$12,'Reference Tables'!$G$4:$G$12,1),1)</x:f>
        <x:v>12.3</x:v>
      </x:c>
      <x:c r="T494" s="106" t="str">
        <x:f>IF(R494&gt;='Inputs &amp; Guide'!$B$9,"HIGH",IF(R494&gt;=0.45,"WATCH","NORMAL"))</x:f>
        <x:v>HIGH</x:v>
      </x:c>
    </x:row>
    <x:row r="495">
      <x:c r="A495" s="95" t="n">
        <x:v>3929</x:v>
      </x:c>
      <x:c r="B495" s="96" t="n">
        <x:v>45455.4375</x:v>
      </x:c>
      <x:c r="C495" s="97" t="str">
        <x:v>Tornado</x:v>
      </x:c>
      <x:c r="D495" s="97" t="str">
        <x:v>China</x:v>
      </x:c>
      <x:c r="E495" s="98" t="n">
        <x:v>6.624515689311597</x:v>
      </x:c>
      <x:c r="F495" s="99" t="n">
        <x:v>749.8230161811656</x:v>
      </x:c>
      <x:c r="G495" s="100" t="str">
        <x:f>XLOOKUP(D495,'Reference Tables'!$A$4:$A$23,'Reference Tables'!$B$4:$B$23,"Other")</x:f>
        <x:v>Asia Pacific</x:v>
      </x:c>
      <x:c r="H495" s="100" t="str">
        <x:f>VLOOKUP(G495,'Reference Tables'!$I$4:$J$9,2,FALSE)</x:f>
        <x:v>High</x:v>
      </x:c>
      <x:c r="I495" s="101" t="n">
        <x:f>F495*'Inputs &amp; Guide'!$B$4*XLOOKUP(D495,'Reference Tables'!$A$4:$A$23,'Reference Tables'!$C$4:$C$23,0.75)</x:f>
        <x:v>129.56941719610543</x:v>
      </x:c>
      <x:c r="J495" s="102" t="n">
        <x:f>XLOOKUP(C495,'Reference Tables'!$E$4:$E$12,'Reference Tables'!$F$4:$F$12,0.05)</x:f>
        <x:v>0.09</x:v>
      </x:c>
      <x:c r="K495" s="103" t="n">
        <x:f>MIN(I495,F495*J495)</x:f>
        <x:v>67.4840714563049</x:v>
      </x:c>
      <x:c r="L495" s="103" t="n">
        <x:f>'Inputs &amp; Guide'!$B$5</x:f>
        <x:v>15</x:v>
      </x:c>
      <x:c r="M495" s="103" t="n">
        <x:f>I495*'Inputs &amp; Guide'!$B$6</x:f>
        <x:v>71.263179457858</x:v>
      </x:c>
      <x:c r="N495" s="103" t="n">
        <x:f>MAX(0,MIN(K495-L495,M495))</x:f>
        <x:v>52.4840714563049</x:v>
      </x:c>
      <x:c r="O495" s="103" t="n">
        <x:f>MAX(0,N495-'Inputs &amp; Guide'!$B$7)</x:f>
        <x:v>0</x:v>
      </x:c>
      <x:c r="P495" s="103" t="n">
        <x:f>N495-O495</x:f>
        <x:v>52.4840714563049</x:v>
      </x:c>
      <x:c r="Q495" s="103" t="n">
        <x:f>I495*'Inputs &amp; Guide'!$B$8</x:f>
        <x:v>2.332249509529898</x:v>
      </x:c>
      <x:c r="R495" s="104" t="n">
        <x:f>IFERROR(P495/Q495,0)</x:f>
        <x:v>22.503626323790677</x:v>
      </x:c>
      <x:c r="S495" s="105" t="n">
        <x:f>ROUND(E495*XLOOKUP(C495,'Reference Tables'!$E$4:$E$12,'Reference Tables'!$G$4:$G$12,1),1)</x:f>
        <x:v>7</x:v>
      </x:c>
      <x:c r="T495" s="106" t="str">
        <x:f>IF(R495&gt;='Inputs &amp; Guide'!$B$9,"HIGH",IF(R495&gt;=0.45,"WATCH","NORMAL"))</x:f>
        <x:v>HIGH</x:v>
      </x:c>
    </x:row>
    <x:row r="496">
      <x:c r="A496" s="95" t="n">
        <x:v>3937</x:v>
      </x:c>
      <x:c r="B496" s="96" t="n">
        <x:v>45456</x:v>
      </x:c>
      <x:c r="C496" s="97" t="str">
        <x:v>Tornado</x:v>
      </x:c>
      <x:c r="D496" s="97" t="str">
        <x:v>Japan</x:v>
      </x:c>
      <x:c r="E496" s="98" t="n">
        <x:v>2.602112787251006</x:v>
      </x:c>
      <x:c r="F496" s="99" t="n">
        <x:v>50.58684583099322</x:v>
      </x:c>
      <x:c r="G496" s="100" t="str">
        <x:f>XLOOKUP(D496,'Reference Tables'!$A$4:$A$23,'Reference Tables'!$B$4:$B$23,"Other")</x:f>
        <x:v>Asia Pacific</x:v>
      </x:c>
      <x:c r="H496" s="100" t="str">
        <x:f>VLOOKUP(G496,'Reference Tables'!$I$4:$J$9,2,FALSE)</x:f>
        <x:v>High</x:v>
      </x:c>
      <x:c r="I496" s="101" t="n">
        <x:f>F496*'Inputs &amp; Guide'!$B$4*XLOOKUP(D496,'Reference Tables'!$A$4:$A$23,'Reference Tables'!$C$4:$C$23,0.75)</x:f>
        <x:v>9.55079649289152</x:v>
      </x:c>
      <x:c r="J496" s="102" t="n">
        <x:f>XLOOKUP(C496,'Reference Tables'!$E$4:$E$12,'Reference Tables'!$F$4:$F$12,0.05)</x:f>
        <x:v>0.09</x:v>
      </x:c>
      <x:c r="K496" s="103" t="n">
        <x:f>MIN(I496,F496*J496)</x:f>
        <x:v>4.5528161247893895</x:v>
      </x:c>
      <x:c r="L496" s="103" t="n">
        <x:f>'Inputs &amp; Guide'!$B$5</x:f>
        <x:v>15</x:v>
      </x:c>
      <x:c r="M496" s="103" t="n">
        <x:f>I496*'Inputs &amp; Guide'!$B$6</x:f>
        <x:v>5.252938071090337</x:v>
      </x:c>
      <x:c r="N496" s="103" t="n">
        <x:f>MAX(0,MIN(K496-L496,M496))</x:f>
        <x:v>0</x:v>
      </x:c>
      <x:c r="O496" s="103" t="n">
        <x:f>MAX(0,N496-'Inputs &amp; Guide'!$B$7)</x:f>
        <x:v>0</x:v>
      </x:c>
      <x:c r="P496" s="103" t="n">
        <x:f>N496-O496</x:f>
        <x:v>0</x:v>
      </x:c>
      <x:c r="Q496" s="103" t="n">
        <x:f>I496*'Inputs &amp; Guide'!$B$8</x:f>
        <x:v>0.17191433687204735</x:v>
      </x:c>
      <x:c r="R496" s="104" t="n">
        <x:f>IFERROR(P496/Q496,0)</x:f>
        <x:v>0</x:v>
      </x:c>
      <x:c r="S496" s="105" t="n">
        <x:f>ROUND(E496*XLOOKUP(C496,'Reference Tables'!$E$4:$E$12,'Reference Tables'!$G$4:$G$12,1),1)</x:f>
        <x:v>2.7</x:v>
      </x:c>
      <x:c r="T496" s="106" t="str">
        <x:f>IF(R496&gt;='Inputs &amp; Guide'!$B$9,"HIGH",IF(R496&gt;=0.45,"WATCH","NORMAL"))</x:f>
        <x:v>NORMAL</x:v>
      </x:c>
    </x:row>
    <x:row r="497">
      <x:c r="A497" s="95" t="n">
        <x:v>3945</x:v>
      </x:c>
      <x:c r="B497" s="96" t="n">
        <x:v>45456.104166666664</x:v>
      </x:c>
      <x:c r="C497" s="97" t="str">
        <x:v>Wildfire</x:v>
      </x:c>
      <x:c r="D497" s="97" t="str">
        <x:v>USA</x:v>
      </x:c>
      <x:c r="E497" s="98" t="n">
        <x:v>9.846509550829598</x:v>
      </x:c>
      <x:c r="F497" s="99" t="n">
        <x:v>793.2568808914446</x:v>
      </x:c>
      <x:c r="G497" s="100" t="str">
        <x:f>XLOOKUP(D497,'Reference Tables'!$A$4:$A$23,'Reference Tables'!$B$4:$B$23,"Other")</x:f>
        <x:v>Other</x:v>
      </x:c>
      <x:c r="H497" s="100" t="str">
        <x:f>VLOOKUP(G497,'Reference Tables'!$I$4:$J$9,2,FALSE)</x:f>
        <x:v>Moderate</x:v>
      </x:c>
      <x:c r="I497" s="101" t="n">
        <x:f>F497*'Inputs &amp; Guide'!$B$4*XLOOKUP(D497,'Reference Tables'!$A$4:$A$23,'Reference Tables'!$C$4:$C$23,0.75)</x:f>
        <x:v>95.19082570697334</x:v>
      </x:c>
      <x:c r="J497" s="102" t="n">
        <x:f>XLOOKUP(C497,'Reference Tables'!$E$4:$E$12,'Reference Tables'!$F$4:$F$12,0.05)</x:f>
        <x:v>0.1</x:v>
      </x:c>
      <x:c r="K497" s="103" t="n">
        <x:f>MIN(I497,F497*J497)</x:f>
        <x:v>79.32568808914446</x:v>
      </x:c>
      <x:c r="L497" s="103" t="n">
        <x:f>'Inputs &amp; Guide'!$B$5</x:f>
        <x:v>15</x:v>
      </x:c>
      <x:c r="M497" s="103" t="n">
        <x:f>I497*'Inputs &amp; Guide'!$B$6</x:f>
        <x:v>52.35495413883534</x:v>
      </x:c>
      <x:c r="N497" s="103" t="n">
        <x:f>MAX(0,MIN(K497-L497,M497))</x:f>
        <x:v>52.35495413883534</x:v>
      </x:c>
      <x:c r="O497" s="103" t="n">
        <x:f>MAX(0,N497-'Inputs &amp; Guide'!$B$7)</x:f>
        <x:v>0</x:v>
      </x:c>
      <x:c r="P497" s="103" t="n">
        <x:f>N497-O497</x:f>
        <x:v>52.35495413883534</x:v>
      </x:c>
      <x:c r="Q497" s="103" t="n">
        <x:f>I497*'Inputs &amp; Guide'!$B$8</x:f>
        <x:v>1.71343486272552</x:v>
      </x:c>
      <x:c r="R497" s="104" t="n">
        <x:f>IFERROR(P497/Q497,0)</x:f>
        <x:v>30.555555555555557</x:v>
      </x:c>
      <x:c r="S497" s="105" t="n">
        <x:f>ROUND(E497*XLOOKUP(C497,'Reference Tables'!$E$4:$E$12,'Reference Tables'!$G$4:$G$12,1),1)</x:f>
        <x:v>11.3</x:v>
      </x:c>
      <x:c r="T497" s="106" t="str">
        <x:f>IF(R497&gt;='Inputs &amp; Guide'!$B$9,"HIGH",IF(R497&gt;=0.45,"WATCH","NORMAL"))</x:f>
        <x:v>HIGH</x:v>
      </x:c>
    </x:row>
    <x:row r="498">
      <x:c r="A498" s="95" t="n">
        <x:v>3953</x:v>
      </x:c>
      <x:c r="B498" s="96" t="n">
        <x:v>45456.4375</x:v>
      </x:c>
      <x:c r="C498" s="97" t="str">
        <x:v>Hurricane</x:v>
      </x:c>
      <x:c r="D498" s="97" t="str">
        <x:v>Brazil</x:v>
      </x:c>
      <x:c r="E498" s="98" t="n">
        <x:v>5.319047300159998</x:v>
      </x:c>
      <x:c r="F498" s="99" t="n">
        <x:v>511.6167410902505</x:v>
      </x:c>
      <x:c r="G498" s="100" t="str">
        <x:f>XLOOKUP(D498,'Reference Tables'!$A$4:$A$23,'Reference Tables'!$B$4:$B$23,"Other")</x:f>
        <x:v>Latin America</x:v>
      </x:c>
      <x:c r="H498" s="100" t="str">
        <x:f>VLOOKUP(G498,'Reference Tables'!$I$4:$J$9,2,FALSE)</x:f>
        <x:v>Moderate</x:v>
      </x:c>
      <x:c r="I498" s="101" t="n">
        <x:f>F498*'Inputs &amp; Guide'!$B$4*XLOOKUP(D498,'Reference Tables'!$A$4:$A$23,'Reference Tables'!$C$4:$C$23,0.75)</x:f>
        <x:v>67.12411643104086</x:v>
      </x:c>
      <x:c r="J498" s="102" t="n">
        <x:f>XLOOKUP(C498,'Reference Tables'!$E$4:$E$12,'Reference Tables'!$F$4:$F$12,0.05)</x:f>
        <x:v>0.18</x:v>
      </x:c>
      <x:c r="K498" s="103" t="n">
        <x:f>MIN(I498,F498*J498)</x:f>
        <x:v>67.12411643104086</x:v>
      </x:c>
      <x:c r="L498" s="103" t="n">
        <x:f>'Inputs &amp; Guide'!$B$5</x:f>
        <x:v>15</x:v>
      </x:c>
      <x:c r="M498" s="103" t="n">
        <x:f>I498*'Inputs &amp; Guide'!$B$6</x:f>
        <x:v>36.918264037072476</x:v>
      </x:c>
      <x:c r="N498" s="103" t="n">
        <x:f>MAX(0,MIN(K498-L498,M498))</x:f>
        <x:v>36.918264037072476</x:v>
      </x:c>
      <x:c r="O498" s="103" t="n">
        <x:f>MAX(0,N498-'Inputs &amp; Guide'!$B$7)</x:f>
        <x:v>0</x:v>
      </x:c>
      <x:c r="P498" s="103" t="n">
        <x:f>N498-O498</x:f>
        <x:v>36.918264037072476</x:v>
      </x:c>
      <x:c r="Q498" s="103" t="n">
        <x:f>I498*'Inputs &amp; Guide'!$B$8</x:f>
        <x:v>1.2082340957587354</x:v>
      </x:c>
      <x:c r="R498" s="104" t="n">
        <x:f>IFERROR(P498/Q498,0)</x:f>
        <x:v>30.55555555555556</x:v>
      </x:c>
      <x:c r="S498" s="105" t="n">
        <x:f>ROUND(E498*XLOOKUP(C498,'Reference Tables'!$E$4:$E$12,'Reference Tables'!$G$4:$G$12,1),1)</x:f>
        <x:v>7.4</x:v>
      </x:c>
      <x:c r="T498" s="106" t="str">
        <x:f>IF(R498&gt;='Inputs &amp; Guide'!$B$9,"HIGH",IF(R498&gt;=0.45,"WATCH","NORMAL"))</x:f>
        <x:v>HIGH</x:v>
      </x:c>
    </x:row>
    <x:row r="499">
      <x:c r="A499" s="95" t="n">
        <x:v>3961</x:v>
      </x:c>
      <x:c r="B499" s="96" t="n">
        <x:v>45457</x:v>
      </x:c>
      <x:c r="C499" s="97" t="str">
        <x:v>Tornado</x:v>
      </x:c>
      <x:c r="D499" s="97" t="str">
        <x:v>China</x:v>
      </x:c>
      <x:c r="E499" s="98" t="n">
        <x:v>2.2982643558238838</x:v>
      </x:c>
      <x:c r="F499" s="99" t="n">
        <x:v>31.555142489144803</x:v>
      </x:c>
      <x:c r="G499" s="100" t="str">
        <x:f>XLOOKUP(D499,'Reference Tables'!$A$4:$A$23,'Reference Tables'!$B$4:$B$23,"Other")</x:f>
        <x:v>Asia Pacific</x:v>
      </x:c>
      <x:c r="H499" s="100" t="str">
        <x:f>VLOOKUP(G499,'Reference Tables'!$I$4:$J$9,2,FALSE)</x:f>
        <x:v>High</x:v>
      </x:c>
      <x:c r="I499" s="101" t="n">
        <x:f>F499*'Inputs &amp; Guide'!$B$4*XLOOKUP(D499,'Reference Tables'!$A$4:$A$23,'Reference Tables'!$C$4:$C$23,0.75)</x:f>
        <x:v>5.452728622124223</x:v>
      </x:c>
      <x:c r="J499" s="102" t="n">
        <x:f>XLOOKUP(C499,'Reference Tables'!$E$4:$E$12,'Reference Tables'!$F$4:$F$12,0.05)</x:f>
        <x:v>0.09</x:v>
      </x:c>
      <x:c r="K499" s="103" t="n">
        <x:f>MIN(I499,F499*J499)</x:f>
        <x:v>2.8399628240230324</x:v>
      </x:c>
      <x:c r="L499" s="103" t="n">
        <x:f>'Inputs &amp; Guide'!$B$5</x:f>
        <x:v>15</x:v>
      </x:c>
      <x:c r="M499" s="103" t="n">
        <x:f>I499*'Inputs &amp; Guide'!$B$6</x:f>
        <x:v>2.999000742168323</x:v>
      </x:c>
      <x:c r="N499" s="103" t="n">
        <x:f>MAX(0,MIN(K499-L499,M499))</x:f>
        <x:v>0</x:v>
      </x:c>
      <x:c r="O499" s="103" t="n">
        <x:f>MAX(0,N499-'Inputs &amp; Guide'!$B$7)</x:f>
        <x:v>0</x:v>
      </x:c>
      <x:c r="P499" s="103" t="n">
        <x:f>N499-O499</x:f>
        <x:v>0</x:v>
      </x:c>
      <x:c r="Q499" s="103" t="n">
        <x:f>I499*'Inputs &amp; Guide'!$B$8</x:f>
        <x:v>0.098149115198236</x:v>
      </x:c>
      <x:c r="R499" s="104" t="n">
        <x:f>IFERROR(P499/Q499,0)</x:f>
        <x:v>0</x:v>
      </x:c>
      <x:c r="S499" s="105" t="n">
        <x:f>ROUND(E499*XLOOKUP(C499,'Reference Tables'!$E$4:$E$12,'Reference Tables'!$G$4:$G$12,1),1)</x:f>
        <x:v>2.4</x:v>
      </x:c>
      <x:c r="T499" s="106" t="str">
        <x:f>IF(R499&gt;='Inputs &amp; Guide'!$B$9,"HIGH",IF(R499&gt;=0.45,"WATCH","NORMAL"))</x:f>
        <x:v>NORMAL</x:v>
      </x:c>
    </x:row>
    <x:row r="500">
      <x:c r="A500" s="95" t="n">
        <x:v>3969</x:v>
      </x:c>
      <x:c r="B500" s="96" t="n">
        <x:v>45457.104166666664</x:v>
      </x:c>
      <x:c r="C500" s="97" t="str">
        <x:v>Tornado</x:v>
      </x:c>
      <x:c r="D500" s="97" t="str">
        <x:v>Japan</x:v>
      </x:c>
      <x:c r="E500" s="98" t="n">
        <x:v>4.664225189899506</x:v>
      </x:c>
      <x:c r="F500" s="99" t="n">
        <x:v>311.47381558619463</x:v>
      </x:c>
      <x:c r="G500" s="100" t="str">
        <x:f>XLOOKUP(D500,'Reference Tables'!$A$4:$A$23,'Reference Tables'!$B$4:$B$23,"Other")</x:f>
        <x:v>Asia Pacific</x:v>
      </x:c>
      <x:c r="H500" s="100" t="str">
        <x:f>VLOOKUP(G500,'Reference Tables'!$I$4:$J$9,2,FALSE)</x:f>
        <x:v>High</x:v>
      </x:c>
      <x:c r="I500" s="101" t="n">
        <x:f>F500*'Inputs &amp; Guide'!$B$4*XLOOKUP(D500,'Reference Tables'!$A$4:$A$23,'Reference Tables'!$C$4:$C$23,0.75)</x:f>
        <x:v>58.806256382673546</x:v>
      </x:c>
      <x:c r="J500" s="102" t="n">
        <x:f>XLOOKUP(C500,'Reference Tables'!$E$4:$E$12,'Reference Tables'!$F$4:$F$12,0.05)</x:f>
        <x:v>0.09</x:v>
      </x:c>
      <x:c r="K500" s="103" t="n">
        <x:f>MIN(I500,F500*J500)</x:f>
        <x:v>28.032643402757515</x:v>
      </x:c>
      <x:c r="L500" s="103" t="n">
        <x:f>'Inputs &amp; Guide'!$B$5</x:f>
        <x:v>15</x:v>
      </x:c>
      <x:c r="M500" s="103" t="n">
        <x:f>I500*'Inputs &amp; Guide'!$B$6</x:f>
        <x:v>32.34344101047045</x:v>
      </x:c>
      <x:c r="N500" s="103" t="n">
        <x:f>MAX(0,MIN(K500-L500,M500))</x:f>
        <x:v>13.032643402757515</x:v>
      </x:c>
      <x:c r="O500" s="103" t="n">
        <x:f>MAX(0,N500-'Inputs &amp; Guide'!$B$7)</x:f>
        <x:v>0</x:v>
      </x:c>
      <x:c r="P500" s="103" t="n">
        <x:f>N500-O500</x:f>
        <x:v>13.032643402757515</x:v>
      </x:c>
      <x:c r="Q500" s="103" t="n">
        <x:f>I500*'Inputs &amp; Guide'!$B$8</x:f>
        <x:v>1.0585126148881236</x:v>
      </x:c>
      <x:c r="R500" s="104" t="n">
        <x:f>IFERROR(P500/Q500,0)</x:f>
        <x:v>12.312223037733906</x:v>
      </x:c>
      <x:c r="S500" s="105" t="n">
        <x:f>ROUND(E500*XLOOKUP(C500,'Reference Tables'!$E$4:$E$12,'Reference Tables'!$G$4:$G$12,1),1)</x:f>
        <x:v>4.9</x:v>
      </x:c>
      <x:c r="T500" s="106" t="str">
        <x:f>IF(R500&gt;='Inputs &amp; Guide'!$B$9,"HIGH",IF(R500&gt;=0.45,"WATCH","NORMAL"))</x:f>
        <x:v>HIGH</x:v>
      </x:c>
    </x:row>
    <x:row r="501">
      <x:c r="A501" s="95" t="n">
        <x:v>3977</x:v>
      </x:c>
      <x:c r="B501" s="96" t="n">
        <x:v>45457.4375</x:v>
      </x:c>
      <x:c r="C501" s="97" t="str">
        <x:v>Tornado</x:v>
      </x:c>
      <x:c r="D501" s="97" t="str">
        <x:v>Japan</x:v>
      </x:c>
      <x:c r="E501" s="98" t="n">
        <x:v>8.429896432968274</x:v>
      </x:c>
      <x:c r="F501" s="99" t="n">
        <x:v>665.2374446473965</x:v>
      </x:c>
      <x:c r="G501" s="100" t="str">
        <x:f>XLOOKUP(D501,'Reference Tables'!$A$4:$A$23,'Reference Tables'!$B$4:$B$23,"Other")</x:f>
        <x:v>Asia Pacific</x:v>
      </x:c>
      <x:c r="H501" s="100" t="str">
        <x:f>VLOOKUP(G501,'Reference Tables'!$I$4:$J$9,2,FALSE)</x:f>
        <x:v>High</x:v>
      </x:c>
      <x:c r="I501" s="101" t="n">
        <x:f>F501*'Inputs &amp; Guide'!$B$4*XLOOKUP(D501,'Reference Tables'!$A$4:$A$23,'Reference Tables'!$C$4:$C$23,0.75)</x:f>
        <x:v>125.59682954942846</x:v>
      </x:c>
      <x:c r="J501" s="102" t="n">
        <x:f>XLOOKUP(C501,'Reference Tables'!$E$4:$E$12,'Reference Tables'!$F$4:$F$12,0.05)</x:f>
        <x:v>0.09</x:v>
      </x:c>
      <x:c r="K501" s="103" t="n">
        <x:f>MIN(I501,F501*J501)</x:f>
        <x:v>59.87137001826568</x:v>
      </x:c>
      <x:c r="L501" s="103" t="n">
        <x:f>'Inputs &amp; Guide'!$B$5</x:f>
        <x:v>15</x:v>
      </x:c>
      <x:c r="M501" s="103" t="n">
        <x:f>I501*'Inputs &amp; Guide'!$B$6</x:f>
        <x:v>69.07825625218565</x:v>
      </x:c>
      <x:c r="N501" s="103" t="n">
        <x:f>MAX(0,MIN(K501-L501,M501))</x:f>
        <x:v>44.87137001826568</x:v>
      </x:c>
      <x:c r="O501" s="103" t="n">
        <x:f>MAX(0,N501-'Inputs &amp; Guide'!$B$7)</x:f>
        <x:v>0</x:v>
      </x:c>
      <x:c r="P501" s="103" t="n">
        <x:f>N501-O501</x:f>
        <x:v>44.87137001826568</x:v>
      </x:c>
      <x:c r="Q501" s="103" t="n">
        <x:f>I501*'Inputs &amp; Guide'!$B$8</x:f>
        <x:v>2.260742931889712</x:v>
      </x:c>
      <x:c r="R501" s="104" t="n">
        <x:f>IFERROR(P501/Q501,0)</x:f>
        <x:v>19.848063831281582</x:v>
      </x:c>
      <x:c r="S501" s="105" t="n">
        <x:f>ROUND(E501*XLOOKUP(C501,'Reference Tables'!$E$4:$E$12,'Reference Tables'!$G$4:$G$12,1),1)</x:f>
        <x:v>8.9</x:v>
      </x:c>
      <x:c r="T501" s="106" t="str">
        <x:f>IF(R501&gt;='Inputs &amp; Guide'!$B$9,"HIGH",IF(R501&gt;=0.45,"WATCH","NORMAL"))</x:f>
        <x:v>HIGH</x:v>
      </x:c>
    </x:row>
    <x:row r="502">
      <x:c r="A502" s="95" t="n">
        <x:v>3985</x:v>
      </x:c>
      <x:c r="B502" s="96" t="n">
        <x:v>45458</x:v>
      </x:c>
      <x:c r="C502" s="97" t="str">
        <x:v>Earthquake</x:v>
      </x:c>
      <x:c r="D502" s="97" t="str">
        <x:v>Brazil</x:v>
      </x:c>
      <x:c r="E502" s="98" t="n">
        <x:v>9.652636579841365</x:v>
      </x:c>
      <x:c r="F502" s="99" t="n">
        <x:v>579.489841040823</x:v>
      </x:c>
      <x:c r="G502" s="100" t="str">
        <x:f>XLOOKUP(D502,'Reference Tables'!$A$4:$A$23,'Reference Tables'!$B$4:$B$23,"Other")</x:f>
        <x:v>Latin America</x:v>
      </x:c>
      <x:c r="H502" s="100" t="str">
        <x:f>VLOOKUP(G502,'Reference Tables'!$I$4:$J$9,2,FALSE)</x:f>
        <x:v>Moderate</x:v>
      </x:c>
      <x:c r="I502" s="101" t="n">
        <x:f>F502*'Inputs &amp; Guide'!$B$4*XLOOKUP(D502,'Reference Tables'!$A$4:$A$23,'Reference Tables'!$C$4:$C$23,0.75)</x:f>
        <x:v>76.02906714455597</x:v>
      </x:c>
      <x:c r="J502" s="102" t="n">
        <x:f>XLOOKUP(C502,'Reference Tables'!$E$4:$E$12,'Reference Tables'!$F$4:$F$12,0.05)</x:f>
        <x:v>0.14</x:v>
      </x:c>
      <x:c r="K502" s="103" t="n">
        <x:f>MIN(I502,F502*J502)</x:f>
        <x:v>76.02906714455597</x:v>
      </x:c>
      <x:c r="L502" s="103" t="n">
        <x:f>'Inputs &amp; Guide'!$B$5</x:f>
        <x:v>15</x:v>
      </x:c>
      <x:c r="M502" s="103" t="n">
        <x:f>I502*'Inputs &amp; Guide'!$B$6</x:f>
        <x:v>41.81598692950578</x:v>
      </x:c>
      <x:c r="N502" s="103" t="n">
        <x:f>MAX(0,MIN(K502-L502,M502))</x:f>
        <x:v>41.81598692950578</x:v>
      </x:c>
      <x:c r="O502" s="103" t="n">
        <x:f>MAX(0,N502-'Inputs &amp; Guide'!$B$7)</x:f>
        <x:v>0</x:v>
      </x:c>
      <x:c r="P502" s="103" t="n">
        <x:f>N502-O502</x:f>
        <x:v>41.81598692950578</x:v>
      </x:c>
      <x:c r="Q502" s="103" t="n">
        <x:f>I502*'Inputs &amp; Guide'!$B$8</x:f>
        <x:v>1.3685232086020074</x:v>
      </x:c>
      <x:c r="R502" s="104" t="n">
        <x:f>IFERROR(P502/Q502,0)</x:f>
        <x:v>30.555555555555557</x:v>
      </x:c>
      <x:c r="S502" s="105" t="n">
        <x:f>ROUND(E502*XLOOKUP(C502,'Reference Tables'!$E$4:$E$12,'Reference Tables'!$G$4:$G$12,1),1)</x:f>
        <x:v>14.5</x:v>
      </x:c>
      <x:c r="T502" s="106" t="str">
        <x:f>IF(R502&gt;='Inputs &amp; Guide'!$B$9,"HIGH",IF(R502&gt;=0.45,"WATCH","NORMAL"))</x:f>
        <x:v>HIGH</x:v>
      </x:c>
    </x:row>
    <x:row r="503">
      <x:c r="A503" s="95" t="n">
        <x:v>3993</x:v>
      </x:c>
      <x:c r="B503" s="96" t="n">
        <x:v>45458.104166666664</x:v>
      </x:c>
      <x:c r="C503" s="97" t="str">
        <x:v>Hurricane</x:v>
      </x:c>
      <x:c r="D503" s="97" t="str">
        <x:v>USA</x:v>
      </x:c>
      <x:c r="E503" s="98" t="n">
        <x:v>9.54803545951168</x:v>
      </x:c>
      <x:c r="F503" s="99" t="n">
        <x:v>494.7559608763748</x:v>
      </x:c>
      <x:c r="G503" s="100" t="str">
        <x:f>XLOOKUP(D503,'Reference Tables'!$A$4:$A$23,'Reference Tables'!$B$4:$B$23,"Other")</x:f>
        <x:v>Other</x:v>
      </x:c>
      <x:c r="H503" s="100" t="str">
        <x:f>VLOOKUP(G503,'Reference Tables'!$I$4:$J$9,2,FALSE)</x:f>
        <x:v>Moderate</x:v>
      </x:c>
      <x:c r="I503" s="101" t="n">
        <x:f>F503*'Inputs &amp; Guide'!$B$4*XLOOKUP(D503,'Reference Tables'!$A$4:$A$23,'Reference Tables'!$C$4:$C$23,0.75)</x:f>
        <x:v>59.37071530516498</x:v>
      </x:c>
      <x:c r="J503" s="102" t="n">
        <x:f>XLOOKUP(C503,'Reference Tables'!$E$4:$E$12,'Reference Tables'!$F$4:$F$12,0.05)</x:f>
        <x:v>0.18</x:v>
      </x:c>
      <x:c r="K503" s="103" t="n">
        <x:f>MIN(I503,F503*J503)</x:f>
        <x:v>59.37071530516498</x:v>
      </x:c>
      <x:c r="L503" s="103" t="n">
        <x:f>'Inputs &amp; Guide'!$B$5</x:f>
        <x:v>15</x:v>
      </x:c>
      <x:c r="M503" s="103" t="n">
        <x:f>I503*'Inputs &amp; Guide'!$B$6</x:f>
        <x:v>32.65389341784074</x:v>
      </x:c>
      <x:c r="N503" s="103" t="n">
        <x:f>MAX(0,MIN(K503-L503,M503))</x:f>
        <x:v>32.65389341784074</x:v>
      </x:c>
      <x:c r="O503" s="103" t="n">
        <x:f>MAX(0,N503-'Inputs &amp; Guide'!$B$7)</x:f>
        <x:v>0</x:v>
      </x:c>
      <x:c r="P503" s="103" t="n">
        <x:f>N503-O503</x:f>
        <x:v>32.65389341784074</x:v>
      </x:c>
      <x:c r="Q503" s="103" t="n">
        <x:f>I503*'Inputs &amp; Guide'!$B$8</x:f>
        <x:v>1.0686728754929695</x:v>
      </x:c>
      <x:c r="R503" s="104" t="n">
        <x:f>IFERROR(P503/Q503,0)</x:f>
        <x:v>30.55555555555556</x:v>
      </x:c>
      <x:c r="S503" s="105" t="n">
        <x:f>ROUND(E503*XLOOKUP(C503,'Reference Tables'!$E$4:$E$12,'Reference Tables'!$G$4:$G$12,1),1)</x:f>
        <x:v>13.4</x:v>
      </x:c>
      <x:c r="T503" s="106" t="str">
        <x:f>IF(R503&gt;='Inputs &amp; Guide'!$B$9,"HIGH",IF(R503&gt;=0.45,"WATCH","NORMAL"))</x:f>
        <x:v>HIGH</x:v>
      </x:c>
    </x:row>
    <x:row r="504">
      <x:c r="A504" s="95" t="n">
        <x:v>4001</x:v>
      </x:c>
      <x:c r="B504" s="96" t="n">
        <x:v>45458.4375</x:v>
      </x:c>
      <x:c r="C504" s="97" t="str">
        <x:v>Flood</x:v>
      </x:c>
      <x:c r="D504" s="97" t="str">
        <x:v>Indonesia</x:v>
      </x:c>
      <x:c r="E504" s="98" t="n">
        <x:v>1.387848672361363</x:v>
      </x:c>
      <x:c r="F504" s="99" t="n">
        <x:v>900.3151013528317</x:v>
      </x:c>
      <x:c r="G504" s="100" t="str">
        <x:f>XLOOKUP(D504,'Reference Tables'!$A$4:$A$23,'Reference Tables'!$B$4:$B$23,"Other")</x:f>
        <x:v>Asia Pacific</x:v>
      </x:c>
      <x:c r="H504" s="100" t="str">
        <x:f>VLOOKUP(G504,'Reference Tables'!$I$4:$J$9,2,FALSE)</x:f>
        <x:v>High</x:v>
      </x:c>
      <x:c r="I504" s="101" t="n">
        <x:f>F504*'Inputs &amp; Guide'!$B$4*XLOOKUP(D504,'Reference Tables'!$A$4:$A$23,'Reference Tables'!$C$4:$C$23,0.75)</x:f>
        <x:v>148.37192870294666</x:v>
      </x:c>
      <x:c r="J504" s="102" t="n">
        <x:f>XLOOKUP(C504,'Reference Tables'!$E$4:$E$12,'Reference Tables'!$F$4:$F$12,0.05)</x:f>
        <x:v>0.12</x:v>
      </x:c>
      <x:c r="K504" s="103" t="n">
        <x:f>MIN(I504,F504*J504)</x:f>
        <x:v>108.03781216233979</x:v>
      </x:c>
      <x:c r="L504" s="103" t="n">
        <x:f>'Inputs &amp; Guide'!$B$5</x:f>
        <x:v>15</x:v>
      </x:c>
      <x:c r="M504" s="103" t="n">
        <x:f>I504*'Inputs &amp; Guide'!$B$6</x:f>
        <x:v>81.60456078662067</x:v>
      </x:c>
      <x:c r="N504" s="103" t="n">
        <x:f>MAX(0,MIN(K504-L504,M504))</x:f>
        <x:v>81.60456078662067</x:v>
      </x:c>
      <x:c r="O504" s="103" t="n">
        <x:f>MAX(0,N504-'Inputs &amp; Guide'!$B$7)</x:f>
        <x:v>21.604560786620667</x:v>
      </x:c>
      <x:c r="P504" s="103" t="n">
        <x:f>N504-O504</x:f>
        <x:v>60</x:v>
      </x:c>
      <x:c r="Q504" s="103" t="n">
        <x:f>I504*'Inputs &amp; Guide'!$B$8</x:f>
        <x:v>2.6706947166530397</x:v>
      </x:c>
      <x:c r="R504" s="104" t="n">
        <x:f>IFERROR(P504/Q504,0)</x:f>
        <x:v>22.466064588315444</x:v>
      </x:c>
      <x:c r="S504" s="105" t="n">
        <x:f>ROUND(E504*XLOOKUP(C504,'Reference Tables'!$E$4:$E$12,'Reference Tables'!$G$4:$G$12,1),1)</x:f>
        <x:v>1.7</x:v>
      </x:c>
      <x:c r="T504" s="106" t="str">
        <x:f>IF(R504&gt;='Inputs &amp; Guide'!$B$9,"HIGH",IF(R504&gt;=0.45,"WATCH","NORMAL"))</x:f>
        <x:v>HIGH</x:v>
      </x:c>
    </x:row>
    <x:row r="505">
      <x:c r="A505" s="95" t="n">
        <x:v>4009</x:v>
      </x:c>
      <x:c r="B505" s="96" t="n">
        <x:v>45459</x:v>
      </x:c>
      <x:c r="C505" s="97" t="str">
        <x:v>Flood</x:v>
      </x:c>
      <x:c r="D505" s="97" t="str">
        <x:v>Japan</x:v>
      </x:c>
      <x:c r="E505" s="98" t="n">
        <x:v>6.502134117044271</x:v>
      </x:c>
      <x:c r="F505" s="99" t="n">
        <x:v>77.13061181824928</x:v>
      </x:c>
      <x:c r="G505" s="100" t="str">
        <x:f>XLOOKUP(D505,'Reference Tables'!$A$4:$A$23,'Reference Tables'!$B$4:$B$23,"Other")</x:f>
        <x:v>Asia Pacific</x:v>
      </x:c>
      <x:c r="H505" s="100" t="str">
        <x:f>VLOOKUP(G505,'Reference Tables'!$I$4:$J$9,2,FALSE)</x:f>
        <x:v>High</x:v>
      </x:c>
      <x:c r="I505" s="101" t="n">
        <x:f>F505*'Inputs &amp; Guide'!$B$4*XLOOKUP(D505,'Reference Tables'!$A$4:$A$23,'Reference Tables'!$C$4:$C$23,0.75)</x:f>
        <x:v>14.562259511285465</x:v>
      </x:c>
      <x:c r="J505" s="102" t="n">
        <x:f>XLOOKUP(C505,'Reference Tables'!$E$4:$E$12,'Reference Tables'!$F$4:$F$12,0.05)</x:f>
        <x:v>0.12</x:v>
      </x:c>
      <x:c r="K505" s="103" t="n">
        <x:f>MIN(I505,F505*J505)</x:f>
        <x:v>9.255673418189913</x:v>
      </x:c>
      <x:c r="L505" s="103" t="n">
        <x:f>'Inputs &amp; Guide'!$B$5</x:f>
        <x:v>15</x:v>
      </x:c>
      <x:c r="M505" s="103" t="n">
        <x:f>I505*'Inputs &amp; Guide'!$B$6</x:f>
        <x:v>8.009242731207006</x:v>
      </x:c>
      <x:c r="N505" s="103" t="n">
        <x:f>MAX(0,MIN(K505-L505,M505))</x:f>
        <x:v>0</x:v>
      </x:c>
      <x:c r="O505" s="103" t="n">
        <x:f>MAX(0,N505-'Inputs &amp; Guide'!$B$7)</x:f>
        <x:v>0</x:v>
      </x:c>
      <x:c r="P505" s="103" t="n">
        <x:f>N505-O505</x:f>
        <x:v>0</x:v>
      </x:c>
      <x:c r="Q505" s="103" t="n">
        <x:f>I505*'Inputs &amp; Guide'!$B$8</x:f>
        <x:v>0.26212067120313837</x:v>
      </x:c>
      <x:c r="R505" s="104" t="n">
        <x:f>IFERROR(P505/Q505,0)</x:f>
        <x:v>0</x:v>
      </x:c>
      <x:c r="S505" s="105" t="n">
        <x:f>ROUND(E505*XLOOKUP(C505,'Reference Tables'!$E$4:$E$12,'Reference Tables'!$G$4:$G$12,1),1)</x:f>
        <x:v>8.1</x:v>
      </x:c>
      <x:c r="T505" s="106" t="str">
        <x:f>IF(R505&gt;='Inputs &amp; Guide'!$B$9,"HIGH",IF(R505&gt;=0.45,"WATCH","NORMAL"))</x:f>
        <x:v>NORMAL</x:v>
      </x:c>
    </x:row>
    <x:row r="506">
      <x:c r="A506" s="95" t="n">
        <x:v>4017</x:v>
      </x:c>
      <x:c r="B506" s="96" t="n">
        <x:v>45459.104166666664</x:v>
      </x:c>
      <x:c r="C506" s="97" t="str">
        <x:v>Tornado</x:v>
      </x:c>
      <x:c r="D506" s="97" t="str">
        <x:v>Indonesia</x:v>
      </x:c>
      <x:c r="E506" s="98" t="n">
        <x:v>4.279721253632275</x:v>
      </x:c>
      <x:c r="F506" s="99" t="n">
        <x:v>641.5826099845661</x:v>
      </x:c>
      <x:c r="G506" s="100" t="str">
        <x:f>XLOOKUP(D506,'Reference Tables'!$A$4:$A$23,'Reference Tables'!$B$4:$B$23,"Other")</x:f>
        <x:v>Asia Pacific</x:v>
      </x:c>
      <x:c r="H506" s="100" t="str">
        <x:f>VLOOKUP(G506,'Reference Tables'!$I$4:$J$9,2,FALSE)</x:f>
        <x:v>High</x:v>
      </x:c>
      <x:c r="I506" s="101" t="n">
        <x:f>F506*'Inputs &amp; Guide'!$B$4*XLOOKUP(D506,'Reference Tables'!$A$4:$A$23,'Reference Tables'!$C$4:$C$23,0.75)</x:f>
        <x:v>105.7328141254565</x:v>
      </x:c>
      <x:c r="J506" s="102" t="n">
        <x:f>XLOOKUP(C506,'Reference Tables'!$E$4:$E$12,'Reference Tables'!$F$4:$F$12,0.05)</x:f>
        <x:v>0.09</x:v>
      </x:c>
      <x:c r="K506" s="103" t="n">
        <x:f>MIN(I506,F506*J506)</x:f>
        <x:v>57.74243489861095</x:v>
      </x:c>
      <x:c r="L506" s="103" t="n">
        <x:f>'Inputs &amp; Guide'!$B$5</x:f>
        <x:v>15</x:v>
      </x:c>
      <x:c r="M506" s="103" t="n">
        <x:f>I506*'Inputs &amp; Guide'!$B$6</x:f>
        <x:v>58.15304776900108</x:v>
      </x:c>
      <x:c r="N506" s="103" t="n">
        <x:f>MAX(0,MIN(K506-L506,M506))</x:f>
        <x:v>42.74243489861095</x:v>
      </x:c>
      <x:c r="O506" s="103" t="n">
        <x:f>MAX(0,N506-'Inputs &amp; Guide'!$B$7)</x:f>
        <x:v>0</x:v>
      </x:c>
      <x:c r="P506" s="103" t="n">
        <x:f>N506-O506</x:f>
        <x:v>42.74243489861095</x:v>
      </x:c>
      <x:c r="Q506" s="103" t="n">
        <x:f>I506*'Inputs &amp; Guide'!$B$8</x:f>
        <x:v>1.9031906542582169</x:v>
      </x:c>
      <x:c r="R506" s="104" t="n">
        <x:f>IFERROR(P506/Q506,0)</x:f>
        <x:v>22.458304323310237</x:v>
      </x:c>
      <x:c r="S506" s="105" t="n">
        <x:f>ROUND(E506*XLOOKUP(C506,'Reference Tables'!$E$4:$E$12,'Reference Tables'!$G$4:$G$12,1),1)</x:f>
        <x:v>4.5</x:v>
      </x:c>
      <x:c r="T506" s="106" t="str">
        <x:f>IF(R506&gt;='Inputs &amp; Guide'!$B$9,"HIGH",IF(R506&gt;=0.45,"WATCH","NORMAL"))</x:f>
        <x:v>HIGH</x:v>
      </x:c>
    </x:row>
    <x:row r="507">
      <x:c r="A507" s="95" t="n">
        <x:v>4025</x:v>
      </x:c>
      <x:c r="B507" s="96" t="n">
        <x:v>45459.4375</x:v>
      </x:c>
      <x:c r="C507" s="97" t="str">
        <x:v>Earthquake</x:v>
      </x:c>
      <x:c r="D507" s="97" t="str">
        <x:v>Brazil</x:v>
      </x:c>
      <x:c r="E507" s="98" t="n">
        <x:v>7.469941081624288</x:v>
      </x:c>
      <x:c r="F507" s="99" t="n">
        <x:v>238.30323026410457</x:v>
      </x:c>
      <x:c r="G507" s="100" t="str">
        <x:f>XLOOKUP(D507,'Reference Tables'!$A$4:$A$23,'Reference Tables'!$B$4:$B$23,"Other")</x:f>
        <x:v>Latin America</x:v>
      </x:c>
      <x:c r="H507" s="100" t="str">
        <x:f>VLOOKUP(G507,'Reference Tables'!$I$4:$J$9,2,FALSE)</x:f>
        <x:v>Moderate</x:v>
      </x:c>
      <x:c r="I507" s="101" t="n">
        <x:f>F507*'Inputs &amp; Guide'!$B$4*XLOOKUP(D507,'Reference Tables'!$A$4:$A$23,'Reference Tables'!$C$4:$C$23,0.75)</x:f>
        <x:v>31.265383810650516</x:v>
      </x:c>
      <x:c r="J507" s="102" t="n">
        <x:f>XLOOKUP(C507,'Reference Tables'!$E$4:$E$12,'Reference Tables'!$F$4:$F$12,0.05)</x:f>
        <x:v>0.14</x:v>
      </x:c>
      <x:c r="K507" s="103" t="n">
        <x:f>MIN(I507,F507*J507)</x:f>
        <x:v>31.265383810650516</x:v>
      </x:c>
      <x:c r="L507" s="103" t="n">
        <x:f>'Inputs &amp; Guide'!$B$5</x:f>
        <x:v>15</x:v>
      </x:c>
      <x:c r="M507" s="103" t="n">
        <x:f>I507*'Inputs &amp; Guide'!$B$6</x:f>
        <x:v>17.195961095857786</x:v>
      </x:c>
      <x:c r="N507" s="103" t="n">
        <x:f>MAX(0,MIN(K507-L507,M507))</x:f>
        <x:v>16.265383810650516</x:v>
      </x:c>
      <x:c r="O507" s="103" t="n">
        <x:f>MAX(0,N507-'Inputs &amp; Guide'!$B$7)</x:f>
        <x:v>0</x:v>
      </x:c>
      <x:c r="P507" s="103" t="n">
        <x:f>N507-O507</x:f>
        <x:v>16.265383810650516</x:v>
      </x:c>
      <x:c r="Q507" s="103" t="n">
        <x:f>I507*'Inputs &amp; Guide'!$B$8</x:f>
        <x:v>0.5627769085917093</x:v>
      </x:c>
      <x:c r="R507" s="104" t="n">
        <x:f>IFERROR(P507/Q507,0)</x:f>
        <x:v>28.902009948050193</x:v>
      </x:c>
      <x:c r="S507" s="105" t="n">
        <x:f>ROUND(E507*XLOOKUP(C507,'Reference Tables'!$E$4:$E$12,'Reference Tables'!$G$4:$G$12,1),1)</x:f>
        <x:v>11.2</x:v>
      </x:c>
      <x:c r="T507" s="106" t="str">
        <x:f>IF(R507&gt;='Inputs &amp; Guide'!$B$9,"HIGH",IF(R507&gt;=0.45,"WATCH","NORMAL"))</x:f>
        <x:v>HIGH</x:v>
      </x:c>
    </x:row>
    <x:row r="508">
      <x:c r="A508" s="95" t="n">
        <x:v>4033</x:v>
      </x:c>
      <x:c r="B508" s="96" t="n">
        <x:v>45460</x:v>
      </x:c>
      <x:c r="C508" s="97" t="str">
        <x:v>Earthquake</x:v>
      </x:c>
      <x:c r="D508" s="97" t="str">
        <x:v>Indonesia</x:v>
      </x:c>
      <x:c r="E508" s="98" t="n">
        <x:v>6.242708644630888</x:v>
      </x:c>
      <x:c r="F508" s="99" t="n">
        <x:v>114.57563192275224</x:v>
      </x:c>
      <x:c r="G508" s="100" t="str">
        <x:f>XLOOKUP(D508,'Reference Tables'!$A$4:$A$23,'Reference Tables'!$B$4:$B$23,"Other")</x:f>
        <x:v>Asia Pacific</x:v>
      </x:c>
      <x:c r="H508" s="100" t="str">
        <x:f>VLOOKUP(G508,'Reference Tables'!$I$4:$J$9,2,FALSE)</x:f>
        <x:v>High</x:v>
      </x:c>
      <x:c r="I508" s="101" t="n">
        <x:f>F508*'Inputs &amp; Guide'!$B$4*XLOOKUP(D508,'Reference Tables'!$A$4:$A$23,'Reference Tables'!$C$4:$C$23,0.75)</x:f>
        <x:v>18.88206414086957</x:v>
      </x:c>
      <x:c r="J508" s="102" t="n">
        <x:f>XLOOKUP(C508,'Reference Tables'!$E$4:$E$12,'Reference Tables'!$F$4:$F$12,0.05)</x:f>
        <x:v>0.14</x:v>
      </x:c>
      <x:c r="K508" s="103" t="n">
        <x:f>MIN(I508,F508*J508)</x:f>
        <x:v>16.040588469185316</x:v>
      </x:c>
      <x:c r="L508" s="103" t="n">
        <x:f>'Inputs &amp; Guide'!$B$5</x:f>
        <x:v>15</x:v>
      </x:c>
      <x:c r="M508" s="103" t="n">
        <x:f>I508*'Inputs &amp; Guide'!$B$6</x:f>
        <x:v>10.385135277478264</x:v>
      </x:c>
      <x:c r="N508" s="103" t="n">
        <x:f>MAX(0,MIN(K508-L508,M508))</x:f>
        <x:v>1.040588469185316</x:v>
      </x:c>
      <x:c r="O508" s="103" t="n">
        <x:f>MAX(0,N508-'Inputs &amp; Guide'!$B$7)</x:f>
        <x:v>0</x:v>
      </x:c>
      <x:c r="P508" s="103" t="n">
        <x:f>N508-O508</x:f>
        <x:v>1.040588469185316</x:v>
      </x:c>
      <x:c r="Q508" s="103" t="n">
        <x:f>I508*'Inputs &amp; Guide'!$B$8</x:f>
        <x:v>0.33987715453565226</x:v>
      </x:c>
      <x:c r="R508" s="104" t="n">
        <x:f>IFERROR(P508/Q508,0)</x:f>
        <x:v>3.0616605302789215</x:v>
      </x:c>
      <x:c r="S508" s="105" t="n">
        <x:f>ROUND(E508*XLOOKUP(C508,'Reference Tables'!$E$4:$E$12,'Reference Tables'!$G$4:$G$12,1),1)</x:f>
        <x:v>9.4</x:v>
      </x:c>
      <x:c r="T508" s="106" t="str">
        <x:f>IF(R508&gt;='Inputs &amp; Guide'!$B$9,"HIGH",IF(R508&gt;=0.45,"WATCH","NORMAL"))</x:f>
        <x:v>HIGH</x:v>
      </x:c>
    </x:row>
    <x:row r="509">
      <x:c r="A509" s="95" t="n">
        <x:v>4041</x:v>
      </x:c>
      <x:c r="B509" s="96" t="n">
        <x:v>45460.104166666664</x:v>
      </x:c>
      <x:c r="C509" s="97" t="str">
        <x:v>Flood</x:v>
      </x:c>
      <x:c r="D509" s="97" t="str">
        <x:v>India</x:v>
      </x:c>
      <x:c r="E509" s="98" t="n">
        <x:v>9.168934308983998</x:v>
      </x:c>
      <x:c r="F509" s="99" t="n">
        <x:v>502.17939895012285</x:v>
      </x:c>
      <x:c r="G509" s="100" t="str">
        <x:f>XLOOKUP(D509,'Reference Tables'!$A$4:$A$23,'Reference Tables'!$B$4:$B$23,"Other")</x:f>
        <x:v>Asia Pacific</x:v>
      </x:c>
      <x:c r="H509" s="100" t="str">
        <x:f>VLOOKUP(G509,'Reference Tables'!$I$4:$J$9,2,FALSE)</x:f>
        <x:v>High</x:v>
      </x:c>
      <x:c r="I509" s="101" t="n">
        <x:f>F509*'Inputs &amp; Guide'!$B$4*XLOOKUP(D509,'Reference Tables'!$A$4:$A$23,'Reference Tables'!$C$4:$C$23,0.75)</x:f>
        <x:v>73.11732048713789</x:v>
      </x:c>
      <x:c r="J509" s="102" t="n">
        <x:f>XLOOKUP(C509,'Reference Tables'!$E$4:$E$12,'Reference Tables'!$F$4:$F$12,0.05)</x:f>
        <x:v>0.12</x:v>
      </x:c>
      <x:c r="K509" s="103" t="n">
        <x:f>MIN(I509,F509*J509)</x:f>
        <x:v>60.26152787401474</x:v>
      </x:c>
      <x:c r="L509" s="103" t="n">
        <x:f>'Inputs &amp; Guide'!$B$5</x:f>
        <x:v>15</x:v>
      </x:c>
      <x:c r="M509" s="103" t="n">
        <x:f>I509*'Inputs &amp; Guide'!$B$6</x:f>
        <x:v>40.21452626792584</x:v>
      </x:c>
      <x:c r="N509" s="103" t="n">
        <x:f>MAX(0,MIN(K509-L509,M509))</x:f>
        <x:v>40.21452626792584</x:v>
      </x:c>
      <x:c r="O509" s="103" t="n">
        <x:f>MAX(0,N509-'Inputs &amp; Guide'!$B$7)</x:f>
        <x:v>0</x:v>
      </x:c>
      <x:c r="P509" s="103" t="n">
        <x:f>N509-O509</x:f>
        <x:v>40.21452626792584</x:v>
      </x:c>
      <x:c r="Q509" s="103" t="n">
        <x:f>I509*'Inputs &amp; Guide'!$B$8</x:f>
        <x:v>1.3161117687684818</x:v>
      </x:c>
      <x:c r="R509" s="104" t="n">
        <x:f>IFERROR(P509/Q509,0)</x:f>
        <x:v>30.55555555555556</x:v>
      </x:c>
      <x:c r="S509" s="105" t="n">
        <x:f>ROUND(E509*XLOOKUP(C509,'Reference Tables'!$E$4:$E$12,'Reference Tables'!$G$4:$G$12,1),1)</x:f>
        <x:v>11.5</x:v>
      </x:c>
      <x:c r="T509" s="106" t="str">
        <x:f>IF(R509&gt;='Inputs &amp; Guide'!$B$9,"HIGH",IF(R509&gt;=0.45,"WATCH","NORMAL"))</x:f>
        <x:v>HIGH</x:v>
      </x:c>
    </x:row>
    <x:row r="510">
      <x:c r="A510" s="95" t="n">
        <x:v>4049</x:v>
      </x:c>
      <x:c r="B510" s="96" t="n">
        <x:v>45460.4375</x:v>
      </x:c>
      <x:c r="C510" s="97" t="str">
        <x:v>Earthquake</x:v>
      </x:c>
      <x:c r="D510" s="97" t="str">
        <x:v>USA</x:v>
      </x:c>
      <x:c r="E510" s="98" t="n">
        <x:v>2.454605078194202</x:v>
      </x:c>
      <x:c r="F510" s="99" t="n">
        <x:v>427.5591346769634</x:v>
      </x:c>
      <x:c r="G510" s="100" t="str">
        <x:f>XLOOKUP(D510,'Reference Tables'!$A$4:$A$23,'Reference Tables'!$B$4:$B$23,"Other")</x:f>
        <x:v>Other</x:v>
      </x:c>
      <x:c r="H510" s="100" t="str">
        <x:f>VLOOKUP(G510,'Reference Tables'!$I$4:$J$9,2,FALSE)</x:f>
        <x:v>Moderate</x:v>
      </x:c>
      <x:c r="I510" s="101" t="n">
        <x:f>F510*'Inputs &amp; Guide'!$B$4*XLOOKUP(D510,'Reference Tables'!$A$4:$A$23,'Reference Tables'!$C$4:$C$23,0.75)</x:f>
        <x:v>51.30709616123562</x:v>
      </x:c>
      <x:c r="J510" s="102" t="n">
        <x:f>XLOOKUP(C510,'Reference Tables'!$E$4:$E$12,'Reference Tables'!$F$4:$F$12,0.05)</x:f>
        <x:v>0.14</x:v>
      </x:c>
      <x:c r="K510" s="103" t="n">
        <x:f>MIN(I510,F510*J510)</x:f>
        <x:v>51.30709616123562</x:v>
      </x:c>
      <x:c r="L510" s="103" t="n">
        <x:f>'Inputs &amp; Guide'!$B$5</x:f>
        <x:v>15</x:v>
      </x:c>
      <x:c r="M510" s="103" t="n">
        <x:f>I510*'Inputs &amp; Guide'!$B$6</x:f>
        <x:v>28.218902888679594</x:v>
      </x:c>
      <x:c r="N510" s="103" t="n">
        <x:f>MAX(0,MIN(K510-L510,M510))</x:f>
        <x:v>28.218902888679594</x:v>
      </x:c>
      <x:c r="O510" s="103" t="n">
        <x:f>MAX(0,N510-'Inputs &amp; Guide'!$B$7)</x:f>
        <x:v>0</x:v>
      </x:c>
      <x:c r="P510" s="103" t="n">
        <x:f>N510-O510</x:f>
        <x:v>28.218902888679594</x:v>
      </x:c>
      <x:c r="Q510" s="103" t="n">
        <x:f>I510*'Inputs &amp; Guide'!$B$8</x:f>
        <x:v>0.923527730902241</x:v>
      </x:c>
      <x:c r="R510" s="104" t="n">
        <x:f>IFERROR(P510/Q510,0)</x:f>
        <x:v>30.55555555555556</x:v>
      </x:c>
      <x:c r="S510" s="105" t="n">
        <x:f>ROUND(E510*XLOOKUP(C510,'Reference Tables'!$E$4:$E$12,'Reference Tables'!$G$4:$G$12,1),1)</x:f>
        <x:v>3.7</x:v>
      </x:c>
      <x:c r="T510" s="106" t="str">
        <x:f>IF(R510&gt;='Inputs &amp; Guide'!$B$9,"HIGH",IF(R510&gt;=0.45,"WATCH","NORMAL"))</x:f>
        <x:v>HIGH</x:v>
      </x:c>
    </x:row>
    <x:row r="511">
      <x:c r="A511" s="95" t="n">
        <x:v>4057</x:v>
      </x:c>
      <x:c r="B511" s="96" t="n">
        <x:v>45461</x:v>
      </x:c>
      <x:c r="C511" s="97" t="str">
        <x:v>Tornado</x:v>
      </x:c>
      <x:c r="D511" s="97" t="str">
        <x:v>India</x:v>
      </x:c>
      <x:c r="E511" s="98" t="n">
        <x:v>5.269001225984901</x:v>
      </x:c>
      <x:c r="F511" s="99" t="n">
        <x:v>515.5230705280906</x:v>
      </x:c>
      <x:c r="G511" s="100" t="str">
        <x:f>XLOOKUP(D511,'Reference Tables'!$A$4:$A$23,'Reference Tables'!$B$4:$B$23,"Other")</x:f>
        <x:v>Asia Pacific</x:v>
      </x:c>
      <x:c r="H511" s="100" t="str">
        <x:f>VLOOKUP(G511,'Reference Tables'!$I$4:$J$9,2,FALSE)</x:f>
        <x:v>High</x:v>
      </x:c>
      <x:c r="I511" s="101" t="n">
        <x:f>F511*'Inputs &amp; Guide'!$B$4*XLOOKUP(D511,'Reference Tables'!$A$4:$A$23,'Reference Tables'!$C$4:$C$23,0.75)</x:f>
        <x:v>75.06015906889</x:v>
      </x:c>
      <x:c r="J511" s="102" t="n">
        <x:f>XLOOKUP(C511,'Reference Tables'!$E$4:$E$12,'Reference Tables'!$F$4:$F$12,0.05)</x:f>
        <x:v>0.09</x:v>
      </x:c>
      <x:c r="K511" s="103" t="n">
        <x:f>MIN(I511,F511*J511)</x:f>
        <x:v>46.39707634752815</x:v>
      </x:c>
      <x:c r="L511" s="103" t="n">
        <x:f>'Inputs &amp; Guide'!$B$5</x:f>
        <x:v>15</x:v>
      </x:c>
      <x:c r="M511" s="103" t="n">
        <x:f>I511*'Inputs &amp; Guide'!$B$6</x:f>
        <x:v>41.2830874878895</x:v>
      </x:c>
      <x:c r="N511" s="103" t="n">
        <x:f>MAX(0,MIN(K511-L511,M511))</x:f>
        <x:v>31.39707634752815</x:v>
      </x:c>
      <x:c r="O511" s="103" t="n">
        <x:f>MAX(0,N511-'Inputs &amp; Guide'!$B$7)</x:f>
        <x:v>0</x:v>
      </x:c>
      <x:c r="P511" s="103" t="n">
        <x:f>N511-O511</x:f>
        <x:v>31.39707634752815</x:v>
      </x:c>
      <x:c r="Q511" s="103" t="n">
        <x:f>I511*'Inputs &amp; Guide'!$B$8</x:f>
        <x:v>1.35108286324002</x:v>
      </x:c>
      <x:c r="R511" s="104" t="n">
        <x:f>IFERROR(P511/Q511,0)</x:f>
        <x:v>23.23845354106194</x:v>
      </x:c>
      <x:c r="S511" s="105" t="n">
        <x:f>ROUND(E511*XLOOKUP(C511,'Reference Tables'!$E$4:$E$12,'Reference Tables'!$G$4:$G$12,1),1)</x:f>
        <x:v>5.5</x:v>
      </x:c>
      <x:c r="T511" s="106" t="str">
        <x:f>IF(R511&gt;='Inputs &amp; Guide'!$B$9,"HIGH",IF(R511&gt;=0.45,"WATCH","NORMAL"))</x:f>
        <x:v>HIGH</x:v>
      </x:c>
    </x:row>
    <x:row r="512">
      <x:c r="A512" s="95" t="n">
        <x:v>4065</x:v>
      </x:c>
      <x:c r="B512" s="96" t="n">
        <x:v>45461.104166666664</x:v>
      </x:c>
      <x:c r="C512" s="97" t="str">
        <x:v>Flood</x:v>
      </x:c>
      <x:c r="D512" s="97" t="str">
        <x:v>Japan</x:v>
      </x:c>
      <x:c r="E512" s="98" t="n">
        <x:v>8.677613061239562</x:v>
      </x:c>
      <x:c r="F512" s="99" t="n">
        <x:v>355.5758242358196</x:v>
      </x:c>
      <x:c r="G512" s="100" t="str">
        <x:f>XLOOKUP(D512,'Reference Tables'!$A$4:$A$23,'Reference Tables'!$B$4:$B$23,"Other")</x:f>
        <x:v>Asia Pacific</x:v>
      </x:c>
      <x:c r="H512" s="100" t="str">
        <x:f>VLOOKUP(G512,'Reference Tables'!$I$4:$J$9,2,FALSE)</x:f>
        <x:v>High</x:v>
      </x:c>
      <x:c r="I512" s="101" t="n">
        <x:f>F512*'Inputs &amp; Guide'!$B$4*XLOOKUP(D512,'Reference Tables'!$A$4:$A$23,'Reference Tables'!$C$4:$C$23,0.75)</x:f>
        <x:v>67.13271561572274</x:v>
      </x:c>
      <x:c r="J512" s="102" t="n">
        <x:f>XLOOKUP(C512,'Reference Tables'!$E$4:$E$12,'Reference Tables'!$F$4:$F$12,0.05)</x:f>
        <x:v>0.12</x:v>
      </x:c>
      <x:c r="K512" s="103" t="n">
        <x:f>MIN(I512,F512*J512)</x:f>
        <x:v>42.66909890829835</x:v>
      </x:c>
      <x:c r="L512" s="103" t="n">
        <x:f>'Inputs &amp; Guide'!$B$5</x:f>
        <x:v>15</x:v>
      </x:c>
      <x:c r="M512" s="103" t="n">
        <x:f>I512*'Inputs &amp; Guide'!$B$6</x:f>
        <x:v>36.922993588647515</x:v>
      </x:c>
      <x:c r="N512" s="103" t="n">
        <x:f>MAX(0,MIN(K512-L512,M512))</x:f>
        <x:v>27.669098908298352</x:v>
      </x:c>
      <x:c r="O512" s="103" t="n">
        <x:f>MAX(0,N512-'Inputs &amp; Guide'!$B$7)</x:f>
        <x:v>0</x:v>
      </x:c>
      <x:c r="P512" s="103" t="n">
        <x:f>N512-O512</x:f>
        <x:v>27.669098908298352</x:v>
      </x:c>
      <x:c r="Q512" s="103" t="n">
        <x:f>I512*'Inputs &amp; Guide'!$B$8</x:f>
        <x:v>1.2083888810830092</x:v>
      </x:c>
      <x:c r="R512" s="104" t="n">
        <x:f>IFERROR(P512/Q512,0)</x:f>
        <x:v>22.897512002510428</x:v>
      </x:c>
      <x:c r="S512" s="105" t="n">
        <x:f>ROUND(E512*XLOOKUP(C512,'Reference Tables'!$E$4:$E$12,'Reference Tables'!$G$4:$G$12,1),1)</x:f>
        <x:v>10.8</x:v>
      </x:c>
      <x:c r="T512" s="106" t="str">
        <x:f>IF(R512&gt;='Inputs &amp; Guide'!$B$9,"HIGH",IF(R512&gt;=0.45,"WATCH","NORMAL"))</x:f>
        <x:v>HIGH</x:v>
      </x:c>
    </x:row>
    <x:row r="513">
      <x:c r="A513" s="95" t="n">
        <x:v>4073</x:v>
      </x:c>
      <x:c r="B513" s="96" t="n">
        <x:v>45461.4375</x:v>
      </x:c>
      <x:c r="C513" s="97" t="str">
        <x:v>Earthquake</x:v>
      </x:c>
      <x:c r="D513" s="97" t="str">
        <x:v>USA</x:v>
      </x:c>
      <x:c r="E513" s="98" t="n">
        <x:v>7.3788396212335075</x:v>
      </x:c>
      <x:c r="F513" s="99" t="n">
        <x:v>111.04025071593892</x:v>
      </x:c>
      <x:c r="G513" s="100" t="str">
        <x:f>XLOOKUP(D513,'Reference Tables'!$A$4:$A$23,'Reference Tables'!$B$4:$B$23,"Other")</x:f>
        <x:v>Other</x:v>
      </x:c>
      <x:c r="H513" s="100" t="str">
        <x:f>VLOOKUP(G513,'Reference Tables'!$I$4:$J$9,2,FALSE)</x:f>
        <x:v>Moderate</x:v>
      </x:c>
      <x:c r="I513" s="101" t="n">
        <x:f>F513*'Inputs &amp; Guide'!$B$4*XLOOKUP(D513,'Reference Tables'!$A$4:$A$23,'Reference Tables'!$C$4:$C$23,0.75)</x:f>
        <x:v>13.324830085912671</x:v>
      </x:c>
      <x:c r="J513" s="102" t="n">
        <x:f>XLOOKUP(C513,'Reference Tables'!$E$4:$E$12,'Reference Tables'!$F$4:$F$12,0.05)</x:f>
        <x:v>0.14</x:v>
      </x:c>
      <x:c r="K513" s="103" t="n">
        <x:f>MIN(I513,F513*J513)</x:f>
        <x:v>13.324830085912671</x:v>
      </x:c>
      <x:c r="L513" s="103" t="n">
        <x:f>'Inputs &amp; Guide'!$B$5</x:f>
        <x:v>15</x:v>
      </x:c>
      <x:c r="M513" s="103" t="n">
        <x:f>I513*'Inputs &amp; Guide'!$B$6</x:f>
        <x:v>7.32865654725197</x:v>
      </x:c>
      <x:c r="N513" s="103" t="n">
        <x:f>MAX(0,MIN(K513-L513,M513))</x:f>
        <x:v>0</x:v>
      </x:c>
      <x:c r="O513" s="103" t="n">
        <x:f>MAX(0,N513-'Inputs &amp; Guide'!$B$7)</x:f>
        <x:v>0</x:v>
      </x:c>
      <x:c r="P513" s="103" t="n">
        <x:f>N513-O513</x:f>
        <x:v>0</x:v>
      </x:c>
      <x:c r="Q513" s="103" t="n">
        <x:f>I513*'Inputs &amp; Guide'!$B$8</x:f>
        <x:v>0.23984694154642805</x:v>
      </x:c>
      <x:c r="R513" s="104" t="n">
        <x:f>IFERROR(P513/Q513,0)</x:f>
        <x:v>0</x:v>
      </x:c>
      <x:c r="S513" s="105" t="n">
        <x:f>ROUND(E513*XLOOKUP(C513,'Reference Tables'!$E$4:$E$12,'Reference Tables'!$G$4:$G$12,1),1)</x:f>
        <x:v>11.1</x:v>
      </x:c>
      <x:c r="T513" s="106" t="str">
        <x:f>IF(R513&gt;='Inputs &amp; Guide'!$B$9,"HIGH",IF(R513&gt;=0.45,"WATCH","NORMAL"))</x:f>
        <x:v>NORMAL</x:v>
      </x:c>
    </x:row>
    <x:row r="514">
      <x:c r="A514" s="95" t="n">
        <x:v>4081</x:v>
      </x:c>
      <x:c r="B514" s="96" t="n">
        <x:v>45462</x:v>
      </x:c>
      <x:c r="C514" s="97" t="str">
        <x:v>Wildfire</x:v>
      </x:c>
      <x:c r="D514" s="97" t="str">
        <x:v>China</x:v>
      </x:c>
      <x:c r="E514" s="98" t="n">
        <x:v>4.658769913348271</x:v>
      </x:c>
      <x:c r="F514" s="99" t="n">
        <x:v>864.4672756389458</x:v>
      </x:c>
      <x:c r="G514" s="100" t="str">
        <x:f>XLOOKUP(D514,'Reference Tables'!$A$4:$A$23,'Reference Tables'!$B$4:$B$23,"Other")</x:f>
        <x:v>Asia Pacific</x:v>
      </x:c>
      <x:c r="H514" s="100" t="str">
        <x:f>VLOOKUP(G514,'Reference Tables'!$I$4:$J$9,2,FALSE)</x:f>
        <x:v>High</x:v>
      </x:c>
      <x:c r="I514" s="101" t="n">
        <x:f>F514*'Inputs &amp; Guide'!$B$4*XLOOKUP(D514,'Reference Tables'!$A$4:$A$23,'Reference Tables'!$C$4:$C$23,0.75)</x:f>
        <x:v>149.37994523040985</x:v>
      </x:c>
      <x:c r="J514" s="102" t="n">
        <x:f>XLOOKUP(C514,'Reference Tables'!$E$4:$E$12,'Reference Tables'!$F$4:$F$12,0.05)</x:f>
        <x:v>0.1</x:v>
      </x:c>
      <x:c r="K514" s="103" t="n">
        <x:f>MIN(I514,F514*J514)</x:f>
        <x:v>86.44672756389458</x:v>
      </x:c>
      <x:c r="L514" s="103" t="n">
        <x:f>'Inputs &amp; Guide'!$B$5</x:f>
        <x:v>15</x:v>
      </x:c>
      <x:c r="M514" s="103" t="n">
        <x:f>I514*'Inputs &amp; Guide'!$B$6</x:f>
        <x:v>82.15896987672542</x:v>
      </x:c>
      <x:c r="N514" s="103" t="n">
        <x:f>MAX(0,MIN(K514-L514,M514))</x:f>
        <x:v>71.44672756389458</x:v>
      </x:c>
      <x:c r="O514" s="103" t="n">
        <x:f>MAX(0,N514-'Inputs &amp; Guide'!$B$7)</x:f>
        <x:v>11.446727563894584</x:v>
      </x:c>
      <x:c r="P514" s="103" t="n">
        <x:f>N514-O514</x:f>
        <x:v>60</x:v>
      </x:c>
      <x:c r="Q514" s="103" t="n">
        <x:f>I514*'Inputs &amp; Guide'!$B$8</x:f>
        <x:v>2.688839014147377</x:v>
      </x:c>
      <x:c r="R514" s="104" t="n">
        <x:f>IFERROR(P514/Q514,0)</x:f>
        <x:v>22.314463485656404</x:v>
      </x:c>
      <x:c r="S514" s="105" t="n">
        <x:f>ROUND(E514*XLOOKUP(C514,'Reference Tables'!$E$4:$E$12,'Reference Tables'!$G$4:$G$12,1),1)</x:f>
        <x:v>5.4</x:v>
      </x:c>
      <x:c r="T514" s="106" t="str">
        <x:f>IF(R514&gt;='Inputs &amp; Guide'!$B$9,"HIGH",IF(R514&gt;=0.45,"WATCH","NORMAL"))</x:f>
        <x:v>HIGH</x:v>
      </x:c>
    </x:row>
    <x:row r="515">
      <x:c r="A515" s="95" t="n">
        <x:v>4089</x:v>
      </x:c>
      <x:c r="B515" s="96" t="n">
        <x:v>45462.104166666664</x:v>
      </x:c>
      <x:c r="C515" s="97" t="str">
        <x:v>Tornado</x:v>
      </x:c>
      <x:c r="D515" s="97" t="str">
        <x:v>Brazil</x:v>
      </x:c>
      <x:c r="E515" s="98" t="n">
        <x:v>6.596397746612927</x:v>
      </x:c>
      <x:c r="F515" s="99" t="n">
        <x:v>258.1700700740805</x:v>
      </x:c>
      <x:c r="G515" s="100" t="str">
        <x:f>XLOOKUP(D515,'Reference Tables'!$A$4:$A$23,'Reference Tables'!$B$4:$B$23,"Other")</x:f>
        <x:v>Latin America</x:v>
      </x:c>
      <x:c r="H515" s="100" t="str">
        <x:f>VLOOKUP(G515,'Reference Tables'!$I$4:$J$9,2,FALSE)</x:f>
        <x:v>Moderate</x:v>
      </x:c>
      <x:c r="I515" s="101" t="n">
        <x:f>F515*'Inputs &amp; Guide'!$B$4*XLOOKUP(D515,'Reference Tables'!$A$4:$A$23,'Reference Tables'!$C$4:$C$23,0.75)</x:f>
        <x:v>33.87191319371936</x:v>
      </x:c>
      <x:c r="J515" s="102" t="n">
        <x:f>XLOOKUP(C515,'Reference Tables'!$E$4:$E$12,'Reference Tables'!$F$4:$F$12,0.05)</x:f>
        <x:v>0.09</x:v>
      </x:c>
      <x:c r="K515" s="103" t="n">
        <x:f>MIN(I515,F515*J515)</x:f>
        <x:v>23.235306306667244</x:v>
      </x:c>
      <x:c r="L515" s="103" t="n">
        <x:f>'Inputs &amp; Guide'!$B$5</x:f>
        <x:v>15</x:v>
      </x:c>
      <x:c r="M515" s="103" t="n">
        <x:f>I515*'Inputs &amp; Guide'!$B$6</x:f>
        <x:v>18.629552256545647</x:v>
      </x:c>
      <x:c r="N515" s="103" t="n">
        <x:f>MAX(0,MIN(K515-L515,M515))</x:f>
        <x:v>8.235306306667244</x:v>
      </x:c>
      <x:c r="O515" s="103" t="n">
        <x:f>MAX(0,N515-'Inputs &amp; Guide'!$B$7)</x:f>
        <x:v>0</x:v>
      </x:c>
      <x:c r="P515" s="103" t="n">
        <x:f>N515-O515</x:f>
        <x:v>8.235306306667244</x:v>
      </x:c>
      <x:c r="Q515" s="103" t="n">
        <x:f>I515*'Inputs &amp; Guide'!$B$8</x:f>
        <x:v>0.6096944374869484</x:v>
      </x:c>
      <x:c r="R515" s="104" t="n">
        <x:f>IFERROR(P515/Q515,0)</x:f>
        <x:v>13.507268231955184</x:v>
      </x:c>
      <x:c r="S515" s="105" t="n">
        <x:f>ROUND(E515*XLOOKUP(C515,'Reference Tables'!$E$4:$E$12,'Reference Tables'!$G$4:$G$12,1),1)</x:f>
        <x:v>6.9</x:v>
      </x:c>
      <x:c r="T515" s="106" t="str">
        <x:f>IF(R515&gt;='Inputs &amp; Guide'!$B$9,"HIGH",IF(R515&gt;=0.45,"WATCH","NORMAL"))</x:f>
        <x:v>HIGH</x:v>
      </x:c>
    </x:row>
    <x:row r="516">
      <x:c r="A516" s="95" t="n">
        <x:v>4097</x:v>
      </x:c>
      <x:c r="B516" s="96" t="n">
        <x:v>45462.4375</x:v>
      </x:c>
      <x:c r="C516" s="97" t="str">
        <x:v>Earthquake</x:v>
      </x:c>
      <x:c r="D516" s="97" t="str">
        <x:v>Indonesia</x:v>
      </x:c>
      <x:c r="E516" s="98" t="n">
        <x:v>7.703204701075959</x:v>
      </x:c>
      <x:c r="F516" s="99" t="n">
        <x:v>77.95047668297826</x:v>
      </x:c>
      <x:c r="G516" s="100" t="str">
        <x:f>XLOOKUP(D516,'Reference Tables'!$A$4:$A$23,'Reference Tables'!$B$4:$B$23,"Other")</x:f>
        <x:v>Asia Pacific</x:v>
      </x:c>
      <x:c r="H516" s="100" t="str">
        <x:f>VLOOKUP(G516,'Reference Tables'!$I$4:$J$9,2,FALSE)</x:f>
        <x:v>High</x:v>
      </x:c>
      <x:c r="I516" s="101" t="n">
        <x:f>F516*'Inputs &amp; Guide'!$B$4*XLOOKUP(D516,'Reference Tables'!$A$4:$A$23,'Reference Tables'!$C$4:$C$23,0.75)</x:f>
        <x:v>12.846238557354818</x:v>
      </x:c>
      <x:c r="J516" s="102" t="n">
        <x:f>XLOOKUP(C516,'Reference Tables'!$E$4:$E$12,'Reference Tables'!$F$4:$F$12,0.05)</x:f>
        <x:v>0.14</x:v>
      </x:c>
      <x:c r="K516" s="103" t="n">
        <x:f>MIN(I516,F516*J516)</x:f>
        <x:v>10.913066735616958</x:v>
      </x:c>
      <x:c r="L516" s="103" t="n">
        <x:f>'Inputs &amp; Guide'!$B$5</x:f>
        <x:v>15</x:v>
      </x:c>
      <x:c r="M516" s="103" t="n">
        <x:f>I516*'Inputs &amp; Guide'!$B$6</x:f>
        <x:v>7.06543120654515</x:v>
      </x:c>
      <x:c r="N516" s="103" t="n">
        <x:f>MAX(0,MIN(K516-L516,M516))</x:f>
        <x:v>0</x:v>
      </x:c>
      <x:c r="O516" s="103" t="n">
        <x:f>MAX(0,N516-'Inputs &amp; Guide'!$B$7)</x:f>
        <x:v>0</x:v>
      </x:c>
      <x:c r="P516" s="103" t="n">
        <x:f>N516-O516</x:f>
        <x:v>0</x:v>
      </x:c>
      <x:c r="Q516" s="103" t="n">
        <x:f>I516*'Inputs &amp; Guide'!$B$8</x:f>
        <x:v>0.2312322940323867</x:v>
      </x:c>
      <x:c r="R516" s="104" t="n">
        <x:f>IFERROR(P516/Q516,0)</x:f>
        <x:v>0</x:v>
      </x:c>
      <x:c r="S516" s="105" t="n">
        <x:f>ROUND(E516*XLOOKUP(C516,'Reference Tables'!$E$4:$E$12,'Reference Tables'!$G$4:$G$12,1),1)</x:f>
        <x:v>11.6</x:v>
      </x:c>
      <x:c r="T516" s="106" t="str">
        <x:f>IF(R516&gt;='Inputs &amp; Guide'!$B$9,"HIGH",IF(R516&gt;=0.45,"WATCH","NORMAL"))</x:f>
        <x:v>NORMAL</x:v>
      </x:c>
    </x:row>
    <x:row r="517">
      <x:c r="A517" s="95" t="n">
        <x:v>4105</x:v>
      </x:c>
      <x:c r="B517" s="96" t="n">
        <x:v>45463</x:v>
      </x:c>
      <x:c r="C517" s="97" t="str">
        <x:v>Flood</x:v>
      </x:c>
      <x:c r="D517" s="97" t="str">
        <x:v>USA</x:v>
      </x:c>
      <x:c r="E517" s="98" t="n">
        <x:v>9.80796883773387</x:v>
      </x:c>
      <x:c r="F517" s="99" t="n">
        <x:v>342.60336180148704</x:v>
      </x:c>
      <x:c r="G517" s="100" t="str">
        <x:f>XLOOKUP(D517,'Reference Tables'!$A$4:$A$23,'Reference Tables'!$B$4:$B$23,"Other")</x:f>
        <x:v>Other</x:v>
      </x:c>
      <x:c r="H517" s="100" t="str">
        <x:f>VLOOKUP(G517,'Reference Tables'!$I$4:$J$9,2,FALSE)</x:f>
        <x:v>Moderate</x:v>
      </x:c>
      <x:c r="I517" s="101" t="n">
        <x:f>F517*'Inputs &amp; Guide'!$B$4*XLOOKUP(D517,'Reference Tables'!$A$4:$A$23,'Reference Tables'!$C$4:$C$23,0.75)</x:f>
        <x:v>41.112403416178445</x:v>
      </x:c>
      <x:c r="J517" s="102" t="n">
        <x:f>XLOOKUP(C517,'Reference Tables'!$E$4:$E$12,'Reference Tables'!$F$4:$F$12,0.05)</x:f>
        <x:v>0.12</x:v>
      </x:c>
      <x:c r="K517" s="103" t="n">
        <x:f>MIN(I517,F517*J517)</x:f>
        <x:v>41.112403416178445</x:v>
      </x:c>
      <x:c r="L517" s="103" t="n">
        <x:f>'Inputs &amp; Guide'!$B$5</x:f>
        <x:v>15</x:v>
      </x:c>
      <x:c r="M517" s="103" t="n">
        <x:f>I517*'Inputs &amp; Guide'!$B$6</x:f>
        <x:v>22.611821878898148</x:v>
      </x:c>
      <x:c r="N517" s="103" t="n">
        <x:f>MAX(0,MIN(K517-L517,M517))</x:f>
        <x:v>22.611821878898148</x:v>
      </x:c>
      <x:c r="O517" s="103" t="n">
        <x:f>MAX(0,N517-'Inputs &amp; Guide'!$B$7)</x:f>
        <x:v>0</x:v>
      </x:c>
      <x:c r="P517" s="103" t="n">
        <x:f>N517-O517</x:f>
        <x:v>22.611821878898148</x:v>
      </x:c>
      <x:c r="Q517" s="103" t="n">
        <x:f>I517*'Inputs &amp; Guide'!$B$8</x:f>
        <x:v>0.740023261491212</x:v>
      </x:c>
      <x:c r="R517" s="104" t="n">
        <x:f>IFERROR(P517/Q517,0)</x:f>
        <x:v>30.55555555555556</x:v>
      </x:c>
      <x:c r="S517" s="105" t="n">
        <x:f>ROUND(E517*XLOOKUP(C517,'Reference Tables'!$E$4:$E$12,'Reference Tables'!$G$4:$G$12,1),1)</x:f>
        <x:v>12.3</x:v>
      </x:c>
      <x:c r="T517" s="106" t="str">
        <x:f>IF(R517&gt;='Inputs &amp; Guide'!$B$9,"HIGH",IF(R517&gt;=0.45,"WATCH","NORMAL"))</x:f>
        <x:v>HIGH</x:v>
      </x:c>
    </x:row>
    <x:row r="518">
      <x:c r="A518" s="95" t="n">
        <x:v>4113</x:v>
      </x:c>
      <x:c r="B518" s="96" t="n">
        <x:v>45463.104166666664</x:v>
      </x:c>
      <x:c r="C518" s="97" t="str">
        <x:v>Tornado</x:v>
      </x:c>
      <x:c r="D518" s="97" t="str">
        <x:v>India</x:v>
      </x:c>
      <x:c r="E518" s="98" t="n">
        <x:v>9.344172046972227</x:v>
      </x:c>
      <x:c r="F518" s="99" t="n">
        <x:v>615.7325801342762</x:v>
      </x:c>
      <x:c r="G518" s="100" t="str">
        <x:f>XLOOKUP(D518,'Reference Tables'!$A$4:$A$23,'Reference Tables'!$B$4:$B$23,"Other")</x:f>
        <x:v>Asia Pacific</x:v>
      </x:c>
      <x:c r="H518" s="100" t="str">
        <x:f>VLOOKUP(G518,'Reference Tables'!$I$4:$J$9,2,FALSE)</x:f>
        <x:v>High</x:v>
      </x:c>
      <x:c r="I518" s="101" t="n">
        <x:f>F518*'Inputs &amp; Guide'!$B$4*XLOOKUP(D518,'Reference Tables'!$A$4:$A$23,'Reference Tables'!$C$4:$C$23,0.75)</x:f>
        <x:v>89.65066366755062</x:v>
      </x:c>
      <x:c r="J518" s="102" t="n">
        <x:f>XLOOKUP(C518,'Reference Tables'!$E$4:$E$12,'Reference Tables'!$F$4:$F$12,0.05)</x:f>
        <x:v>0.09</x:v>
      </x:c>
      <x:c r="K518" s="103" t="n">
        <x:f>MIN(I518,F518*J518)</x:f>
        <x:v>55.415932212084854</x:v>
      </x:c>
      <x:c r="L518" s="103" t="n">
        <x:f>'Inputs &amp; Guide'!$B$5</x:f>
        <x:v>15</x:v>
      </x:c>
      <x:c r="M518" s="103" t="n">
        <x:f>I518*'Inputs &amp; Guide'!$B$6</x:f>
        <x:v>49.30786501715284</x:v>
      </x:c>
      <x:c r="N518" s="103" t="n">
        <x:f>MAX(0,MIN(K518-L518,M518))</x:f>
        <x:v>40.415932212084854</x:v>
      </x:c>
      <x:c r="O518" s="103" t="n">
        <x:f>MAX(0,N518-'Inputs &amp; Guide'!$B$7)</x:f>
        <x:v>0</x:v>
      </x:c>
      <x:c r="P518" s="103" t="n">
        <x:f>N518-O518</x:f>
        <x:v>40.415932212084854</x:v>
      </x:c>
      <x:c r="Q518" s="103" t="n">
        <x:f>I518*'Inputs &amp; Guide'!$B$8</x:f>
        <x:v>1.613711946015911</x:v>
      </x:c>
      <x:c r="R518" s="104" t="n">
        <x:f>IFERROR(P518/Q518,0)</x:f>
        <x:v>25.045320084459707</x:v>
      </x:c>
      <x:c r="S518" s="105" t="n">
        <x:f>ROUND(E518*XLOOKUP(C518,'Reference Tables'!$E$4:$E$12,'Reference Tables'!$G$4:$G$12,1),1)</x:f>
        <x:v>9.8</x:v>
      </x:c>
      <x:c r="T518" s="106" t="str">
        <x:f>IF(R518&gt;='Inputs &amp; Guide'!$B$9,"HIGH",IF(R518&gt;=0.45,"WATCH","NORMAL"))</x:f>
        <x:v>HIGH</x:v>
      </x:c>
    </x:row>
    <x:row r="519">
      <x:c r="A519" s="95" t="n">
        <x:v>4121</x:v>
      </x:c>
      <x:c r="B519" s="96" t="n">
        <x:v>45463.4375</x:v>
      </x:c>
      <x:c r="C519" s="97" t="str">
        <x:v>Tornado</x:v>
      </x:c>
      <x:c r="D519" s="97" t="str">
        <x:v>Brazil</x:v>
      </x:c>
      <x:c r="E519" s="98" t="n">
        <x:v>8.157770695654374</x:v>
      </x:c>
      <x:c r="F519" s="99" t="n">
        <x:v>266.1811672615935</x:v>
      </x:c>
      <x:c r="G519" s="100" t="str">
        <x:f>XLOOKUP(D519,'Reference Tables'!$A$4:$A$23,'Reference Tables'!$B$4:$B$23,"Other")</x:f>
        <x:v>Latin America</x:v>
      </x:c>
      <x:c r="H519" s="100" t="str">
        <x:f>VLOOKUP(G519,'Reference Tables'!$I$4:$J$9,2,FALSE)</x:f>
        <x:v>Moderate</x:v>
      </x:c>
      <x:c r="I519" s="101" t="n">
        <x:f>F519*'Inputs &amp; Guide'!$B$4*XLOOKUP(D519,'Reference Tables'!$A$4:$A$23,'Reference Tables'!$C$4:$C$23,0.75)</x:f>
        <x:v>34.922969144721066</x:v>
      </x:c>
      <x:c r="J519" s="102" t="n">
        <x:f>XLOOKUP(C519,'Reference Tables'!$E$4:$E$12,'Reference Tables'!$F$4:$F$12,0.05)</x:f>
        <x:v>0.09</x:v>
      </x:c>
      <x:c r="K519" s="103" t="n">
        <x:f>MIN(I519,F519*J519)</x:f>
        <x:v>23.956305053543414</x:v>
      </x:c>
      <x:c r="L519" s="103" t="n">
        <x:f>'Inputs &amp; Guide'!$B$5</x:f>
        <x:v>15</x:v>
      </x:c>
      <x:c r="M519" s="103" t="n">
        <x:f>I519*'Inputs &amp; Guide'!$B$6</x:f>
        <x:v>19.207633029596586</x:v>
      </x:c>
      <x:c r="N519" s="103" t="n">
        <x:f>MAX(0,MIN(K519-L519,M519))</x:f>
        <x:v>8.956305053543414</x:v>
      </x:c>
      <x:c r="O519" s="103" t="n">
        <x:f>MAX(0,N519-'Inputs &amp; Guide'!$B$7)</x:f>
        <x:v>0</x:v>
      </x:c>
      <x:c r="P519" s="103" t="n">
        <x:f>N519-O519</x:f>
        <x:v>8.956305053543414</x:v>
      </x:c>
      <x:c r="Q519" s="103" t="n">
        <x:f>I519*'Inputs &amp; Guide'!$B$8</x:f>
        <x:v>0.6286134446049791</x:v>
      </x:c>
      <x:c r="R519" s="104" t="n">
        <x:f>IFERROR(P519/Q519,0)</x:f>
        <x:v>14.24771476081228</x:v>
      </x:c>
      <x:c r="S519" s="105" t="n">
        <x:f>ROUND(E519*XLOOKUP(C519,'Reference Tables'!$E$4:$E$12,'Reference Tables'!$G$4:$G$12,1),1)</x:f>
        <x:v>8.6</x:v>
      </x:c>
      <x:c r="T519" s="106" t="str">
        <x:f>IF(R519&gt;='Inputs &amp; Guide'!$B$9,"HIGH",IF(R519&gt;=0.45,"WATCH","NORMAL"))</x:f>
        <x:v>HIGH</x:v>
      </x:c>
    </x:row>
    <x:row r="520">
      <x:c r="A520" s="95" t="n">
        <x:v>4129</x:v>
      </x:c>
      <x:c r="B520" s="96" t="n">
        <x:v>45464</x:v>
      </x:c>
      <x:c r="C520" s="97" t="str">
        <x:v>Tornado</x:v>
      </x:c>
      <x:c r="D520" s="97" t="str">
        <x:v>Japan</x:v>
      </x:c>
      <x:c r="E520" s="98" t="n">
        <x:v>2.9360712700646383</x:v>
      </x:c>
      <x:c r="F520" s="99" t="n">
        <x:v>759.8903168554563</x:v>
      </x:c>
      <x:c r="G520" s="100" t="str">
        <x:f>XLOOKUP(D520,'Reference Tables'!$A$4:$A$23,'Reference Tables'!$B$4:$B$23,"Other")</x:f>
        <x:v>Asia Pacific</x:v>
      </x:c>
      <x:c r="H520" s="100" t="str">
        <x:f>VLOOKUP(G520,'Reference Tables'!$I$4:$J$9,2,FALSE)</x:f>
        <x:v>High</x:v>
      </x:c>
      <x:c r="I520" s="101" t="n">
        <x:f>F520*'Inputs &amp; Guide'!$B$4*XLOOKUP(D520,'Reference Tables'!$A$4:$A$23,'Reference Tables'!$C$4:$C$23,0.75)</x:f>
        <x:v>143.46729182231016</x:v>
      </x:c>
      <x:c r="J520" s="102" t="n">
        <x:f>XLOOKUP(C520,'Reference Tables'!$E$4:$E$12,'Reference Tables'!$F$4:$F$12,0.05)</x:f>
        <x:v>0.09</x:v>
      </x:c>
      <x:c r="K520" s="103" t="n">
        <x:f>MIN(I520,F520*J520)</x:f>
        <x:v>68.39012851699106</x:v>
      </x:c>
      <x:c r="L520" s="103" t="n">
        <x:f>'Inputs &amp; Guide'!$B$5</x:f>
        <x:v>15</x:v>
      </x:c>
      <x:c r="M520" s="103" t="n">
        <x:f>I520*'Inputs &amp; Guide'!$B$6</x:f>
        <x:v>78.9070105022706</x:v>
      </x:c>
      <x:c r="N520" s="103" t="n">
        <x:f>MAX(0,MIN(K520-L520,M520))</x:f>
        <x:v>53.390128516991055</x:v>
      </x:c>
      <x:c r="O520" s="103" t="n">
        <x:f>MAX(0,N520-'Inputs &amp; Guide'!$B$7)</x:f>
        <x:v>0</x:v>
      </x:c>
      <x:c r="P520" s="103" t="n">
        <x:f>N520-O520</x:f>
        <x:v>53.390128516991055</x:v>
      </x:c>
      <x:c r="Q520" s="103" t="n">
        <x:f>I520*'Inputs &amp; Guide'!$B$8</x:f>
        <x:v>2.582411252801583</x:v>
      </x:c>
      <x:c r="R520" s="104" t="n">
        <x:f>IFERROR(P520/Q520,0)</x:f>
        <x:v>20.674525972216724</x:v>
      </x:c>
      <x:c r="S520" s="105" t="n">
        <x:f>ROUND(E520*XLOOKUP(C520,'Reference Tables'!$E$4:$E$12,'Reference Tables'!$G$4:$G$12,1),1)</x:f>
        <x:v>3.1</x:v>
      </x:c>
      <x:c r="T520" s="106" t="str">
        <x:f>IF(R520&gt;='Inputs &amp; Guide'!$B$9,"HIGH",IF(R520&gt;=0.45,"WATCH","NORMAL"))</x:f>
        <x:v>HIGH</x:v>
      </x:c>
    </x:row>
    <x:row r="521">
      <x:c r="A521" s="95" t="n">
        <x:v>4137</x:v>
      </x:c>
      <x:c r="B521" s="96" t="n">
        <x:v>45464.104166666664</x:v>
      </x:c>
      <x:c r="C521" s="97" t="str">
        <x:v>Tornado</x:v>
      </x:c>
      <x:c r="D521" s="97" t="str">
        <x:v>Indonesia</x:v>
      </x:c>
      <x:c r="E521" s="98" t="n">
        <x:v>2.234218617373765</x:v>
      </x:c>
      <x:c r="F521" s="99" t="n">
        <x:v>376.24579123769655</x:v>
      </x:c>
      <x:c r="G521" s="100" t="str">
        <x:f>XLOOKUP(D521,'Reference Tables'!$A$4:$A$23,'Reference Tables'!$B$4:$B$23,"Other")</x:f>
        <x:v>Asia Pacific</x:v>
      </x:c>
      <x:c r="H521" s="100" t="str">
        <x:f>VLOOKUP(G521,'Reference Tables'!$I$4:$J$9,2,FALSE)</x:f>
        <x:v>High</x:v>
      </x:c>
      <x:c r="I521" s="101" t="n">
        <x:f>F521*'Inputs &amp; Guide'!$B$4*XLOOKUP(D521,'Reference Tables'!$A$4:$A$23,'Reference Tables'!$C$4:$C$23,0.75)</x:f>
        <x:v>62.00530639597239</x:v>
      </x:c>
      <x:c r="J521" s="102" t="n">
        <x:f>XLOOKUP(C521,'Reference Tables'!$E$4:$E$12,'Reference Tables'!$F$4:$F$12,0.05)</x:f>
        <x:v>0.09</x:v>
      </x:c>
      <x:c r="K521" s="103" t="n">
        <x:f>MIN(I521,F521*J521)</x:f>
        <x:v>33.86212121139269</x:v>
      </x:c>
      <x:c r="L521" s="103" t="n">
        <x:f>'Inputs &amp; Guide'!$B$5</x:f>
        <x:v>15</x:v>
      </x:c>
      <x:c r="M521" s="103" t="n">
        <x:f>I521*'Inputs &amp; Guide'!$B$6</x:f>
        <x:v>34.102918517784815</x:v>
      </x:c>
      <x:c r="N521" s="103" t="n">
        <x:f>MAX(0,MIN(K521-L521,M521))</x:f>
        <x:v>18.86212121139269</x:v>
      </x:c>
      <x:c r="O521" s="103" t="n">
        <x:f>MAX(0,N521-'Inputs &amp; Guide'!$B$7)</x:f>
        <x:v>0</x:v>
      </x:c>
      <x:c r="P521" s="103" t="n">
        <x:f>N521-O521</x:f>
        <x:v>18.86212121139269</x:v>
      </x:c>
      <x:c r="Q521" s="103" t="n">
        <x:f>I521*'Inputs &amp; Guide'!$B$8</x:f>
        <x:v>1.116095515127503</x:v>
      </x:c>
      <x:c r="R521" s="104" t="n">
        <x:f>IFERROR(P521/Q521,0)</x:f>
        <x:v>16.900095875072015</x:v>
      </x:c>
      <x:c r="S521" s="105" t="n">
        <x:f>ROUND(E521*XLOOKUP(C521,'Reference Tables'!$E$4:$E$12,'Reference Tables'!$G$4:$G$12,1),1)</x:f>
        <x:v>2.3</x:v>
      </x:c>
      <x:c r="T521" s="106" t="str">
        <x:f>IF(R521&gt;='Inputs &amp; Guide'!$B$9,"HIGH",IF(R521&gt;=0.45,"WATCH","NORMAL"))</x:f>
        <x:v>HIGH</x:v>
      </x:c>
    </x:row>
    <x:row r="522">
      <x:c r="A522" s="95" t="n">
        <x:v>4145</x:v>
      </x:c>
      <x:c r="B522" s="96" t="n">
        <x:v>45464.4375</x:v>
      </x:c>
      <x:c r="C522" s="97" t="str">
        <x:v>Wildfire</x:v>
      </x:c>
      <x:c r="D522" s="97" t="str">
        <x:v>USA</x:v>
      </x:c>
      <x:c r="E522" s="98" t="n">
        <x:v>5.71613432869727</x:v>
      </x:c>
      <x:c r="F522" s="99" t="n">
        <x:v>682.4946395690159</x:v>
      </x:c>
      <x:c r="G522" s="100" t="str">
        <x:f>XLOOKUP(D522,'Reference Tables'!$A$4:$A$23,'Reference Tables'!$B$4:$B$23,"Other")</x:f>
        <x:v>Other</x:v>
      </x:c>
      <x:c r="H522" s="100" t="str">
        <x:f>VLOOKUP(G522,'Reference Tables'!$I$4:$J$9,2,FALSE)</x:f>
        <x:v>Moderate</x:v>
      </x:c>
      <x:c r="I522" s="101" t="n">
        <x:f>F522*'Inputs &amp; Guide'!$B$4*XLOOKUP(D522,'Reference Tables'!$A$4:$A$23,'Reference Tables'!$C$4:$C$23,0.75)</x:f>
        <x:v>81.89935674828192</x:v>
      </x:c>
      <x:c r="J522" s="102" t="n">
        <x:f>XLOOKUP(C522,'Reference Tables'!$E$4:$E$12,'Reference Tables'!$F$4:$F$12,0.05)</x:f>
        <x:v>0.1</x:v>
      </x:c>
      <x:c r="K522" s="103" t="n">
        <x:f>MIN(I522,F522*J522)</x:f>
        <x:v>68.2494639569016</x:v>
      </x:c>
      <x:c r="L522" s="103" t="n">
        <x:f>'Inputs &amp; Guide'!$B$5</x:f>
        <x:v>15</x:v>
      </x:c>
      <x:c r="M522" s="103" t="n">
        <x:f>I522*'Inputs &amp; Guide'!$B$6</x:f>
        <x:v>45.04464621155506</x:v>
      </x:c>
      <x:c r="N522" s="103" t="n">
        <x:f>MAX(0,MIN(K522-L522,M522))</x:f>
        <x:v>45.04464621155506</x:v>
      </x:c>
      <x:c r="O522" s="103" t="n">
        <x:f>MAX(0,N522-'Inputs &amp; Guide'!$B$7)</x:f>
        <x:v>0</x:v>
      </x:c>
      <x:c r="P522" s="103" t="n">
        <x:f>N522-O522</x:f>
        <x:v>45.04464621155506</x:v>
      </x:c>
      <x:c r="Q522" s="103" t="n">
        <x:f>I522*'Inputs &amp; Guide'!$B$8</x:f>
        <x:v>1.4741884214690744</x:v>
      </x:c>
      <x:c r="R522" s="104" t="n">
        <x:f>IFERROR(P522/Q522,0)</x:f>
        <x:v>30.555555555555564</x:v>
      </x:c>
      <x:c r="S522" s="105" t="n">
        <x:f>ROUND(E522*XLOOKUP(C522,'Reference Tables'!$E$4:$E$12,'Reference Tables'!$G$4:$G$12,1),1)</x:f>
        <x:v>6.6</x:v>
      </x:c>
      <x:c r="T522" s="106" t="str">
        <x:f>IF(R522&gt;='Inputs &amp; Guide'!$B$9,"HIGH",IF(R522&gt;=0.45,"WATCH","NORMAL"))</x:f>
        <x:v>HIGH</x:v>
      </x:c>
    </x:row>
    <x:row r="523">
      <x:c r="A523" s="95" t="n">
        <x:v>4153</x:v>
      </x:c>
      <x:c r="B523" s="96" t="n">
        <x:v>45465</x:v>
      </x:c>
      <x:c r="C523" s="97" t="str">
        <x:v>Flood</x:v>
      </x:c>
      <x:c r="D523" s="97" t="str">
        <x:v>USA</x:v>
      </x:c>
      <x:c r="E523" s="98" t="n">
        <x:v>7.866975983268507</x:v>
      </x:c>
      <x:c r="F523" s="99" t="n">
        <x:v>916.3316237981201</x:v>
      </x:c>
      <x:c r="G523" s="100" t="str">
        <x:f>XLOOKUP(D523,'Reference Tables'!$A$4:$A$23,'Reference Tables'!$B$4:$B$23,"Other")</x:f>
        <x:v>Other</x:v>
      </x:c>
      <x:c r="H523" s="100" t="str">
        <x:f>VLOOKUP(G523,'Reference Tables'!$I$4:$J$9,2,FALSE)</x:f>
        <x:v>Moderate</x:v>
      </x:c>
      <x:c r="I523" s="101" t="n">
        <x:f>F523*'Inputs &amp; Guide'!$B$4*XLOOKUP(D523,'Reference Tables'!$A$4:$A$23,'Reference Tables'!$C$4:$C$23,0.75)</x:f>
        <x:v>109.95979485577442</x:v>
      </x:c>
      <x:c r="J523" s="102" t="n">
        <x:f>XLOOKUP(C523,'Reference Tables'!$E$4:$E$12,'Reference Tables'!$F$4:$F$12,0.05)</x:f>
        <x:v>0.12</x:v>
      </x:c>
      <x:c r="K523" s="103" t="n">
        <x:f>MIN(I523,F523*J523)</x:f>
        <x:v>109.9597948557744</x:v>
      </x:c>
      <x:c r="L523" s="103" t="n">
        <x:f>'Inputs &amp; Guide'!$B$5</x:f>
        <x:v>15</x:v>
      </x:c>
      <x:c r="M523" s="103" t="n">
        <x:f>I523*'Inputs &amp; Guide'!$B$6</x:f>
        <x:v>60.477887170675935</x:v>
      </x:c>
      <x:c r="N523" s="103" t="n">
        <x:f>MAX(0,MIN(K523-L523,M523))</x:f>
        <x:v>60.477887170675935</x:v>
      </x:c>
      <x:c r="O523" s="103" t="n">
        <x:f>MAX(0,N523-'Inputs &amp; Guide'!$B$7)</x:f>
        <x:v>0.47788717067593467</x:v>
      </x:c>
      <x:c r="P523" s="103" t="n">
        <x:f>N523-O523</x:f>
        <x:v>60</x:v>
      </x:c>
      <x:c r="Q523" s="103" t="n">
        <x:f>I523*'Inputs &amp; Guide'!$B$8</x:f>
        <x:v>1.9792763074039394</x:v>
      </x:c>
      <x:c r="R523" s="104" t="n">
        <x:f>IFERROR(P523/Q523,0)</x:f>
        <x:v>30.314110150036235</x:v>
      </x:c>
      <x:c r="S523" s="105" t="n">
        <x:f>ROUND(E523*XLOOKUP(C523,'Reference Tables'!$E$4:$E$12,'Reference Tables'!$G$4:$G$12,1),1)</x:f>
        <x:v>9.8</x:v>
      </x:c>
      <x:c r="T523" s="106" t="str">
        <x:f>IF(R523&gt;='Inputs &amp; Guide'!$B$9,"HIGH",IF(R523&gt;=0.45,"WATCH","NORMAL"))</x:f>
        <x:v>HIGH</x:v>
      </x:c>
    </x:row>
    <x:row r="524">
      <x:c r="A524" s="95" t="n">
        <x:v>4161</x:v>
      </x:c>
      <x:c r="B524" s="96" t="n">
        <x:v>45465.104166666664</x:v>
      </x:c>
      <x:c r="C524" s="97" t="str">
        <x:v>Flood</x:v>
      </x:c>
      <x:c r="D524" s="97" t="str">
        <x:v>Brazil</x:v>
      </x:c>
      <x:c r="E524" s="98" t="n">
        <x:v>8.497778907540273</x:v>
      </x:c>
      <x:c r="F524" s="99" t="n">
        <x:v>602.572055717267</x:v>
      </x:c>
      <x:c r="G524" s="100" t="str">
        <x:f>XLOOKUP(D524,'Reference Tables'!$A$4:$A$23,'Reference Tables'!$B$4:$B$23,"Other")</x:f>
        <x:v>Latin America</x:v>
      </x:c>
      <x:c r="H524" s="100" t="str">
        <x:f>VLOOKUP(G524,'Reference Tables'!$I$4:$J$9,2,FALSE)</x:f>
        <x:v>Moderate</x:v>
      </x:c>
      <x:c r="I524" s="101" t="n">
        <x:f>F524*'Inputs &amp; Guide'!$B$4*XLOOKUP(D524,'Reference Tables'!$A$4:$A$23,'Reference Tables'!$C$4:$C$23,0.75)</x:f>
        <x:v>79.05745371010542</x:v>
      </x:c>
      <x:c r="J524" s="102" t="n">
        <x:f>XLOOKUP(C524,'Reference Tables'!$E$4:$E$12,'Reference Tables'!$F$4:$F$12,0.05)</x:f>
        <x:v>0.12</x:v>
      </x:c>
      <x:c r="K524" s="103" t="n">
        <x:f>MIN(I524,F524*J524)</x:f>
        <x:v>72.30864668607204</x:v>
      </x:c>
      <x:c r="L524" s="103" t="n">
        <x:f>'Inputs &amp; Guide'!$B$5</x:f>
        <x:v>15</x:v>
      </x:c>
      <x:c r="M524" s="103" t="n">
        <x:f>I524*'Inputs &amp; Guide'!$B$6</x:f>
        <x:v>43.48159954055799</x:v>
      </x:c>
      <x:c r="N524" s="103" t="n">
        <x:f>MAX(0,MIN(K524-L524,M524))</x:f>
        <x:v>43.48159954055799</x:v>
      </x:c>
      <x:c r="O524" s="103" t="n">
        <x:f>MAX(0,N524-'Inputs &amp; Guide'!$B$7)</x:f>
        <x:v>0</x:v>
      </x:c>
      <x:c r="P524" s="103" t="n">
        <x:f>N524-O524</x:f>
        <x:v>43.48159954055799</x:v>
      </x:c>
      <x:c r="Q524" s="103" t="n">
        <x:f>I524*'Inputs &amp; Guide'!$B$8</x:f>
        <x:v>1.4230341667818975</x:v>
      </x:c>
      <x:c r="R524" s="104" t="n">
        <x:f>IFERROR(P524/Q524,0)</x:f>
        <x:v>30.55555555555556</x:v>
      </x:c>
      <x:c r="S524" s="105" t="n">
        <x:f>ROUND(E524*XLOOKUP(C524,'Reference Tables'!$E$4:$E$12,'Reference Tables'!$G$4:$G$12,1),1)</x:f>
        <x:v>10.6</x:v>
      </x:c>
      <x:c r="T524" s="106" t="str">
        <x:f>IF(R524&gt;='Inputs &amp; Guide'!$B$9,"HIGH",IF(R524&gt;=0.45,"WATCH","NORMAL"))</x:f>
        <x:v>HIGH</x:v>
      </x:c>
    </x:row>
    <x:row r="525">
      <x:c r="A525" s="95" t="n">
        <x:v>4169</x:v>
      </x:c>
      <x:c r="B525" s="96" t="n">
        <x:v>45465.4375</x:v>
      </x:c>
      <x:c r="C525" s="97" t="str">
        <x:v>Flood</x:v>
      </x:c>
      <x:c r="D525" s="97" t="str">
        <x:v>India</x:v>
      </x:c>
      <x:c r="E525" s="98" t="n">
        <x:v>1.7756887135912442</x:v>
      </x:c>
      <x:c r="F525" s="99" t="n">
        <x:v>811.5034686150109</x:v>
      </x:c>
      <x:c r="G525" s="100" t="str">
        <x:f>XLOOKUP(D525,'Reference Tables'!$A$4:$A$23,'Reference Tables'!$B$4:$B$23,"Other")</x:f>
        <x:v>Asia Pacific</x:v>
      </x:c>
      <x:c r="H525" s="100" t="str">
        <x:f>VLOOKUP(G525,'Reference Tables'!$I$4:$J$9,2,FALSE)</x:f>
        <x:v>High</x:v>
      </x:c>
      <x:c r="I525" s="101" t="n">
        <x:f>F525*'Inputs &amp; Guide'!$B$4*XLOOKUP(D525,'Reference Tables'!$A$4:$A$23,'Reference Tables'!$C$4:$C$23,0.75)</x:f>
        <x:v>118.15490503034559</x:v>
      </x:c>
      <x:c r="J525" s="102" t="n">
        <x:f>XLOOKUP(C525,'Reference Tables'!$E$4:$E$12,'Reference Tables'!$F$4:$F$12,0.05)</x:f>
        <x:v>0.12</x:v>
      </x:c>
      <x:c r="K525" s="103" t="n">
        <x:f>MIN(I525,F525*J525)</x:f>
        <x:v>97.3804162338013</x:v>
      </x:c>
      <x:c r="L525" s="103" t="n">
        <x:f>'Inputs &amp; Guide'!$B$5</x:f>
        <x:v>15</x:v>
      </x:c>
      <x:c r="M525" s="103" t="n">
        <x:f>I525*'Inputs &amp; Guide'!$B$6</x:f>
        <x:v>64.98519776669008</x:v>
      </x:c>
      <x:c r="N525" s="103" t="n">
        <x:f>MAX(0,MIN(K525-L525,M525))</x:f>
        <x:v>64.98519776669008</x:v>
      </x:c>
      <x:c r="O525" s="103" t="n">
        <x:f>MAX(0,N525-'Inputs &amp; Guide'!$B$7)</x:f>
        <x:v>4.985197766690078</x:v>
      </x:c>
      <x:c r="P525" s="103" t="n">
        <x:f>N525-O525</x:f>
        <x:v>60</x:v>
      </x:c>
      <x:c r="Q525" s="103" t="n">
        <x:f>I525*'Inputs &amp; Guide'!$B$8</x:f>
        <x:v>2.1267882905462203</x:v>
      </x:c>
      <x:c r="R525" s="104" t="n">
        <x:f>IFERROR(P525/Q525,0)</x:f>
        <x:v>28.211552727982284</x:v>
      </x:c>
      <x:c r="S525" s="105" t="n">
        <x:f>ROUND(E525*XLOOKUP(C525,'Reference Tables'!$E$4:$E$12,'Reference Tables'!$G$4:$G$12,1),1)</x:f>
        <x:v>2.2</x:v>
      </x:c>
      <x:c r="T525" s="106" t="str">
        <x:f>IF(R525&gt;='Inputs &amp; Guide'!$B$9,"HIGH",IF(R525&gt;=0.45,"WATCH","NORMAL"))</x:f>
        <x:v>HIGH</x:v>
      </x:c>
    </x:row>
    <x:row r="526">
      <x:c r="A526" s="95" t="n">
        <x:v>4177</x:v>
      </x:c>
      <x:c r="B526" s="96" t="n">
        <x:v>45466</x:v>
      </x:c>
      <x:c r="C526" s="97" t="str">
        <x:v>Hurricane</x:v>
      </x:c>
      <x:c r="D526" s="97" t="str">
        <x:v>China</x:v>
      </x:c>
      <x:c r="E526" s="98" t="n">
        <x:v>4.913955737559783</x:v>
      </x:c>
      <x:c r="F526" s="99" t="n">
        <x:v>356.42343687474465</x:v>
      </x:c>
      <x:c r="G526" s="100" t="str">
        <x:f>XLOOKUP(D526,'Reference Tables'!$A$4:$A$23,'Reference Tables'!$B$4:$B$23,"Other")</x:f>
        <x:v>Asia Pacific</x:v>
      </x:c>
      <x:c r="H526" s="100" t="str">
        <x:f>VLOOKUP(G526,'Reference Tables'!$I$4:$J$9,2,FALSE)</x:f>
        <x:v>High</x:v>
      </x:c>
      <x:c r="I526" s="101" t="n">
        <x:f>F526*'Inputs &amp; Guide'!$B$4*XLOOKUP(D526,'Reference Tables'!$A$4:$A$23,'Reference Tables'!$C$4:$C$23,0.75)</x:f>
        <x:v>61.58996989195588</x:v>
      </x:c>
      <x:c r="J526" s="102" t="n">
        <x:f>XLOOKUP(C526,'Reference Tables'!$E$4:$E$12,'Reference Tables'!$F$4:$F$12,0.05)</x:f>
        <x:v>0.18</x:v>
      </x:c>
      <x:c r="K526" s="103" t="n">
        <x:f>MIN(I526,F526*J526)</x:f>
        <x:v>61.58996989195588</x:v>
      </x:c>
      <x:c r="L526" s="103" t="n">
        <x:f>'Inputs &amp; Guide'!$B$5</x:f>
        <x:v>15</x:v>
      </x:c>
      <x:c r="M526" s="103" t="n">
        <x:f>I526*'Inputs &amp; Guide'!$B$6</x:f>
        <x:v>33.87448344057574</x:v>
      </x:c>
      <x:c r="N526" s="103" t="n">
        <x:f>MAX(0,MIN(K526-L526,M526))</x:f>
        <x:v>33.87448344057574</x:v>
      </x:c>
      <x:c r="O526" s="103" t="n">
        <x:f>MAX(0,N526-'Inputs &amp; Guide'!$B$7)</x:f>
        <x:v>0</x:v>
      </x:c>
      <x:c r="P526" s="103" t="n">
        <x:f>N526-O526</x:f>
        <x:v>33.87448344057574</x:v>
      </x:c>
      <x:c r="Q526" s="103" t="n">
        <x:f>I526*'Inputs &amp; Guide'!$B$8</x:f>
        <x:v>1.1086194580552058</x:v>
      </x:c>
      <x:c r="R526" s="104" t="n">
        <x:f>IFERROR(P526/Q526,0)</x:f>
        <x:v>30.55555555555556</x:v>
      </x:c>
      <x:c r="S526" s="105" t="n">
        <x:f>ROUND(E526*XLOOKUP(C526,'Reference Tables'!$E$4:$E$12,'Reference Tables'!$G$4:$G$12,1),1)</x:f>
        <x:v>6.9</x:v>
      </x:c>
      <x:c r="T526" s="106" t="str">
        <x:f>IF(R526&gt;='Inputs &amp; Guide'!$B$9,"HIGH",IF(R526&gt;=0.45,"WATCH","NORMAL"))</x:f>
        <x:v>HIGH</x:v>
      </x:c>
    </x:row>
    <x:row r="527">
      <x:c r="A527" s="95" t="n">
        <x:v>4185</x:v>
      </x:c>
      <x:c r="B527" s="96" t="n">
        <x:v>45466.104166666664</x:v>
      </x:c>
      <x:c r="C527" s="97" t="str">
        <x:v>Hurricane</x:v>
      </x:c>
      <x:c r="D527" s="97" t="str">
        <x:v>India</x:v>
      </x:c>
      <x:c r="E527" s="98" t="n">
        <x:v>6.151509511848005</x:v>
      </x:c>
      <x:c r="F527" s="99" t="n">
        <x:v>228.3041373565953</x:v>
      </x:c>
      <x:c r="G527" s="100" t="str">
        <x:f>XLOOKUP(D527,'Reference Tables'!$A$4:$A$23,'Reference Tables'!$B$4:$B$23,"Other")</x:f>
        <x:v>Asia Pacific</x:v>
      </x:c>
      <x:c r="H527" s="100" t="str">
        <x:f>VLOOKUP(G527,'Reference Tables'!$I$4:$J$9,2,FALSE)</x:f>
        <x:v>High</x:v>
      </x:c>
      <x:c r="I527" s="101" t="n">
        <x:f>F527*'Inputs &amp; Guide'!$B$4*XLOOKUP(D527,'Reference Tables'!$A$4:$A$23,'Reference Tables'!$C$4:$C$23,0.75)</x:f>
        <x:v>33.24108239912028</x:v>
      </x:c>
      <x:c r="J527" s="102" t="n">
        <x:f>XLOOKUP(C527,'Reference Tables'!$E$4:$E$12,'Reference Tables'!$F$4:$F$12,0.05)</x:f>
        <x:v>0.18</x:v>
      </x:c>
      <x:c r="K527" s="103" t="n">
        <x:f>MIN(I527,F527*J527)</x:f>
        <x:v>33.24108239912028</x:v>
      </x:c>
      <x:c r="L527" s="103" t="n">
        <x:f>'Inputs &amp; Guide'!$B$5</x:f>
        <x:v>15</x:v>
      </x:c>
      <x:c r="M527" s="103" t="n">
        <x:f>I527*'Inputs &amp; Guide'!$B$6</x:f>
        <x:v>18.282595319516155</x:v>
      </x:c>
      <x:c r="N527" s="103" t="n">
        <x:f>MAX(0,MIN(K527-L527,M527))</x:f>
        <x:v>18.24108239912028</x:v>
      </x:c>
      <x:c r="O527" s="103" t="n">
        <x:f>MAX(0,N527-'Inputs &amp; Guide'!$B$7)</x:f>
        <x:v>0</x:v>
      </x:c>
      <x:c r="P527" s="103" t="n">
        <x:f>N527-O527</x:f>
        <x:v>18.24108239912028</x:v>
      </x:c>
      <x:c r="Q527" s="103" t="n">
        <x:f>I527*'Inputs &amp; Guide'!$B$8</x:f>
        <x:v>0.598339483184165</x:v>
      </x:c>
      <x:c r="R527" s="104" t="n">
        <x:f>IFERROR(P527/Q527,0)</x:f>
        <x:v>30.486175343213638</x:v>
      </x:c>
      <x:c r="S527" s="105" t="n">
        <x:f>ROUND(E527*XLOOKUP(C527,'Reference Tables'!$E$4:$E$12,'Reference Tables'!$G$4:$G$12,1),1)</x:f>
        <x:v>8.6</x:v>
      </x:c>
      <x:c r="T527" s="106" t="str">
        <x:f>IF(R527&gt;='Inputs &amp; Guide'!$B$9,"HIGH",IF(R527&gt;=0.45,"WATCH","NORMAL"))</x:f>
        <x:v>HIGH</x:v>
      </x:c>
    </x:row>
    <x:row r="528">
      <x:c r="A528" s="95" t="n">
        <x:v>4193</x:v>
      </x:c>
      <x:c r="B528" s="96" t="n">
        <x:v>45466.4375</x:v>
      </x:c>
      <x:c r="C528" s="97" t="str">
        <x:v>Hurricane</x:v>
      </x:c>
      <x:c r="D528" s="97" t="str">
        <x:v>India</x:v>
      </x:c>
      <x:c r="E528" s="98" t="n">
        <x:v>4.218857754162323</x:v>
      </x:c>
      <x:c r="F528" s="99" t="n">
        <x:v>696.2566742797957</x:v>
      </x:c>
      <x:c r="G528" s="100" t="str">
        <x:f>XLOOKUP(D528,'Reference Tables'!$A$4:$A$23,'Reference Tables'!$B$4:$B$23,"Other")</x:f>
        <x:v>Asia Pacific</x:v>
      </x:c>
      <x:c r="H528" s="100" t="str">
        <x:f>VLOOKUP(G528,'Reference Tables'!$I$4:$J$9,2,FALSE)</x:f>
        <x:v>High</x:v>
      </x:c>
      <x:c r="I528" s="101" t="n">
        <x:f>F528*'Inputs &amp; Guide'!$B$4*XLOOKUP(D528,'Reference Tables'!$A$4:$A$23,'Reference Tables'!$C$4:$C$23,0.75)</x:f>
        <x:v>101.37497177513826</x:v>
      </x:c>
      <x:c r="J528" s="102" t="n">
        <x:f>XLOOKUP(C528,'Reference Tables'!$E$4:$E$12,'Reference Tables'!$F$4:$F$12,0.05)</x:f>
        <x:v>0.18</x:v>
      </x:c>
      <x:c r="K528" s="103" t="n">
        <x:f>MIN(I528,F528*J528)</x:f>
        <x:v>101.37497177513826</x:v>
      </x:c>
      <x:c r="L528" s="103" t="n">
        <x:f>'Inputs &amp; Guide'!$B$5</x:f>
        <x:v>15</x:v>
      </x:c>
      <x:c r="M528" s="103" t="n">
        <x:f>I528*'Inputs &amp; Guide'!$B$6</x:f>
        <x:v>55.75623447632605</x:v>
      </x:c>
      <x:c r="N528" s="103" t="n">
        <x:f>MAX(0,MIN(K528-L528,M528))</x:f>
        <x:v>55.75623447632605</x:v>
      </x:c>
      <x:c r="O528" s="103" t="n">
        <x:f>MAX(0,N528-'Inputs &amp; Guide'!$B$7)</x:f>
        <x:v>0</x:v>
      </x:c>
      <x:c r="P528" s="103" t="n">
        <x:f>N528-O528</x:f>
        <x:v>55.75623447632605</x:v>
      </x:c>
      <x:c r="Q528" s="103" t="n">
        <x:f>I528*'Inputs &amp; Guide'!$B$8</x:f>
        <x:v>1.8247494919524887</x:v>
      </x:c>
      <x:c r="R528" s="104" t="n">
        <x:f>IFERROR(P528/Q528,0)</x:f>
        <x:v>30.55555555555556</x:v>
      </x:c>
      <x:c r="S528" s="105" t="n">
        <x:f>ROUND(E528*XLOOKUP(C528,'Reference Tables'!$E$4:$E$12,'Reference Tables'!$G$4:$G$12,1),1)</x:f>
        <x:v>5.9</x:v>
      </x:c>
      <x:c r="T528" s="106" t="str">
        <x:f>IF(R528&gt;='Inputs &amp; Guide'!$B$9,"HIGH",IF(R528&gt;=0.45,"WATCH","NORMAL"))</x:f>
        <x:v>HIGH</x:v>
      </x:c>
    </x:row>
    <x:row r="529">
      <x:c r="A529" s="95" t="n">
        <x:v>4201</x:v>
      </x:c>
      <x:c r="B529" s="96" t="n">
        <x:v>45467</x:v>
      </x:c>
      <x:c r="C529" s="97" t="str">
        <x:v>Tornado</x:v>
      </x:c>
      <x:c r="D529" s="97" t="str">
        <x:v>Japan</x:v>
      </x:c>
      <x:c r="E529" s="98" t="n">
        <x:v>7.413537476414868</x:v>
      </x:c>
      <x:c r="F529" s="99" t="n">
        <x:v>771.3397436164365</x:v>
      </x:c>
      <x:c r="G529" s="100" t="str">
        <x:f>XLOOKUP(D529,'Reference Tables'!$A$4:$A$23,'Reference Tables'!$B$4:$B$23,"Other")</x:f>
        <x:v>Asia Pacific</x:v>
      </x:c>
      <x:c r="H529" s="100" t="str">
        <x:f>VLOOKUP(G529,'Reference Tables'!$I$4:$J$9,2,FALSE)</x:f>
        <x:v>High</x:v>
      </x:c>
      <x:c r="I529" s="101" t="n">
        <x:f>F529*'Inputs &amp; Guide'!$B$4*XLOOKUP(D529,'Reference Tables'!$A$4:$A$23,'Reference Tables'!$C$4:$C$23,0.75)</x:f>
        <x:v>145.6289435947832</x:v>
      </x:c>
      <x:c r="J529" s="102" t="n">
        <x:f>XLOOKUP(C529,'Reference Tables'!$E$4:$E$12,'Reference Tables'!$F$4:$F$12,0.05)</x:f>
        <x:v>0.09</x:v>
      </x:c>
      <x:c r="K529" s="103" t="n">
        <x:f>MIN(I529,F529*J529)</x:f>
        <x:v>69.42057692547928</x:v>
      </x:c>
      <x:c r="L529" s="103" t="n">
        <x:f>'Inputs &amp; Guide'!$B$5</x:f>
        <x:v>15</x:v>
      </x:c>
      <x:c r="M529" s="103" t="n">
        <x:f>I529*'Inputs &amp; Guide'!$B$6</x:f>
        <x:v>80.09591897713076</x:v>
      </x:c>
      <x:c r="N529" s="103" t="n">
        <x:f>MAX(0,MIN(K529-L529,M529))</x:f>
        <x:v>54.42057692547928</x:v>
      </x:c>
      <x:c r="O529" s="103" t="n">
        <x:f>MAX(0,N529-'Inputs &amp; Guide'!$B$7)</x:f>
        <x:v>0</x:v>
      </x:c>
      <x:c r="P529" s="103" t="n">
        <x:f>N529-O529</x:f>
        <x:v>54.42057692547928</x:v>
      </x:c>
      <x:c r="Q529" s="103" t="n">
        <x:f>I529*'Inputs &amp; Guide'!$B$8</x:f>
        <x:v>2.6213209847060974</x:v>
      </x:c>
      <x:c r="R529" s="104" t="n">
        <x:f>IFERROR(P529/Q529,0)</x:f>
        <x:v>20.760745152155</x:v>
      </x:c>
      <x:c r="S529" s="105" t="n">
        <x:f>ROUND(E529*XLOOKUP(C529,'Reference Tables'!$E$4:$E$12,'Reference Tables'!$G$4:$G$12,1),1)</x:f>
        <x:v>7.8</x:v>
      </x:c>
      <x:c r="T529" s="106" t="str">
        <x:f>IF(R529&gt;='Inputs &amp; Guide'!$B$9,"HIGH",IF(R529&gt;=0.45,"WATCH","NORMAL"))</x:f>
        <x:v>HIGH</x:v>
      </x:c>
    </x:row>
    <x:row r="530">
      <x:c r="A530" s="95" t="n">
        <x:v>4209</x:v>
      </x:c>
      <x:c r="B530" s="96" t="n">
        <x:v>45467.104166666664</x:v>
      </x:c>
      <x:c r="C530" s="97" t="str">
        <x:v>Hurricane</x:v>
      </x:c>
      <x:c r="D530" s="97" t="str">
        <x:v>Indonesia</x:v>
      </x:c>
      <x:c r="E530" s="98" t="n">
        <x:v>6.519293939448725</x:v>
      </x:c>
      <x:c r="F530" s="99" t="n">
        <x:v>419.9227789834043</x:v>
      </x:c>
      <x:c r="G530" s="100" t="str">
        <x:f>XLOOKUP(D530,'Reference Tables'!$A$4:$A$23,'Reference Tables'!$B$4:$B$23,"Other")</x:f>
        <x:v>Asia Pacific</x:v>
      </x:c>
      <x:c r="H530" s="100" t="str">
        <x:f>VLOOKUP(G530,'Reference Tables'!$I$4:$J$9,2,FALSE)</x:f>
        <x:v>High</x:v>
      </x:c>
      <x:c r="I530" s="101" t="n">
        <x:f>F530*'Inputs &amp; Guide'!$B$4*XLOOKUP(D530,'Reference Tables'!$A$4:$A$23,'Reference Tables'!$C$4:$C$23,0.75)</x:f>
        <x:v>69.20327397646503</x:v>
      </x:c>
      <x:c r="J530" s="102" t="n">
        <x:f>XLOOKUP(C530,'Reference Tables'!$E$4:$E$12,'Reference Tables'!$F$4:$F$12,0.05)</x:f>
        <x:v>0.18</x:v>
      </x:c>
      <x:c r="K530" s="103" t="n">
        <x:f>MIN(I530,F530*J530)</x:f>
        <x:v>69.20327397646503</x:v>
      </x:c>
      <x:c r="L530" s="103" t="n">
        <x:f>'Inputs &amp; Guide'!$B$5</x:f>
        <x:v>15</x:v>
      </x:c>
      <x:c r="M530" s="103" t="n">
        <x:f>I530*'Inputs &amp; Guide'!$B$6</x:f>
        <x:v>38.061800687055765</x:v>
      </x:c>
      <x:c r="N530" s="103" t="n">
        <x:f>MAX(0,MIN(K530-L530,M530))</x:f>
        <x:v>38.061800687055765</x:v>
      </x:c>
      <x:c r="O530" s="103" t="n">
        <x:f>MAX(0,N530-'Inputs &amp; Guide'!$B$7)</x:f>
        <x:v>0</x:v>
      </x:c>
      <x:c r="P530" s="103" t="n">
        <x:f>N530-O530</x:f>
        <x:v>38.061800687055765</x:v>
      </x:c>
      <x:c r="Q530" s="103" t="n">
        <x:f>I530*'Inputs &amp; Guide'!$B$8</x:f>
        <x:v>1.2456589315763704</x:v>
      </x:c>
      <x:c r="R530" s="104" t="n">
        <x:f>IFERROR(P530/Q530,0)</x:f>
        <x:v>30.555555555555557</x:v>
      </x:c>
      <x:c r="S530" s="105" t="n">
        <x:f>ROUND(E530*XLOOKUP(C530,'Reference Tables'!$E$4:$E$12,'Reference Tables'!$G$4:$G$12,1),1)</x:f>
        <x:v>9.1</x:v>
      </x:c>
      <x:c r="T530" s="106" t="str">
        <x:f>IF(R530&gt;='Inputs &amp; Guide'!$B$9,"HIGH",IF(R530&gt;=0.45,"WATCH","NORMAL"))</x:f>
        <x:v>HIGH</x:v>
      </x:c>
    </x:row>
    <x:row r="531">
      <x:c r="A531" s="95" t="n">
        <x:v>4217</x:v>
      </x:c>
      <x:c r="B531" s="96" t="n">
        <x:v>45467.4375</x:v>
      </x:c>
      <x:c r="C531" s="97" t="str">
        <x:v>Earthquake</x:v>
      </x:c>
      <x:c r="D531" s="97" t="str">
        <x:v>Brazil</x:v>
      </x:c>
      <x:c r="E531" s="98" t="n">
        <x:v>8.118546033623046</x:v>
      </x:c>
      <x:c r="F531" s="99" t="n">
        <x:v>307.4863013506966</x:v>
      </x:c>
      <x:c r="G531" s="100" t="str">
        <x:f>XLOOKUP(D531,'Reference Tables'!$A$4:$A$23,'Reference Tables'!$B$4:$B$23,"Other")</x:f>
        <x:v>Latin America</x:v>
      </x:c>
      <x:c r="H531" s="100" t="str">
        <x:f>VLOOKUP(G531,'Reference Tables'!$I$4:$J$9,2,FALSE)</x:f>
        <x:v>Moderate</x:v>
      </x:c>
      <x:c r="I531" s="101" t="n">
        <x:f>F531*'Inputs &amp; Guide'!$B$4*XLOOKUP(D531,'Reference Tables'!$A$4:$A$23,'Reference Tables'!$C$4:$C$23,0.75)</x:f>
        <x:v>40.34220273721139</x:v>
      </x:c>
      <x:c r="J531" s="102" t="n">
        <x:f>XLOOKUP(C531,'Reference Tables'!$E$4:$E$12,'Reference Tables'!$F$4:$F$12,0.05)</x:f>
        <x:v>0.14</x:v>
      </x:c>
      <x:c r="K531" s="103" t="n">
        <x:f>MIN(I531,F531*J531)</x:f>
        <x:v>40.34220273721139</x:v>
      </x:c>
      <x:c r="L531" s="103" t="n">
        <x:f>'Inputs &amp; Guide'!$B$5</x:f>
        <x:v>15</x:v>
      </x:c>
      <x:c r="M531" s="103" t="n">
        <x:f>I531*'Inputs &amp; Guide'!$B$6</x:f>
        <x:v>22.188211505466263</x:v>
      </x:c>
      <x:c r="N531" s="103" t="n">
        <x:f>MAX(0,MIN(K531-L531,M531))</x:f>
        <x:v>22.188211505466263</x:v>
      </x:c>
      <x:c r="O531" s="103" t="n">
        <x:f>MAX(0,N531-'Inputs &amp; Guide'!$B$7)</x:f>
        <x:v>0</x:v>
      </x:c>
      <x:c r="P531" s="103" t="n">
        <x:f>N531-O531</x:f>
        <x:v>22.188211505466263</x:v>
      </x:c>
      <x:c r="Q531" s="103" t="n">
        <x:f>I531*'Inputs &amp; Guide'!$B$8</x:f>
        <x:v>0.7261596492698049</x:v>
      </x:c>
      <x:c r="R531" s="104" t="n">
        <x:f>IFERROR(P531/Q531,0)</x:f>
        <x:v>30.555555555555557</x:v>
      </x:c>
      <x:c r="S531" s="105" t="n">
        <x:f>ROUND(E531*XLOOKUP(C531,'Reference Tables'!$E$4:$E$12,'Reference Tables'!$G$4:$G$12,1),1)</x:f>
        <x:v>12.2</x:v>
      </x:c>
      <x:c r="T531" s="106" t="str">
        <x:f>IF(R531&gt;='Inputs &amp; Guide'!$B$9,"HIGH",IF(R531&gt;=0.45,"WATCH","NORMAL"))</x:f>
        <x:v>HIGH</x:v>
      </x:c>
    </x:row>
    <x:row r="532">
      <x:c r="A532" s="95" t="n">
        <x:v>4225</x:v>
      </x:c>
      <x:c r="B532" s="96" t="n">
        <x:v>45468</x:v>
      </x:c>
      <x:c r="C532" s="97" t="str">
        <x:v>Earthquake</x:v>
      </x:c>
      <x:c r="D532" s="97" t="str">
        <x:v>Japan</x:v>
      </x:c>
      <x:c r="E532" s="98" t="n">
        <x:v>2.0203631854877218</x:v>
      </x:c>
      <x:c r="F532" s="99" t="n">
        <x:v>280.916938690882</x:v>
      </x:c>
      <x:c r="G532" s="100" t="str">
        <x:f>XLOOKUP(D532,'Reference Tables'!$A$4:$A$23,'Reference Tables'!$B$4:$B$23,"Other")</x:f>
        <x:v>Asia Pacific</x:v>
      </x:c>
      <x:c r="H532" s="100" t="str">
        <x:f>VLOOKUP(G532,'Reference Tables'!$I$4:$J$9,2,FALSE)</x:f>
        <x:v>High</x:v>
      </x:c>
      <x:c r="I532" s="101" t="n">
        <x:f>F532*'Inputs &amp; Guide'!$B$4*XLOOKUP(D532,'Reference Tables'!$A$4:$A$23,'Reference Tables'!$C$4:$C$23,0.75)</x:f>
        <x:v>53.03711802483852</x:v>
      </x:c>
      <x:c r="J532" s="102" t="n">
        <x:f>XLOOKUP(C532,'Reference Tables'!$E$4:$E$12,'Reference Tables'!$F$4:$F$12,0.05)</x:f>
        <x:v>0.14</x:v>
      </x:c>
      <x:c r="K532" s="103" t="n">
        <x:f>MIN(I532,F532*J532)</x:f>
        <x:v>39.32837141672348</x:v>
      </x:c>
      <x:c r="L532" s="103" t="n">
        <x:f>'Inputs &amp; Guide'!$B$5</x:f>
        <x:v>15</x:v>
      </x:c>
      <x:c r="M532" s="103" t="n">
        <x:f>I532*'Inputs &amp; Guide'!$B$6</x:f>
        <x:v>29.170414913661187</x:v>
      </x:c>
      <x:c r="N532" s="103" t="n">
        <x:f>MAX(0,MIN(K532-L532,M532))</x:f>
        <x:v>24.328371416723478</x:v>
      </x:c>
      <x:c r="O532" s="103" t="n">
        <x:f>MAX(0,N532-'Inputs &amp; Guide'!$B$7)</x:f>
        <x:v>0</x:v>
      </x:c>
      <x:c r="P532" s="103" t="n">
        <x:f>N532-O532</x:f>
        <x:v>24.328371416723478</x:v>
      </x:c>
      <x:c r="Q532" s="103" t="n">
        <x:f>I532*'Inputs &amp; Guide'!$B$8</x:f>
        <x:v>0.9546681244470933</x:v>
      </x:c>
      <x:c r="R532" s="104" t="n">
        <x:f>IFERROR(P532/Q532,0)</x:f>
        <x:v>25.483590363733498</x:v>
      </x:c>
      <x:c r="S532" s="105" t="n">
        <x:f>ROUND(E532*XLOOKUP(C532,'Reference Tables'!$E$4:$E$12,'Reference Tables'!$G$4:$G$12,1),1)</x:f>
        <x:v>3</x:v>
      </x:c>
      <x:c r="T532" s="106" t="str">
        <x:f>IF(R532&gt;='Inputs &amp; Guide'!$B$9,"HIGH",IF(R532&gt;=0.45,"WATCH","NORMAL"))</x:f>
        <x:v>HIGH</x:v>
      </x:c>
    </x:row>
    <x:row r="533">
      <x:c r="A533" s="95" t="n">
        <x:v>4233</x:v>
      </x:c>
      <x:c r="B533" s="96" t="n">
        <x:v>45468.104166666664</x:v>
      </x:c>
      <x:c r="C533" s="97" t="str">
        <x:v>Tornado</x:v>
      </x:c>
      <x:c r="D533" s="97" t="str">
        <x:v>China</x:v>
      </x:c>
      <x:c r="E533" s="98" t="n">
        <x:v>7.041529049743184</x:v>
      </x:c>
      <x:c r="F533" s="99" t="n">
        <x:v>707.1282163190544</x:v>
      </x:c>
      <x:c r="G533" s="100" t="str">
        <x:f>XLOOKUP(D533,'Reference Tables'!$A$4:$A$23,'Reference Tables'!$B$4:$B$23,"Other")</x:f>
        <x:v>Asia Pacific</x:v>
      </x:c>
      <x:c r="H533" s="100" t="str">
        <x:f>VLOOKUP(G533,'Reference Tables'!$I$4:$J$9,2,FALSE)</x:f>
        <x:v>High</x:v>
      </x:c>
      <x:c r="I533" s="101" t="n">
        <x:f>F533*'Inputs &amp; Guide'!$B$4*XLOOKUP(D533,'Reference Tables'!$A$4:$A$23,'Reference Tables'!$C$4:$C$23,0.75)</x:f>
        <x:v>122.19175577993262</x:v>
      </x:c>
      <x:c r="J533" s="102" t="n">
        <x:f>XLOOKUP(C533,'Reference Tables'!$E$4:$E$12,'Reference Tables'!$F$4:$F$12,0.05)</x:f>
        <x:v>0.09</x:v>
      </x:c>
      <x:c r="K533" s="103" t="n">
        <x:f>MIN(I533,F533*J533)</x:f>
        <x:v>63.641539468714896</x:v>
      </x:c>
      <x:c r="L533" s="103" t="n">
        <x:f>'Inputs &amp; Guide'!$B$5</x:f>
        <x:v>15</x:v>
      </x:c>
      <x:c r="M533" s="103" t="n">
        <x:f>I533*'Inputs &amp; Guide'!$B$6</x:f>
        <x:v>67.20546567896295</x:v>
      </x:c>
      <x:c r="N533" s="103" t="n">
        <x:f>MAX(0,MIN(K533-L533,M533))</x:f>
        <x:v>48.641539468714896</x:v>
      </x:c>
      <x:c r="O533" s="103" t="n">
        <x:f>MAX(0,N533-'Inputs &amp; Guide'!$B$7)</x:f>
        <x:v>0</x:v>
      </x:c>
      <x:c r="P533" s="103" t="n">
        <x:f>N533-O533</x:f>
        <x:v>48.641539468714896</x:v>
      </x:c>
      <x:c r="Q533" s="103" t="n">
        <x:f>I533*'Inputs &amp; Guide'!$B$8</x:f>
        <x:v>2.199451604038787</x:v>
      </x:c>
      <x:c r="R533" s="104" t="n">
        <x:f>IFERROR(P533/Q533,0)</x:f>
        <x:v>22.115303368983387</x:v>
      </x:c>
      <x:c r="S533" s="105" t="n">
        <x:f>ROUND(E533*XLOOKUP(C533,'Reference Tables'!$E$4:$E$12,'Reference Tables'!$G$4:$G$12,1),1)</x:f>
        <x:v>7.4</x:v>
      </x:c>
      <x:c r="T533" s="106" t="str">
        <x:f>IF(R533&gt;='Inputs &amp; Guide'!$B$9,"HIGH",IF(R533&gt;=0.45,"WATCH","NORMAL"))</x:f>
        <x:v>HIGH</x:v>
      </x:c>
    </x:row>
    <x:row r="534">
      <x:c r="A534" s="95" t="n">
        <x:v>4241</x:v>
      </x:c>
      <x:c r="B534" s="96" t="n">
        <x:v>45468.4375</x:v>
      </x:c>
      <x:c r="C534" s="97" t="str">
        <x:v>Flood</x:v>
      </x:c>
      <x:c r="D534" s="97" t="str">
        <x:v>India</x:v>
      </x:c>
      <x:c r="E534" s="98" t="n">
        <x:v>1.1891924114239</x:v>
      </x:c>
      <x:c r="F534" s="99" t="n">
        <x:v>605.5183615792803</x:v>
      </x:c>
      <x:c r="G534" s="100" t="str">
        <x:f>XLOOKUP(D534,'Reference Tables'!$A$4:$A$23,'Reference Tables'!$B$4:$B$23,"Other")</x:f>
        <x:v>Asia Pacific</x:v>
      </x:c>
      <x:c r="H534" s="100" t="str">
        <x:f>VLOOKUP(G534,'Reference Tables'!$I$4:$J$9,2,FALSE)</x:f>
        <x:v>High</x:v>
      </x:c>
      <x:c r="I534" s="101" t="n">
        <x:f>F534*'Inputs &amp; Guide'!$B$4*XLOOKUP(D534,'Reference Tables'!$A$4:$A$23,'Reference Tables'!$C$4:$C$23,0.75)</x:f>
        <x:v>88.16347344594321</x:v>
      </x:c>
      <x:c r="J534" s="102" t="n">
        <x:f>XLOOKUP(C534,'Reference Tables'!$E$4:$E$12,'Reference Tables'!$F$4:$F$12,0.05)</x:f>
        <x:v>0.12</x:v>
      </x:c>
      <x:c r="K534" s="103" t="n">
        <x:f>MIN(I534,F534*J534)</x:f>
        <x:v>72.66220338951364</x:v>
      </x:c>
      <x:c r="L534" s="103" t="n">
        <x:f>'Inputs &amp; Guide'!$B$5</x:f>
        <x:v>15</x:v>
      </x:c>
      <x:c r="M534" s="103" t="n">
        <x:f>I534*'Inputs &amp; Guide'!$B$6</x:f>
        <x:v>48.48991039526877</x:v>
      </x:c>
      <x:c r="N534" s="103" t="n">
        <x:f>MAX(0,MIN(K534-L534,M534))</x:f>
        <x:v>48.48991039526877</x:v>
      </x:c>
      <x:c r="O534" s="103" t="n">
        <x:f>MAX(0,N534-'Inputs &amp; Guide'!$B$7)</x:f>
        <x:v>0</x:v>
      </x:c>
      <x:c r="P534" s="103" t="n">
        <x:f>N534-O534</x:f>
        <x:v>48.48991039526877</x:v>
      </x:c>
      <x:c r="Q534" s="103" t="n">
        <x:f>I534*'Inputs &amp; Guide'!$B$8</x:f>
        <x:v>1.5869425220269777</x:v>
      </x:c>
      <x:c r="R534" s="104" t="n">
        <x:f>IFERROR(P534/Q534,0)</x:f>
        <x:v>30.55555555555556</x:v>
      </x:c>
      <x:c r="S534" s="105" t="n">
        <x:f>ROUND(E534*XLOOKUP(C534,'Reference Tables'!$E$4:$E$12,'Reference Tables'!$G$4:$G$12,1),1)</x:f>
        <x:v>1.5</x:v>
      </x:c>
      <x:c r="T534" s="106" t="str">
        <x:f>IF(R534&gt;='Inputs &amp; Guide'!$B$9,"HIGH",IF(R534&gt;=0.45,"WATCH","NORMAL"))</x:f>
        <x:v>HIGH</x:v>
      </x:c>
    </x:row>
    <x:row r="535">
      <x:c r="A535" s="95" t="n">
        <x:v>4249</x:v>
      </x:c>
      <x:c r="B535" s="96" t="n">
        <x:v>45469</x:v>
      </x:c>
      <x:c r="C535" s="97" t="str">
        <x:v>Hurricane</x:v>
      </x:c>
      <x:c r="D535" s="97" t="str">
        <x:v>China</x:v>
      </x:c>
      <x:c r="E535" s="98" t="n">
        <x:v>3.8460954700644887</x:v>
      </x:c>
      <x:c r="F535" s="99" t="n">
        <x:v>41.5540512854996</x:v>
      </x:c>
      <x:c r="G535" s="100" t="str">
        <x:f>XLOOKUP(D535,'Reference Tables'!$A$4:$A$23,'Reference Tables'!$B$4:$B$23,"Other")</x:f>
        <x:v>Asia Pacific</x:v>
      </x:c>
      <x:c r="H535" s="100" t="str">
        <x:f>VLOOKUP(G535,'Reference Tables'!$I$4:$J$9,2,FALSE)</x:f>
        <x:v>High</x:v>
      </x:c>
      <x:c r="I535" s="101" t="n">
        <x:f>F535*'Inputs &amp; Guide'!$B$4*XLOOKUP(D535,'Reference Tables'!$A$4:$A$23,'Reference Tables'!$C$4:$C$23,0.75)</x:f>
        <x:v>7.180540062134331</x:v>
      </x:c>
      <x:c r="J535" s="102" t="n">
        <x:f>XLOOKUP(C535,'Reference Tables'!$E$4:$E$12,'Reference Tables'!$F$4:$F$12,0.05)</x:f>
        <x:v>0.18</x:v>
      </x:c>
      <x:c r="K535" s="103" t="n">
        <x:f>MIN(I535,F535*J535)</x:f>
        <x:v>7.180540062134331</x:v>
      </x:c>
      <x:c r="L535" s="103" t="n">
        <x:f>'Inputs &amp; Guide'!$B$5</x:f>
        <x:v>15</x:v>
      </x:c>
      <x:c r="M535" s="103" t="n">
        <x:f>I535*'Inputs &amp; Guide'!$B$6</x:f>
        <x:v>3.9492970341738824</x:v>
      </x:c>
      <x:c r="N535" s="103" t="n">
        <x:f>MAX(0,MIN(K535-L535,M535))</x:f>
        <x:v>0</x:v>
      </x:c>
      <x:c r="O535" s="103" t="n">
        <x:f>MAX(0,N535-'Inputs &amp; Guide'!$B$7)</x:f>
        <x:v>0</x:v>
      </x:c>
      <x:c r="P535" s="103" t="n">
        <x:f>N535-O535</x:f>
        <x:v>0</x:v>
      </x:c>
      <x:c r="Q535" s="103" t="n">
        <x:f>I535*'Inputs &amp; Guide'!$B$8</x:f>
        <x:v>0.12924972111841795</x:v>
      </x:c>
      <x:c r="R535" s="104" t="n">
        <x:f>IFERROR(P535/Q535,0)</x:f>
        <x:v>0</x:v>
      </x:c>
      <x:c r="S535" s="105" t="n">
        <x:f>ROUND(E535*XLOOKUP(C535,'Reference Tables'!$E$4:$E$12,'Reference Tables'!$G$4:$G$12,1),1)</x:f>
        <x:v>5.4</x:v>
      </x:c>
      <x:c r="T535" s="106" t="str">
        <x:f>IF(R535&gt;='Inputs &amp; Guide'!$B$9,"HIGH",IF(R535&gt;=0.45,"WATCH","NORMAL"))</x:f>
        <x:v>NORMAL</x:v>
      </x:c>
    </x:row>
    <x:row r="536">
      <x:c r="A536" s="95" t="n">
        <x:v>4257</x:v>
      </x:c>
      <x:c r="B536" s="96" t="n">
        <x:v>45469.104166666664</x:v>
      </x:c>
      <x:c r="C536" s="97" t="str">
        <x:v>Flood</x:v>
      </x:c>
      <x:c r="D536" s="97" t="str">
        <x:v>Japan</x:v>
      </x:c>
      <x:c r="E536" s="98" t="n">
        <x:v>8.15258588594736</x:v>
      </x:c>
      <x:c r="F536" s="99" t="n">
        <x:v>65.88714828705015</x:v>
      </x:c>
      <x:c r="G536" s="100" t="str">
        <x:f>XLOOKUP(D536,'Reference Tables'!$A$4:$A$23,'Reference Tables'!$B$4:$B$23,"Other")</x:f>
        <x:v>Asia Pacific</x:v>
      </x:c>
      <x:c r="H536" s="100" t="str">
        <x:f>VLOOKUP(G536,'Reference Tables'!$I$4:$J$9,2,FALSE)</x:f>
        <x:v>High</x:v>
      </x:c>
      <x:c r="I536" s="101" t="n">
        <x:f>F536*'Inputs &amp; Guide'!$B$4*XLOOKUP(D536,'Reference Tables'!$A$4:$A$23,'Reference Tables'!$C$4:$C$23,0.75)</x:f>
        <x:v>12.439493596595069</x:v>
      </x:c>
      <x:c r="J536" s="102" t="n">
        <x:f>XLOOKUP(C536,'Reference Tables'!$E$4:$E$12,'Reference Tables'!$F$4:$F$12,0.05)</x:f>
        <x:v>0.12</x:v>
      </x:c>
      <x:c r="K536" s="103" t="n">
        <x:f>MIN(I536,F536*J536)</x:f>
        <x:v>7.906457794446018</x:v>
      </x:c>
      <x:c r="L536" s="103" t="n">
        <x:f>'Inputs &amp; Guide'!$B$5</x:f>
        <x:v>15</x:v>
      </x:c>
      <x:c r="M536" s="103" t="n">
        <x:f>I536*'Inputs &amp; Guide'!$B$6</x:f>
        <x:v>6.841721478127289</x:v>
      </x:c>
      <x:c r="N536" s="103" t="n">
        <x:f>MAX(0,MIN(K536-L536,M536))</x:f>
        <x:v>0</x:v>
      </x:c>
      <x:c r="O536" s="103" t="n">
        <x:f>MAX(0,N536-'Inputs &amp; Guide'!$B$7)</x:f>
        <x:v>0</x:v>
      </x:c>
      <x:c r="P536" s="103" t="n">
        <x:f>N536-O536</x:f>
        <x:v>0</x:v>
      </x:c>
      <x:c r="Q536" s="103" t="n">
        <x:f>I536*'Inputs &amp; Guide'!$B$8</x:f>
        <x:v>0.22391088473871124</x:v>
      </x:c>
      <x:c r="R536" s="104" t="n">
        <x:f>IFERROR(P536/Q536,0)</x:f>
        <x:v>0</x:v>
      </x:c>
      <x:c r="S536" s="105" t="n">
        <x:f>ROUND(E536*XLOOKUP(C536,'Reference Tables'!$E$4:$E$12,'Reference Tables'!$G$4:$G$12,1),1)</x:f>
        <x:v>10.2</x:v>
      </x:c>
      <x:c r="T536" s="106" t="str">
        <x:f>IF(R536&gt;='Inputs &amp; Guide'!$B$9,"HIGH",IF(R536&gt;=0.45,"WATCH","NORMAL"))</x:f>
        <x:v>NORMAL</x:v>
      </x:c>
    </x:row>
    <x:row r="537">
      <x:c r="A537" s="95" t="n">
        <x:v>4265</x:v>
      </x:c>
      <x:c r="B537" s="96" t="n">
        <x:v>45469.4375</x:v>
      </x:c>
      <x:c r="C537" s="97" t="str">
        <x:v>Flood</x:v>
      </x:c>
      <x:c r="D537" s="97" t="str">
        <x:v>Brazil</x:v>
      </x:c>
      <x:c r="E537" s="98" t="n">
        <x:v>2.600584163475007</x:v>
      </x:c>
      <x:c r="F537" s="99" t="n">
        <x:v>477.35506979286845</x:v>
      </x:c>
      <x:c r="G537" s="100" t="str">
        <x:f>XLOOKUP(D537,'Reference Tables'!$A$4:$A$23,'Reference Tables'!$B$4:$B$23,"Other")</x:f>
        <x:v>Latin America</x:v>
      </x:c>
      <x:c r="H537" s="100" t="str">
        <x:f>VLOOKUP(G537,'Reference Tables'!$I$4:$J$9,2,FALSE)</x:f>
        <x:v>Moderate</x:v>
      </x:c>
      <x:c r="I537" s="101" t="n">
        <x:f>F537*'Inputs &amp; Guide'!$B$4*XLOOKUP(D537,'Reference Tables'!$A$4:$A$23,'Reference Tables'!$C$4:$C$23,0.75)</x:f>
        <x:v>62.62898515682434</x:v>
      </x:c>
      <x:c r="J537" s="102" t="n">
        <x:f>XLOOKUP(C537,'Reference Tables'!$E$4:$E$12,'Reference Tables'!$F$4:$F$12,0.05)</x:f>
        <x:v>0.12</x:v>
      </x:c>
      <x:c r="K537" s="103" t="n">
        <x:f>MIN(I537,F537*J537)</x:f>
        <x:v>57.282608375144214</x:v>
      </x:c>
      <x:c r="L537" s="103" t="n">
        <x:f>'Inputs &amp; Guide'!$B$5</x:f>
        <x:v>15</x:v>
      </x:c>
      <x:c r="M537" s="103" t="n">
        <x:f>I537*'Inputs &amp; Guide'!$B$6</x:f>
        <x:v>34.44594183625339</x:v>
      </x:c>
      <x:c r="N537" s="103" t="n">
        <x:f>MAX(0,MIN(K537-L537,M537))</x:f>
        <x:v>34.44594183625339</x:v>
      </x:c>
      <x:c r="O537" s="103" t="n">
        <x:f>MAX(0,N537-'Inputs &amp; Guide'!$B$7)</x:f>
        <x:v>0</x:v>
      </x:c>
      <x:c r="P537" s="103" t="n">
        <x:f>N537-O537</x:f>
        <x:v>34.44594183625339</x:v>
      </x:c>
      <x:c r="Q537" s="103" t="n">
        <x:f>I537*'Inputs &amp; Guide'!$B$8</x:f>
        <x:v>1.127321732822838</x:v>
      </x:c>
      <x:c r="R537" s="104" t="n">
        <x:f>IFERROR(P537/Q537,0)</x:f>
        <x:v>30.55555555555556</x:v>
      </x:c>
      <x:c r="S537" s="105" t="n">
        <x:f>ROUND(E537*XLOOKUP(C537,'Reference Tables'!$E$4:$E$12,'Reference Tables'!$G$4:$G$12,1),1)</x:f>
        <x:v>3.3</x:v>
      </x:c>
      <x:c r="T537" s="106" t="str">
        <x:f>IF(R537&gt;='Inputs &amp; Guide'!$B$9,"HIGH",IF(R537&gt;=0.45,"WATCH","NORMAL"))</x:f>
        <x:v>HIGH</x:v>
      </x:c>
    </x:row>
    <x:row r="538">
      <x:c r="A538" s="95" t="n">
        <x:v>4273</x:v>
      </x:c>
      <x:c r="B538" s="96" t="n">
        <x:v>45470</x:v>
      </x:c>
      <x:c r="C538" s="97" t="str">
        <x:v>Wildfire</x:v>
      </x:c>
      <x:c r="D538" s="97" t="str">
        <x:v>USA</x:v>
      </x:c>
      <x:c r="E538" s="98" t="n">
        <x:v>6.038282010949682</x:v>
      </x:c>
      <x:c r="F538" s="99" t="n">
        <x:v>208.35371821486117</x:v>
      </x:c>
      <x:c r="G538" s="100" t="str">
        <x:f>XLOOKUP(D538,'Reference Tables'!$A$4:$A$23,'Reference Tables'!$B$4:$B$23,"Other")</x:f>
        <x:v>Other</x:v>
      </x:c>
      <x:c r="H538" s="100" t="str">
        <x:f>VLOOKUP(G538,'Reference Tables'!$I$4:$J$9,2,FALSE)</x:f>
        <x:v>Moderate</x:v>
      </x:c>
      <x:c r="I538" s="101" t="n">
        <x:f>F538*'Inputs &amp; Guide'!$B$4*XLOOKUP(D538,'Reference Tables'!$A$4:$A$23,'Reference Tables'!$C$4:$C$23,0.75)</x:f>
        <x:v>25.00244618578334</x:v>
      </x:c>
      <x:c r="J538" s="102" t="n">
        <x:f>XLOOKUP(C538,'Reference Tables'!$E$4:$E$12,'Reference Tables'!$F$4:$F$12,0.05)</x:f>
        <x:v>0.1</x:v>
      </x:c>
      <x:c r="K538" s="103" t="n">
        <x:f>MIN(I538,F538*J538)</x:f>
        <x:v>20.83537182148612</x:v>
      </x:c>
      <x:c r="L538" s="103" t="n">
        <x:f>'Inputs &amp; Guide'!$B$5</x:f>
        <x:v>15</x:v>
      </x:c>
      <x:c r="M538" s="103" t="n">
        <x:f>I538*'Inputs &amp; Guide'!$B$6</x:f>
        <x:v>13.751345402180839</x:v>
      </x:c>
      <x:c r="N538" s="103" t="n">
        <x:f>MAX(0,MIN(K538-L538,M538))</x:f>
        <x:v>5.83537182148612</x:v>
      </x:c>
      <x:c r="O538" s="103" t="n">
        <x:f>MAX(0,N538-'Inputs &amp; Guide'!$B$7)</x:f>
        <x:v>0</x:v>
      </x:c>
      <x:c r="P538" s="103" t="n">
        <x:f>N538-O538</x:f>
        <x:v>5.83537182148612</x:v>
      </x:c>
      <x:c r="Q538" s="103" t="n">
        <x:f>I538*'Inputs &amp; Guide'!$B$8</x:f>
        <x:v>0.4500440313441001</x:v>
      </x:c>
      <x:c r="R538" s="104" t="n">
        <x:f>IFERROR(P538/Q538,0)</x:f>
        <x:v>12.966224224901321</x:v>
      </x:c>
      <x:c r="S538" s="105" t="n">
        <x:f>ROUND(E538*XLOOKUP(C538,'Reference Tables'!$E$4:$E$12,'Reference Tables'!$G$4:$G$12,1),1)</x:f>
        <x:v>6.9</x:v>
      </x:c>
      <x:c r="T538" s="106" t="str">
        <x:f>IF(R538&gt;='Inputs &amp; Guide'!$B$9,"HIGH",IF(R538&gt;=0.45,"WATCH","NORMAL"))</x:f>
        <x:v>HIGH</x:v>
      </x:c>
    </x:row>
    <x:row r="539">
      <x:c r="A539" s="95" t="n">
        <x:v>4281</x:v>
      </x:c>
      <x:c r="B539" s="96" t="n">
        <x:v>45470.104166666664</x:v>
      </x:c>
      <x:c r="C539" s="97" t="str">
        <x:v>Flood</x:v>
      </x:c>
      <x:c r="D539" s="97" t="str">
        <x:v>USA</x:v>
      </x:c>
      <x:c r="E539" s="98" t="n">
        <x:v>9.033800506666887</x:v>
      </x:c>
      <x:c r="F539" s="99" t="n">
        <x:v>863.4472756918651</x:v>
      </x:c>
      <x:c r="G539" s="100" t="str">
        <x:f>XLOOKUP(D539,'Reference Tables'!$A$4:$A$23,'Reference Tables'!$B$4:$B$23,"Other")</x:f>
        <x:v>Other</x:v>
      </x:c>
      <x:c r="H539" s="100" t="str">
        <x:f>VLOOKUP(G539,'Reference Tables'!$I$4:$J$9,2,FALSE)</x:f>
        <x:v>Moderate</x:v>
      </x:c>
      <x:c r="I539" s="101" t="n">
        <x:f>F539*'Inputs &amp; Guide'!$B$4*XLOOKUP(D539,'Reference Tables'!$A$4:$A$23,'Reference Tables'!$C$4:$C$23,0.75)</x:f>
        <x:v>103.61367308302381</x:v>
      </x:c>
      <x:c r="J539" s="102" t="n">
        <x:f>XLOOKUP(C539,'Reference Tables'!$E$4:$E$12,'Reference Tables'!$F$4:$F$12,0.05)</x:f>
        <x:v>0.12</x:v>
      </x:c>
      <x:c r="K539" s="103" t="n">
        <x:f>MIN(I539,F539*J539)</x:f>
        <x:v>103.61367308302381</x:v>
      </x:c>
      <x:c r="L539" s="103" t="n">
        <x:f>'Inputs &amp; Guide'!$B$5</x:f>
        <x:v>15</x:v>
      </x:c>
      <x:c r="M539" s="103" t="n">
        <x:f>I539*'Inputs &amp; Guide'!$B$6</x:f>
        <x:v>56.9875201956631</x:v>
      </x:c>
      <x:c r="N539" s="103" t="n">
        <x:f>MAX(0,MIN(K539-L539,M539))</x:f>
        <x:v>56.9875201956631</x:v>
      </x:c>
      <x:c r="O539" s="103" t="n">
        <x:f>MAX(0,N539-'Inputs &amp; Guide'!$B$7)</x:f>
        <x:v>0</x:v>
      </x:c>
      <x:c r="P539" s="103" t="n">
        <x:f>N539-O539</x:f>
        <x:v>56.9875201956631</x:v>
      </x:c>
      <x:c r="Q539" s="103" t="n">
        <x:f>I539*'Inputs &amp; Guide'!$B$8</x:f>
        <x:v>1.8650461154944284</x:v>
      </x:c>
      <x:c r="R539" s="104" t="n">
        <x:f>IFERROR(P539/Q539,0)</x:f>
        <x:v>30.55555555555556</x:v>
      </x:c>
      <x:c r="S539" s="105" t="n">
        <x:f>ROUND(E539*XLOOKUP(C539,'Reference Tables'!$E$4:$E$12,'Reference Tables'!$G$4:$G$12,1),1)</x:f>
        <x:v>11.3</x:v>
      </x:c>
      <x:c r="T539" s="106" t="str">
        <x:f>IF(R539&gt;='Inputs &amp; Guide'!$B$9,"HIGH",IF(R539&gt;=0.45,"WATCH","NORMAL"))</x:f>
        <x:v>HIGH</x:v>
      </x:c>
    </x:row>
    <x:row r="540">
      <x:c r="A540" s="95" t="n">
        <x:v>4289</x:v>
      </x:c>
      <x:c r="B540" s="96" t="n">
        <x:v>45470.4375</x:v>
      </x:c>
      <x:c r="C540" s="97" t="str">
        <x:v>Hurricane</x:v>
      </x:c>
      <x:c r="D540" s="97" t="str">
        <x:v>Japan</x:v>
      </x:c>
      <x:c r="E540" s="98" t="n">
        <x:v>9.163806531951595</x:v>
      </x:c>
      <x:c r="F540" s="99" t="n">
        <x:v>825.3205408330033</x:v>
      </x:c>
      <x:c r="G540" s="100" t="str">
        <x:f>XLOOKUP(D540,'Reference Tables'!$A$4:$A$23,'Reference Tables'!$B$4:$B$23,"Other")</x:f>
        <x:v>Asia Pacific</x:v>
      </x:c>
      <x:c r="H540" s="100" t="str">
        <x:f>VLOOKUP(G540,'Reference Tables'!$I$4:$J$9,2,FALSE)</x:f>
        <x:v>High</x:v>
      </x:c>
      <x:c r="I540" s="101" t="n">
        <x:f>F540*'Inputs &amp; Guide'!$B$4*XLOOKUP(D540,'Reference Tables'!$A$4:$A$23,'Reference Tables'!$C$4:$C$23,0.75)</x:f>
        <x:v>155.820518109271</x:v>
      </x:c>
      <x:c r="J540" s="102" t="n">
        <x:f>XLOOKUP(C540,'Reference Tables'!$E$4:$E$12,'Reference Tables'!$F$4:$F$12,0.05)</x:f>
        <x:v>0.18</x:v>
      </x:c>
      <x:c r="K540" s="103" t="n">
        <x:f>MIN(I540,F540*J540)</x:f>
        <x:v>148.55769734994058</x:v>
      </x:c>
      <x:c r="L540" s="103" t="n">
        <x:f>'Inputs &amp; Guide'!$B$5</x:f>
        <x:v>15</x:v>
      </x:c>
      <x:c r="M540" s="103" t="n">
        <x:f>I540*'Inputs &amp; Guide'!$B$6</x:f>
        <x:v>85.70128496009906</x:v>
      </x:c>
      <x:c r="N540" s="103" t="n">
        <x:f>MAX(0,MIN(K540-L540,M540))</x:f>
        <x:v>85.70128496009906</x:v>
      </x:c>
      <x:c r="O540" s="103" t="n">
        <x:f>MAX(0,N540-'Inputs &amp; Guide'!$B$7)</x:f>
        <x:v>25.70128496009906</x:v>
      </x:c>
      <x:c r="P540" s="103" t="n">
        <x:f>N540-O540</x:f>
        <x:v>60</x:v>
      </x:c>
      <x:c r="Q540" s="103" t="n">
        <x:f>I540*'Inputs &amp; Guide'!$B$8</x:f>
        <x:v>2.804769325966878</x:v>
      </x:c>
      <x:c r="R540" s="104" t="n">
        <x:f>IFERROR(P540/Q540,0)</x:f>
        <x:v>21.39213355070347</x:v>
      </x:c>
      <x:c r="S540" s="105" t="n">
        <x:f>ROUND(E540*XLOOKUP(C540,'Reference Tables'!$E$4:$E$12,'Reference Tables'!$G$4:$G$12,1),1)</x:f>
        <x:v>12.8</x:v>
      </x:c>
      <x:c r="T540" s="106" t="str">
        <x:f>IF(R540&gt;='Inputs &amp; Guide'!$B$9,"HIGH",IF(R540&gt;=0.45,"WATCH","NORMAL"))</x:f>
        <x:v>HIGH</x:v>
      </x:c>
    </x:row>
    <x:row r="541">
      <x:c r="A541" s="95" t="n">
        <x:v>4297</x:v>
      </x:c>
      <x:c r="B541" s="96" t="n">
        <x:v>45471</x:v>
      </x:c>
      <x:c r="C541" s="97" t="str">
        <x:v>Flood</x:v>
      </x:c>
      <x:c r="D541" s="97" t="str">
        <x:v>Japan</x:v>
      </x:c>
      <x:c r="E541" s="98" t="n">
        <x:v>6.134396217853845</x:v>
      </x:c>
      <x:c r="F541" s="99" t="n">
        <x:v>303.18595363592385</x:v>
      </x:c>
      <x:c r="G541" s="100" t="str">
        <x:f>XLOOKUP(D541,'Reference Tables'!$A$4:$A$23,'Reference Tables'!$B$4:$B$23,"Other")</x:f>
        <x:v>Asia Pacific</x:v>
      </x:c>
      <x:c r="H541" s="100" t="str">
        <x:f>VLOOKUP(G541,'Reference Tables'!$I$4:$J$9,2,FALSE)</x:f>
        <x:v>High</x:v>
      </x:c>
      <x:c r="I541" s="101" t="n">
        <x:f>F541*'Inputs &amp; Guide'!$B$4*XLOOKUP(D541,'Reference Tables'!$A$4:$A$23,'Reference Tables'!$C$4:$C$23,0.75)</x:f>
        <x:v>57.24150804646242</x:v>
      </x:c>
      <x:c r="J541" s="102" t="n">
        <x:f>XLOOKUP(C541,'Reference Tables'!$E$4:$E$12,'Reference Tables'!$F$4:$F$12,0.05)</x:f>
        <x:v>0.12</x:v>
      </x:c>
      <x:c r="K541" s="103" t="n">
        <x:f>MIN(I541,F541*J541)</x:f>
        <x:v>36.382314436310864</x:v>
      </x:c>
      <x:c r="L541" s="103" t="n">
        <x:f>'Inputs &amp; Guide'!$B$5</x:f>
        <x:v>15</x:v>
      </x:c>
      <x:c r="M541" s="103" t="n">
        <x:f>I541*'Inputs &amp; Guide'!$B$6</x:f>
        <x:v>31.482829425554336</x:v>
      </x:c>
      <x:c r="N541" s="103" t="n">
        <x:f>MAX(0,MIN(K541-L541,M541))</x:f>
        <x:v>21.382314436310864</x:v>
      </x:c>
      <x:c r="O541" s="103" t="n">
        <x:f>MAX(0,N541-'Inputs &amp; Guide'!$B$7)</x:f>
        <x:v>0</x:v>
      </x:c>
      <x:c r="P541" s="103" t="n">
        <x:f>N541-O541</x:f>
        <x:v>21.382314436310864</x:v>
      </x:c>
      <x:c r="Q541" s="103" t="n">
        <x:f>I541*'Inputs &amp; Guide'!$B$8</x:f>
        <x:v>1.0303471448363235</x:v>
      </x:c>
      <x:c r="R541" s="104" t="n">
        <x:f>IFERROR(P541/Q541,0)</x:f>
        <x:v>20.75253427300715</x:v>
      </x:c>
      <x:c r="S541" s="105" t="n">
        <x:f>ROUND(E541*XLOOKUP(C541,'Reference Tables'!$E$4:$E$12,'Reference Tables'!$G$4:$G$12,1),1)</x:f>
        <x:v>7.7</x:v>
      </x:c>
      <x:c r="T541" s="106" t="str">
        <x:f>IF(R541&gt;='Inputs &amp; Guide'!$B$9,"HIGH",IF(R541&gt;=0.45,"WATCH","NORMAL"))</x:f>
        <x:v>HIGH</x:v>
      </x:c>
    </x:row>
    <x:row r="542">
      <x:c r="A542" s="95" t="n">
        <x:v>4305</x:v>
      </x:c>
      <x:c r="B542" s="96" t="n">
        <x:v>45471.104166666664</x:v>
      </x:c>
      <x:c r="C542" s="97" t="str">
        <x:v>Earthquake</x:v>
      </x:c>
      <x:c r="D542" s="97" t="str">
        <x:v>Indonesia</x:v>
      </x:c>
      <x:c r="E542" s="98" t="n">
        <x:v>1.9016519883682808</x:v>
      </x:c>
      <x:c r="F542" s="99" t="n">
        <x:v>932.0130960729463</x:v>
      </x:c>
      <x:c r="G542" s="100" t="str">
        <x:f>XLOOKUP(D542,'Reference Tables'!$A$4:$A$23,'Reference Tables'!$B$4:$B$23,"Other")</x:f>
        <x:v>Asia Pacific</x:v>
      </x:c>
      <x:c r="H542" s="100" t="str">
        <x:f>VLOOKUP(G542,'Reference Tables'!$I$4:$J$9,2,FALSE)</x:f>
        <x:v>High</x:v>
      </x:c>
      <x:c r="I542" s="101" t="n">
        <x:f>F542*'Inputs &amp; Guide'!$B$4*XLOOKUP(D542,'Reference Tables'!$A$4:$A$23,'Reference Tables'!$C$4:$C$23,0.75)</x:f>
        <x:v>153.59575823282157</x:v>
      </x:c>
      <x:c r="J542" s="102" t="n">
        <x:f>XLOOKUP(C542,'Reference Tables'!$E$4:$E$12,'Reference Tables'!$F$4:$F$12,0.05)</x:f>
        <x:v>0.14</x:v>
      </x:c>
      <x:c r="K542" s="103" t="n">
        <x:f>MIN(I542,F542*J542)</x:f>
        <x:v>130.4818334502125</x:v>
      </x:c>
      <x:c r="L542" s="103" t="n">
        <x:f>'Inputs &amp; Guide'!$B$5</x:f>
        <x:v>15</x:v>
      </x:c>
      <x:c r="M542" s="103" t="n">
        <x:f>I542*'Inputs &amp; Guide'!$B$6</x:f>
        <x:v>84.47766702805187</x:v>
      </x:c>
      <x:c r="N542" s="103" t="n">
        <x:f>MAX(0,MIN(K542-L542,M542))</x:f>
        <x:v>84.47766702805187</x:v>
      </x:c>
      <x:c r="O542" s="103" t="n">
        <x:f>MAX(0,N542-'Inputs &amp; Guide'!$B$7)</x:f>
        <x:v>24.47766702805187</x:v>
      </x:c>
      <x:c r="P542" s="103" t="n">
        <x:f>N542-O542</x:f>
        <x:v>60</x:v>
      </x:c>
      <x:c r="Q542" s="103" t="n">
        <x:f>I542*'Inputs &amp; Guide'!$B$8</x:f>
        <x:v>2.764723648190788</x:v>
      </x:c>
      <x:c r="R542" s="104" t="n">
        <x:f>IFERROR(P542/Q542,0)</x:f>
        <x:v>21.701988203871114</x:v>
      </x:c>
      <x:c r="S542" s="105" t="n">
        <x:f>ROUND(E542*XLOOKUP(C542,'Reference Tables'!$E$4:$E$12,'Reference Tables'!$G$4:$G$12,1),1)</x:f>
        <x:v>2.9</x:v>
      </x:c>
      <x:c r="T542" s="106" t="str">
        <x:f>IF(R542&gt;='Inputs &amp; Guide'!$B$9,"HIGH",IF(R542&gt;=0.45,"WATCH","NORMAL"))</x:f>
        <x:v>HIGH</x:v>
      </x:c>
    </x:row>
    <x:row r="543">
      <x:c r="A543" s="95" t="n">
        <x:v>4313</x:v>
      </x:c>
      <x:c r="B543" s="96" t="n">
        <x:v>45471.4375</x:v>
      </x:c>
      <x:c r="C543" s="97" t="str">
        <x:v>Tornado</x:v>
      </x:c>
      <x:c r="D543" s="97" t="str">
        <x:v>Brazil</x:v>
      </x:c>
      <x:c r="E543" s="98" t="n">
        <x:v>3.044122694689168</x:v>
      </x:c>
      <x:c r="F543" s="99" t="n">
        <x:v>436.1798409029085</x:v>
      </x:c>
      <x:c r="G543" s="100" t="str">
        <x:f>XLOOKUP(D543,'Reference Tables'!$A$4:$A$23,'Reference Tables'!$B$4:$B$23,"Other")</x:f>
        <x:v>Latin America</x:v>
      </x:c>
      <x:c r="H543" s="100" t="str">
        <x:f>VLOOKUP(G543,'Reference Tables'!$I$4:$J$9,2,FALSE)</x:f>
        <x:v>Moderate</x:v>
      </x:c>
      <x:c r="I543" s="101" t="n">
        <x:f>F543*'Inputs &amp; Guide'!$B$4*XLOOKUP(D543,'Reference Tables'!$A$4:$A$23,'Reference Tables'!$C$4:$C$23,0.75)</x:f>
        <x:v>57.22679512646159</x:v>
      </x:c>
      <x:c r="J543" s="102" t="n">
        <x:f>XLOOKUP(C543,'Reference Tables'!$E$4:$E$12,'Reference Tables'!$F$4:$F$12,0.05)</x:f>
        <x:v>0.09</x:v>
      </x:c>
      <x:c r="K543" s="103" t="n">
        <x:f>MIN(I543,F543*J543)</x:f>
        <x:v>39.25618568126176</x:v>
      </x:c>
      <x:c r="L543" s="103" t="n">
        <x:f>'Inputs &amp; Guide'!$B$5</x:f>
        <x:v>15</x:v>
      </x:c>
      <x:c r="M543" s="103" t="n">
        <x:f>I543*'Inputs &amp; Guide'!$B$6</x:f>
        <x:v>31.474737319553878</x:v>
      </x:c>
      <x:c r="N543" s="103" t="n">
        <x:f>MAX(0,MIN(K543-L543,M543))</x:f>
        <x:v>24.256185681261762</x:v>
      </x:c>
      <x:c r="O543" s="103" t="n">
        <x:f>MAX(0,N543-'Inputs &amp; Guide'!$B$7)</x:f>
        <x:v>0</x:v>
      </x:c>
      <x:c r="P543" s="103" t="n">
        <x:f>N543-O543</x:f>
        <x:v>24.256185681261762</x:v>
      </x:c>
      <x:c r="Q543" s="103" t="n">
        <x:f>I543*'Inputs &amp; Guide'!$B$8</x:f>
        <x:v>1.0300823122763085</x:v>
      </x:c>
      <x:c r="R543" s="104" t="n">
        <x:f>IFERROR(P543/Q543,0)</x:f>
        <x:v>23.54781301667017</x:v>
      </x:c>
      <x:c r="S543" s="105" t="n">
        <x:f>ROUND(E543*XLOOKUP(C543,'Reference Tables'!$E$4:$E$12,'Reference Tables'!$G$4:$G$12,1),1)</x:f>
        <x:v>3.2</x:v>
      </x:c>
      <x:c r="T543" s="106" t="str">
        <x:f>IF(R543&gt;='Inputs &amp; Guide'!$B$9,"HIGH",IF(R543&gt;=0.45,"WATCH","NORMAL"))</x:f>
        <x:v>HIGH</x:v>
      </x:c>
    </x:row>
    <x:row r="544">
      <x:c r="A544" s="95" t="n">
        <x:v>4321</x:v>
      </x:c>
      <x:c r="B544" s="96" t="n">
        <x:v>45472</x:v>
      </x:c>
      <x:c r="C544" s="97" t="str">
        <x:v>Wildfire</x:v>
      </x:c>
      <x:c r="D544" s="97" t="str">
        <x:v>USA</x:v>
      </x:c>
      <x:c r="E544" s="98" t="n">
        <x:v>1.6836219122927853</x:v>
      </x:c>
      <x:c r="F544" s="99" t="n">
        <x:v>695.9396286189595</x:v>
      </x:c>
      <x:c r="G544" s="100" t="str">
        <x:f>XLOOKUP(D544,'Reference Tables'!$A$4:$A$23,'Reference Tables'!$B$4:$B$23,"Other")</x:f>
        <x:v>Other</x:v>
      </x:c>
      <x:c r="H544" s="100" t="str">
        <x:f>VLOOKUP(G544,'Reference Tables'!$I$4:$J$9,2,FALSE)</x:f>
        <x:v>Moderate</x:v>
      </x:c>
      <x:c r="I544" s="101" t="n">
        <x:f>F544*'Inputs &amp; Guide'!$B$4*XLOOKUP(D544,'Reference Tables'!$A$4:$A$23,'Reference Tables'!$C$4:$C$23,0.75)</x:f>
        <x:v>83.51275543427515</x:v>
      </x:c>
      <x:c r="J544" s="102" t="n">
        <x:f>XLOOKUP(C544,'Reference Tables'!$E$4:$E$12,'Reference Tables'!$F$4:$F$12,0.05)</x:f>
        <x:v>0.1</x:v>
      </x:c>
      <x:c r="K544" s="103" t="n">
        <x:f>MIN(I544,F544*J544)</x:f>
        <x:v>69.59396286189596</x:v>
      </x:c>
      <x:c r="L544" s="103" t="n">
        <x:f>'Inputs &amp; Guide'!$B$5</x:f>
        <x:v>15</x:v>
      </x:c>
      <x:c r="M544" s="103" t="n">
        <x:f>I544*'Inputs &amp; Guide'!$B$6</x:f>
        <x:v>45.932015488851334</x:v>
      </x:c>
      <x:c r="N544" s="103" t="n">
        <x:f>MAX(0,MIN(K544-L544,M544))</x:f>
        <x:v>45.932015488851334</x:v>
      </x:c>
      <x:c r="O544" s="103" t="n">
        <x:f>MAX(0,N544-'Inputs &amp; Guide'!$B$7)</x:f>
        <x:v>0</x:v>
      </x:c>
      <x:c r="P544" s="103" t="n">
        <x:f>N544-O544</x:f>
        <x:v>45.932015488851334</x:v>
      </x:c>
      <x:c r="Q544" s="103" t="n">
        <x:f>I544*'Inputs &amp; Guide'!$B$8</x:f>
        <x:v>1.5032295978169525</x:v>
      </x:c>
      <x:c r="R544" s="104" t="n">
        <x:f>IFERROR(P544/Q544,0)</x:f>
        <x:v>30.55555555555556</x:v>
      </x:c>
      <x:c r="S544" s="105" t="n">
        <x:f>ROUND(E544*XLOOKUP(C544,'Reference Tables'!$E$4:$E$12,'Reference Tables'!$G$4:$G$12,1),1)</x:f>
        <x:v>1.9</x:v>
      </x:c>
      <x:c r="T544" s="106" t="str">
        <x:f>IF(R544&gt;='Inputs &amp; Guide'!$B$9,"HIGH",IF(R544&gt;=0.45,"WATCH","NORMAL"))</x:f>
        <x:v>HIGH</x:v>
      </x:c>
    </x:row>
    <x:row r="545">
      <x:c r="A545" s="95" t="n">
        <x:v>4329</x:v>
      </x:c>
      <x:c r="B545" s="96" t="n">
        <x:v>45472.104166666664</x:v>
      </x:c>
      <x:c r="C545" s="97" t="str">
        <x:v>Tornado</x:v>
      </x:c>
      <x:c r="D545" s="97" t="str">
        <x:v>Indonesia</x:v>
      </x:c>
      <x:c r="E545" s="98" t="n">
        <x:v>4.669059202659147</x:v>
      </x:c>
      <x:c r="F545" s="99" t="n">
        <x:v>809.5763025429089</x:v>
      </x:c>
      <x:c r="G545" s="100" t="str">
        <x:f>XLOOKUP(D545,'Reference Tables'!$A$4:$A$23,'Reference Tables'!$B$4:$B$23,"Other")</x:f>
        <x:v>Asia Pacific</x:v>
      </x:c>
      <x:c r="H545" s="100" t="str">
        <x:f>VLOOKUP(G545,'Reference Tables'!$I$4:$J$9,2,FALSE)</x:f>
        <x:v>High</x:v>
      </x:c>
      <x:c r="I545" s="101" t="n">
        <x:f>F545*'Inputs &amp; Guide'!$B$4*XLOOKUP(D545,'Reference Tables'!$A$4:$A$23,'Reference Tables'!$C$4:$C$23,0.75)</x:f>
        <x:v>133.4181746590714</x:v>
      </x:c>
      <x:c r="J545" s="102" t="n">
        <x:f>XLOOKUP(C545,'Reference Tables'!$E$4:$E$12,'Reference Tables'!$F$4:$F$12,0.05)</x:f>
        <x:v>0.09</x:v>
      </x:c>
      <x:c r="K545" s="103" t="n">
        <x:f>MIN(I545,F545*J545)</x:f>
        <x:v>72.8618672288618</x:v>
      </x:c>
      <x:c r="L545" s="103" t="n">
        <x:f>'Inputs &amp; Guide'!$B$5</x:f>
        <x:v>15</x:v>
      </x:c>
      <x:c r="M545" s="103" t="n">
        <x:f>I545*'Inputs &amp; Guide'!$B$6</x:f>
        <x:v>73.37999606248928</x:v>
      </x:c>
      <x:c r="N545" s="103" t="n">
        <x:f>MAX(0,MIN(K545-L545,M545))</x:f>
        <x:v>57.8618672288618</x:v>
      </x:c>
      <x:c r="O545" s="103" t="n">
        <x:f>MAX(0,N545-'Inputs &amp; Guide'!$B$7)</x:f>
        <x:v>0</x:v>
      </x:c>
      <x:c r="P545" s="103" t="n">
        <x:f>N545-O545</x:f>
        <x:v>57.8618672288618</x:v>
      </x:c>
      <x:c r="Q545" s="103" t="n">
        <x:f>I545*'Inputs &amp; Guide'!$B$8</x:f>
        <x:v>2.401527143863285</x:v>
      </x:c>
      <x:c r="R545" s="104" t="n">
        <x:f>IFERROR(P545/Q545,0)</x:f>
        <x:v>24.09378023343124</x:v>
      </x:c>
      <x:c r="S545" s="105" t="n">
        <x:f>ROUND(E545*XLOOKUP(C545,'Reference Tables'!$E$4:$E$12,'Reference Tables'!$G$4:$G$12,1),1)</x:f>
        <x:v>4.9</x:v>
      </x:c>
      <x:c r="T545" s="106" t="str">
        <x:f>IF(R545&gt;='Inputs &amp; Guide'!$B$9,"HIGH",IF(R545&gt;=0.45,"WATCH","NORMAL"))</x:f>
        <x:v>HIGH</x:v>
      </x:c>
    </x:row>
    <x:row r="546">
      <x:c r="A546" s="95" t="n">
        <x:v>4337</x:v>
      </x:c>
      <x:c r="B546" s="96" t="n">
        <x:v>45472.4375</x:v>
      </x:c>
      <x:c r="C546" s="97" t="str">
        <x:v>Earthquake</x:v>
      </x:c>
      <x:c r="D546" s="97" t="str">
        <x:v>India</x:v>
      </x:c>
      <x:c r="E546" s="98" t="n">
        <x:v>4.528351692084849</x:v>
      </x:c>
      <x:c r="F546" s="99" t="n">
        <x:v>364.67731561170655</x:v>
      </x:c>
      <x:c r="G546" s="100" t="str">
        <x:f>XLOOKUP(D546,'Reference Tables'!$A$4:$A$23,'Reference Tables'!$B$4:$B$23,"Other")</x:f>
        <x:v>Asia Pacific</x:v>
      </x:c>
      <x:c r="H546" s="100" t="str">
        <x:f>VLOOKUP(G546,'Reference Tables'!$I$4:$J$9,2,FALSE)</x:f>
        <x:v>High</x:v>
      </x:c>
      <x:c r="I546" s="101" t="n">
        <x:f>F546*'Inputs &amp; Guide'!$B$4*XLOOKUP(D546,'Reference Tables'!$A$4:$A$23,'Reference Tables'!$C$4:$C$23,0.75)</x:f>
        <x:v>53.09701715306448</x:v>
      </x:c>
      <x:c r="J546" s="102" t="n">
        <x:f>XLOOKUP(C546,'Reference Tables'!$E$4:$E$12,'Reference Tables'!$F$4:$F$12,0.05)</x:f>
        <x:v>0.14</x:v>
      </x:c>
      <x:c r="K546" s="103" t="n">
        <x:f>MIN(I546,F546*J546)</x:f>
        <x:v>51.05482418563892</x:v>
      </x:c>
      <x:c r="L546" s="103" t="n">
        <x:f>'Inputs &amp; Guide'!$B$5</x:f>
        <x:v>15</x:v>
      </x:c>
      <x:c r="M546" s="103" t="n">
        <x:f>I546*'Inputs &amp; Guide'!$B$6</x:f>
        <x:v>29.203359434185465</x:v>
      </x:c>
      <x:c r="N546" s="103" t="n">
        <x:f>MAX(0,MIN(K546-L546,M546))</x:f>
        <x:v>29.203359434185465</x:v>
      </x:c>
      <x:c r="O546" s="103" t="n">
        <x:f>MAX(0,N546-'Inputs &amp; Guide'!$B$7)</x:f>
        <x:v>0</x:v>
      </x:c>
      <x:c r="P546" s="103" t="n">
        <x:f>N546-O546</x:f>
        <x:v>29.203359434185465</x:v>
      </x:c>
      <x:c r="Q546" s="103" t="n">
        <x:f>I546*'Inputs &amp; Guide'!$B$8</x:f>
        <x:v>0.9557463087551605</x:v>
      </x:c>
      <x:c r="R546" s="104" t="n">
        <x:f>IFERROR(P546/Q546,0)</x:f>
        <x:v>30.55555555555556</x:v>
      </x:c>
      <x:c r="S546" s="105" t="n">
        <x:f>ROUND(E546*XLOOKUP(C546,'Reference Tables'!$E$4:$E$12,'Reference Tables'!$G$4:$G$12,1),1)</x:f>
        <x:v>6.8</x:v>
      </x:c>
      <x:c r="T546" s="106" t="str">
        <x:f>IF(R546&gt;='Inputs &amp; Guide'!$B$9,"HIGH",IF(R546&gt;=0.45,"WATCH","NORMAL"))</x:f>
        <x:v>HIGH</x:v>
      </x:c>
    </x:row>
    <x:row r="547">
      <x:c r="A547" s="95" t="n">
        <x:v>4345</x:v>
      </x:c>
      <x:c r="B547" s="96" t="n">
        <x:v>45473</x:v>
      </x:c>
      <x:c r="C547" s="97" t="str">
        <x:v>Tornado</x:v>
      </x:c>
      <x:c r="D547" s="97" t="str">
        <x:v>Indonesia</x:v>
      </x:c>
      <x:c r="E547" s="98" t="n">
        <x:v>5.35106190985972</x:v>
      </x:c>
      <x:c r="F547" s="99" t="n">
        <x:v>618.5150663041911</x:v>
      </x:c>
      <x:c r="G547" s="100" t="str">
        <x:f>XLOOKUP(D547,'Reference Tables'!$A$4:$A$23,'Reference Tables'!$B$4:$B$23,"Other")</x:f>
        <x:v>Asia Pacific</x:v>
      </x:c>
      <x:c r="H547" s="100" t="str">
        <x:f>VLOOKUP(G547,'Reference Tables'!$I$4:$J$9,2,FALSE)</x:f>
        <x:v>High</x:v>
      </x:c>
      <x:c r="I547" s="101" t="n">
        <x:f>F547*'Inputs &amp; Guide'!$B$4*XLOOKUP(D547,'Reference Tables'!$A$4:$A$23,'Reference Tables'!$C$4:$C$23,0.75)</x:f>
        <x:v>101.9312829269307</x:v>
      </x:c>
      <x:c r="J547" s="102" t="n">
        <x:f>XLOOKUP(C547,'Reference Tables'!$E$4:$E$12,'Reference Tables'!$F$4:$F$12,0.05)</x:f>
        <x:v>0.09</x:v>
      </x:c>
      <x:c r="K547" s="103" t="n">
        <x:f>MIN(I547,F547*J547)</x:f>
        <x:v>55.6663559673772</x:v>
      </x:c>
      <x:c r="L547" s="103" t="n">
        <x:f>'Inputs &amp; Guide'!$B$5</x:f>
        <x:v>15</x:v>
      </x:c>
      <x:c r="M547" s="103" t="n">
        <x:f>I547*'Inputs &amp; Guide'!$B$6</x:f>
        <x:v>56.06220560981189</x:v>
      </x:c>
      <x:c r="N547" s="103" t="n">
        <x:f>MAX(0,MIN(K547-L547,M547))</x:f>
        <x:v>40.6663559673772</x:v>
      </x:c>
      <x:c r="O547" s="103" t="n">
        <x:f>MAX(0,N547-'Inputs &amp; Guide'!$B$7)</x:f>
        <x:v>0</x:v>
      </x:c>
      <x:c r="P547" s="103" t="n">
        <x:f>N547-O547</x:f>
        <x:v>40.6663559673772</x:v>
      </x:c>
      <x:c r="Q547" s="103" t="n">
        <x:f>I547*'Inputs &amp; Guide'!$B$8</x:f>
        <x:v>1.8347630926847525</x:v>
      </x:c>
      <x:c r="R547" s="104" t="n">
        <x:f>IFERROR(P547/Q547,0)</x:f>
        <x:v>22.164363415372264</x:v>
      </x:c>
      <x:c r="S547" s="105" t="n">
        <x:f>ROUND(E547*XLOOKUP(C547,'Reference Tables'!$E$4:$E$12,'Reference Tables'!$G$4:$G$12,1),1)</x:f>
        <x:v>5.6</x:v>
      </x:c>
      <x:c r="T547" s="106" t="str">
        <x:f>IF(R547&gt;='Inputs &amp; Guide'!$B$9,"HIGH",IF(R547&gt;=0.45,"WATCH","NORMAL"))</x:f>
        <x:v>HIGH</x:v>
      </x:c>
    </x:row>
    <x:row r="548">
      <x:c r="A548" s="95" t="n">
        <x:v>4353</x:v>
      </x:c>
      <x:c r="B548" s="96" t="n">
        <x:v>45473.104166666664</x:v>
      </x:c>
      <x:c r="C548" s="97" t="str">
        <x:v>Flood</x:v>
      </x:c>
      <x:c r="D548" s="97" t="str">
        <x:v>Japan</x:v>
      </x:c>
      <x:c r="E548" s="98" t="n">
        <x:v>8.745433935414663</x:v>
      </x:c>
      <x:c r="F548" s="99" t="n">
        <x:v>89.814323375339</x:v>
      </x:c>
      <x:c r="G548" s="100" t="str">
        <x:f>XLOOKUP(D548,'Reference Tables'!$A$4:$A$23,'Reference Tables'!$B$4:$B$23,"Other")</x:f>
        <x:v>Asia Pacific</x:v>
      </x:c>
      <x:c r="H548" s="100" t="str">
        <x:f>VLOOKUP(G548,'Reference Tables'!$I$4:$J$9,2,FALSE)</x:f>
        <x:v>High</x:v>
      </x:c>
      <x:c r="I548" s="101" t="n">
        <x:f>F548*'Inputs &amp; Guide'!$B$4*XLOOKUP(D548,'Reference Tables'!$A$4:$A$23,'Reference Tables'!$C$4:$C$23,0.75)</x:f>
        <x:v>16.956944253264002</x:v>
      </x:c>
      <x:c r="J548" s="102" t="n">
        <x:f>XLOOKUP(C548,'Reference Tables'!$E$4:$E$12,'Reference Tables'!$F$4:$F$12,0.05)</x:f>
        <x:v>0.12</x:v>
      </x:c>
      <x:c r="K548" s="103" t="n">
        <x:f>MIN(I548,F548*J548)</x:f>
        <x:v>10.77771880504068</x:v>
      </x:c>
      <x:c r="L548" s="103" t="n">
        <x:f>'Inputs &amp; Guide'!$B$5</x:f>
        <x:v>15</x:v>
      </x:c>
      <x:c r="M548" s="103" t="n">
        <x:f>I548*'Inputs &amp; Guide'!$B$6</x:f>
        <x:v>9.326319339295202</x:v>
      </x:c>
      <x:c r="N548" s="103" t="n">
        <x:f>MAX(0,MIN(K548-L548,M548))</x:f>
        <x:v>0</x:v>
      </x:c>
      <x:c r="O548" s="103" t="n">
        <x:f>MAX(0,N548-'Inputs &amp; Guide'!$B$7)</x:f>
        <x:v>0</x:v>
      </x:c>
      <x:c r="P548" s="103" t="n">
        <x:f>N548-O548</x:f>
        <x:v>0</x:v>
      </x:c>
      <x:c r="Q548" s="103" t="n">
        <x:f>I548*'Inputs &amp; Guide'!$B$8</x:f>
        <x:v>0.305224996558752</x:v>
      </x:c>
      <x:c r="R548" s="104" t="n">
        <x:f>IFERROR(P548/Q548,0)</x:f>
        <x:v>0</x:v>
      </x:c>
      <x:c r="S548" s="105" t="n">
        <x:f>ROUND(E548*XLOOKUP(C548,'Reference Tables'!$E$4:$E$12,'Reference Tables'!$G$4:$G$12,1),1)</x:f>
        <x:v>10.9</x:v>
      </x:c>
      <x:c r="T548" s="106" t="str">
        <x:f>IF(R548&gt;='Inputs &amp; Guide'!$B$9,"HIGH",IF(R548&gt;=0.45,"WATCH","NORMAL"))</x:f>
        <x:v>NORMAL</x:v>
      </x:c>
    </x:row>
    <x:row r="549">
      <x:c r="A549" s="95" t="n">
        <x:v>4361</x:v>
      </x:c>
      <x:c r="B549" s="96" t="n">
        <x:v>45473.4375</x:v>
      </x:c>
      <x:c r="C549" s="97" t="str">
        <x:v>Wildfire</x:v>
      </x:c>
      <x:c r="D549" s="97" t="str">
        <x:v>Japan</x:v>
      </x:c>
      <x:c r="E549" s="98" t="n">
        <x:v>4.577433755104415</x:v>
      </x:c>
      <x:c r="F549" s="99" t="n">
        <x:v>369.73172343787604</x:v>
      </x:c>
      <x:c r="G549" s="100" t="str">
        <x:f>XLOOKUP(D549,'Reference Tables'!$A$4:$A$23,'Reference Tables'!$B$4:$B$23,"Other")</x:f>
        <x:v>Asia Pacific</x:v>
      </x:c>
      <x:c r="H549" s="100" t="str">
        <x:f>VLOOKUP(G549,'Reference Tables'!$I$4:$J$9,2,FALSE)</x:f>
        <x:v>High</x:v>
      </x:c>
      <x:c r="I549" s="101" t="n">
        <x:f>F549*'Inputs &amp; Guide'!$B$4*XLOOKUP(D549,'Reference Tables'!$A$4:$A$23,'Reference Tables'!$C$4:$C$23,0.75)</x:f>
        <x:v>69.805349385071</x:v>
      </x:c>
      <x:c r="J549" s="102" t="n">
        <x:f>XLOOKUP(C549,'Reference Tables'!$E$4:$E$12,'Reference Tables'!$F$4:$F$12,0.05)</x:f>
        <x:v>0.1</x:v>
      </x:c>
      <x:c r="K549" s="103" t="n">
        <x:f>MIN(I549,F549*J549)</x:f>
        <x:v>36.9731723437876</x:v>
      </x:c>
      <x:c r="L549" s="103" t="n">
        <x:f>'Inputs &amp; Guide'!$B$5</x:f>
        <x:v>15</x:v>
      </x:c>
      <x:c r="M549" s="103" t="n">
        <x:f>I549*'Inputs &amp; Guide'!$B$6</x:f>
        <x:v>38.39294216178905</x:v>
      </x:c>
      <x:c r="N549" s="103" t="n">
        <x:f>MAX(0,MIN(K549-L549,M549))</x:f>
        <x:v>21.973172343787603</x:v>
      </x:c>
      <x:c r="O549" s="103" t="n">
        <x:f>MAX(0,N549-'Inputs &amp; Guide'!$B$7)</x:f>
        <x:v>0</x:v>
      </x:c>
      <x:c r="P549" s="103" t="n">
        <x:f>N549-O549</x:f>
        <x:v>21.973172343787603</x:v>
      </x:c>
      <x:c r="Q549" s="103" t="n">
        <x:f>I549*'Inputs &amp; Guide'!$B$8</x:f>
        <x:v>1.2564962889312778</x:v>
      </x:c>
      <x:c r="R549" s="104" t="n">
        <x:f>IFERROR(P549/Q549,0)</x:f>
        <x:v>17.487653992577286</x:v>
      </x:c>
      <x:c r="S549" s="105" t="n">
        <x:f>ROUND(E549*XLOOKUP(C549,'Reference Tables'!$E$4:$E$12,'Reference Tables'!$G$4:$G$12,1),1)</x:f>
        <x:v>5.3</x:v>
      </x:c>
      <x:c r="T549" s="106" t="str">
        <x:f>IF(R549&gt;='Inputs &amp; Guide'!$B$9,"HIGH",IF(R549&gt;=0.45,"WATCH","NORMAL"))</x:f>
        <x:v>HIGH</x:v>
      </x:c>
    </x:row>
    <x:row r="550">
      <x:c r="A550" s="95" t="n">
        <x:v>4369</x:v>
      </x:c>
      <x:c r="B550" s="96" t="n">
        <x:v>45474</x:v>
      </x:c>
      <x:c r="C550" s="97" t="str">
        <x:v>Tornado</x:v>
      </x:c>
      <x:c r="D550" s="97" t="str">
        <x:v>Indonesia</x:v>
      </x:c>
      <x:c r="E550" s="98" t="n">
        <x:v>8.96757109711991</x:v>
      </x:c>
      <x:c r="F550" s="99" t="n">
        <x:v>810.8238386045275</x:v>
      </x:c>
      <x:c r="G550" s="100" t="str">
        <x:f>XLOOKUP(D550,'Reference Tables'!$A$4:$A$23,'Reference Tables'!$B$4:$B$23,"Other")</x:f>
        <x:v>Asia Pacific</x:v>
      </x:c>
      <x:c r="H550" s="100" t="str">
        <x:f>VLOOKUP(G550,'Reference Tables'!$I$4:$J$9,2,FALSE)</x:f>
        <x:v>High</x:v>
      </x:c>
      <x:c r="I550" s="101" t="n">
        <x:f>F550*'Inputs &amp; Guide'!$B$4*XLOOKUP(D550,'Reference Tables'!$A$4:$A$23,'Reference Tables'!$C$4:$C$23,0.75)</x:f>
        <x:v>133.62376860202616</x:v>
      </x:c>
      <x:c r="J550" s="102" t="n">
        <x:f>XLOOKUP(C550,'Reference Tables'!$E$4:$E$12,'Reference Tables'!$F$4:$F$12,0.05)</x:f>
        <x:v>0.09</x:v>
      </x:c>
      <x:c r="K550" s="103" t="n">
        <x:f>MIN(I550,F550*J550)</x:f>
        <x:v>72.97414547440748</x:v>
      </x:c>
      <x:c r="L550" s="103" t="n">
        <x:f>'Inputs &amp; Guide'!$B$5</x:f>
        <x:v>15</x:v>
      </x:c>
      <x:c r="M550" s="103" t="n">
        <x:f>I550*'Inputs &amp; Guide'!$B$6</x:f>
        <x:v>73.4930727311144</x:v>
      </x:c>
      <x:c r="N550" s="103" t="n">
        <x:f>MAX(0,MIN(K550-L550,M550))</x:f>
        <x:v>57.97414547440748</x:v>
      </x:c>
      <x:c r="O550" s="103" t="n">
        <x:f>MAX(0,N550-'Inputs &amp; Guide'!$B$7)</x:f>
        <x:v>0</x:v>
      </x:c>
      <x:c r="P550" s="103" t="n">
        <x:f>N550-O550</x:f>
        <x:v>57.97414547440748</x:v>
      </x:c>
      <x:c r="Q550" s="103" t="n">
        <x:f>I550*'Inputs &amp; Guide'!$B$8</x:f>
        <x:v>2.4052278348364706</x:v>
      </x:c>
      <x:c r="R550" s="104" t="n">
        <x:f>IFERROR(P550/Q550,0)</x:f>
        <x:v>24.103390387692354</x:v>
      </x:c>
      <x:c r="S550" s="105" t="n">
        <x:f>ROUND(E550*XLOOKUP(C550,'Reference Tables'!$E$4:$E$12,'Reference Tables'!$G$4:$G$12,1),1)</x:f>
        <x:v>9.4</x:v>
      </x:c>
      <x:c r="T550" s="106" t="str">
        <x:f>IF(R550&gt;='Inputs &amp; Guide'!$B$9,"HIGH",IF(R550&gt;=0.45,"WATCH","NORMAL"))</x:f>
        <x:v>HIGH</x:v>
      </x:c>
    </x:row>
    <x:row r="551">
      <x:c r="A551" s="95" t="n">
        <x:v>4377</x:v>
      </x:c>
      <x:c r="B551" s="96" t="n">
        <x:v>45474.104166666664</x:v>
      </x:c>
      <x:c r="C551" s="97" t="str">
        <x:v>Earthquake</x:v>
      </x:c>
      <x:c r="D551" s="97" t="str">
        <x:v>Japan</x:v>
      </x:c>
      <x:c r="E551" s="98" t="n">
        <x:v>6.489920073105351</x:v>
      </x:c>
      <x:c r="F551" s="99" t="n">
        <x:v>311.3748999322603</x:v>
      </x:c>
      <x:c r="G551" s="100" t="str">
        <x:f>XLOOKUP(D551,'Reference Tables'!$A$4:$A$23,'Reference Tables'!$B$4:$B$23,"Other")</x:f>
        <x:v>Asia Pacific</x:v>
      </x:c>
      <x:c r="H551" s="100" t="str">
        <x:f>VLOOKUP(G551,'Reference Tables'!$I$4:$J$9,2,FALSE)</x:f>
        <x:v>High</x:v>
      </x:c>
      <x:c r="I551" s="101" t="n">
        <x:f>F551*'Inputs &amp; Guide'!$B$4*XLOOKUP(D551,'Reference Tables'!$A$4:$A$23,'Reference Tables'!$C$4:$C$23,0.75)</x:f>
        <x:v>58.78758110721074</x:v>
      </x:c>
      <x:c r="J551" s="102" t="n">
        <x:f>XLOOKUP(C551,'Reference Tables'!$E$4:$E$12,'Reference Tables'!$F$4:$F$12,0.05)</x:f>
        <x:v>0.14</x:v>
      </x:c>
      <x:c r="K551" s="103" t="n">
        <x:f>MIN(I551,F551*J551)</x:f>
        <x:v>43.592485990516444</x:v>
      </x:c>
      <x:c r="L551" s="103" t="n">
        <x:f>'Inputs &amp; Guide'!$B$5</x:f>
        <x:v>15</x:v>
      </x:c>
      <x:c r="M551" s="103" t="n">
        <x:f>I551*'Inputs &amp; Guide'!$B$6</x:f>
        <x:v>32.33316960896591</x:v>
      </x:c>
      <x:c r="N551" s="103" t="n">
        <x:f>MAX(0,MIN(K551-L551,M551))</x:f>
        <x:v>28.592485990516444</x:v>
      </x:c>
      <x:c r="O551" s="103" t="n">
        <x:f>MAX(0,N551-'Inputs &amp; Guide'!$B$7)</x:f>
        <x:v>0</x:v>
      </x:c>
      <x:c r="P551" s="103" t="n">
        <x:f>N551-O551</x:f>
        <x:v>28.592485990516444</x:v>
      </x:c>
      <x:c r="Q551" s="103" t="n">
        <x:f>I551*'Inputs &amp; Guide'!$B$8</x:f>
        <x:v>1.0581764599297934</x:v>
      </x:c>
      <x:c r="R551" s="104" t="n">
        <x:f>IFERROR(P551/Q551,0)</x:f>
        <x:v>27.020527363095436</x:v>
      </x:c>
      <x:c r="S551" s="105" t="n">
        <x:f>ROUND(E551*XLOOKUP(C551,'Reference Tables'!$E$4:$E$12,'Reference Tables'!$G$4:$G$12,1),1)</x:f>
        <x:v>9.7</x:v>
      </x:c>
      <x:c r="T551" s="106" t="str">
        <x:f>IF(R551&gt;='Inputs &amp; Guide'!$B$9,"HIGH",IF(R551&gt;=0.45,"WATCH","NORMAL"))</x:f>
        <x:v>HIGH</x:v>
      </x:c>
    </x:row>
    <x:row r="552">
      <x:c r="A552" s="95" t="n">
        <x:v>4385</x:v>
      </x:c>
      <x:c r="B552" s="96" t="n">
        <x:v>45474.4375</x:v>
      </x:c>
      <x:c r="C552" s="97" t="str">
        <x:v>Hurricane</x:v>
      </x:c>
      <x:c r="D552" s="97" t="str">
        <x:v>India</x:v>
      </x:c>
      <x:c r="E552" s="98" t="n">
        <x:v>6.807299224704002</x:v>
      </x:c>
      <x:c r="F552" s="99" t="n">
        <x:v>756.6908220715242</x:v>
      </x:c>
      <x:c r="G552" s="100" t="str">
        <x:f>XLOOKUP(D552,'Reference Tables'!$A$4:$A$23,'Reference Tables'!$B$4:$B$23,"Other")</x:f>
        <x:v>Asia Pacific</x:v>
      </x:c>
      <x:c r="H552" s="100" t="str">
        <x:f>VLOOKUP(G552,'Reference Tables'!$I$4:$J$9,2,FALSE)</x:f>
        <x:v>High</x:v>
      </x:c>
      <x:c r="I552" s="101" t="n">
        <x:f>F552*'Inputs &amp; Guide'!$B$4*XLOOKUP(D552,'Reference Tables'!$A$4:$A$23,'Reference Tables'!$C$4:$C$23,0.75)</x:f>
        <x:v>110.17418369361391</x:v>
      </x:c>
      <x:c r="J552" s="102" t="n">
        <x:f>XLOOKUP(C552,'Reference Tables'!$E$4:$E$12,'Reference Tables'!$F$4:$F$12,0.05)</x:f>
        <x:v>0.18</x:v>
      </x:c>
      <x:c r="K552" s="103" t="n">
        <x:f>MIN(I552,F552*J552)</x:f>
        <x:v>110.17418369361391</x:v>
      </x:c>
      <x:c r="L552" s="103" t="n">
        <x:f>'Inputs &amp; Guide'!$B$5</x:f>
        <x:v>15</x:v>
      </x:c>
      <x:c r="M552" s="103" t="n">
        <x:f>I552*'Inputs &amp; Guide'!$B$6</x:f>
        <x:v>60.59580103148765</x:v>
      </x:c>
      <x:c r="N552" s="103" t="n">
        <x:f>MAX(0,MIN(K552-L552,M552))</x:f>
        <x:v>60.59580103148765</x:v>
      </x:c>
      <x:c r="O552" s="103" t="n">
        <x:f>MAX(0,N552-'Inputs &amp; Guide'!$B$7)</x:f>
        <x:v>0.5958010314876532</x:v>
      </x:c>
      <x:c r="P552" s="103" t="n">
        <x:f>N552-O552</x:f>
        <x:v>60</x:v>
      </x:c>
      <x:c r="Q552" s="103" t="n">
        <x:f>I552*'Inputs &amp; Guide'!$B$8</x:f>
        <x:v>1.9831353064850503</x:v>
      </x:c>
      <x:c r="R552" s="104" t="n">
        <x:f>IFERROR(P552/Q552,0)</x:f>
        <x:v>30.255121677171505</x:v>
      </x:c>
      <x:c r="S552" s="105" t="n">
        <x:f>ROUND(E552*XLOOKUP(C552,'Reference Tables'!$E$4:$E$12,'Reference Tables'!$G$4:$G$12,1),1)</x:f>
        <x:v>9.5</x:v>
      </x:c>
      <x:c r="T552" s="106" t="str">
        <x:f>IF(R552&gt;='Inputs &amp; Guide'!$B$9,"HIGH",IF(R552&gt;=0.45,"WATCH","NORMAL"))</x:f>
        <x:v>HIGH</x:v>
      </x:c>
    </x:row>
    <x:row r="553">
      <x:c r="A553" s="95" t="n">
        <x:v>4393</x:v>
      </x:c>
      <x:c r="B553" s="96" t="n">
        <x:v>45475</x:v>
      </x:c>
      <x:c r="C553" s="97" t="str">
        <x:v>Earthquake</x:v>
      </x:c>
      <x:c r="D553" s="97" t="str">
        <x:v>China</x:v>
      </x:c>
      <x:c r="E553" s="98" t="n">
        <x:v>3.718582538192939</x:v>
      </x:c>
      <x:c r="F553" s="99" t="n">
        <x:v>593.1045957253497</x:v>
      </x:c>
      <x:c r="G553" s="100" t="str">
        <x:f>XLOOKUP(D553,'Reference Tables'!$A$4:$A$23,'Reference Tables'!$B$4:$B$23,"Other")</x:f>
        <x:v>Asia Pacific</x:v>
      </x:c>
      <x:c r="H553" s="100" t="str">
        <x:f>VLOOKUP(G553,'Reference Tables'!$I$4:$J$9,2,FALSE)</x:f>
        <x:v>High</x:v>
      </x:c>
      <x:c r="I553" s="101" t="n">
        <x:f>F553*'Inputs &amp; Guide'!$B$4*XLOOKUP(D553,'Reference Tables'!$A$4:$A$23,'Reference Tables'!$C$4:$C$23,0.75)</x:f>
        <x:v>102.48847414134043</x:v>
      </x:c>
      <x:c r="J553" s="102" t="n">
        <x:f>XLOOKUP(C553,'Reference Tables'!$E$4:$E$12,'Reference Tables'!$F$4:$F$12,0.05)</x:f>
        <x:v>0.14</x:v>
      </x:c>
      <x:c r="K553" s="103" t="n">
        <x:f>MIN(I553,F553*J553)</x:f>
        <x:v>83.03464340154896</x:v>
      </x:c>
      <x:c r="L553" s="103" t="n">
        <x:f>'Inputs &amp; Guide'!$B$5</x:f>
        <x:v>15</x:v>
      </x:c>
      <x:c r="M553" s="103" t="n">
        <x:f>I553*'Inputs &amp; Guide'!$B$6</x:f>
        <x:v>56.36866077773724</x:v>
      </x:c>
      <x:c r="N553" s="103" t="n">
        <x:f>MAX(0,MIN(K553-L553,M553))</x:f>
        <x:v>56.36866077773724</x:v>
      </x:c>
      <x:c r="O553" s="103" t="n">
        <x:f>MAX(0,N553-'Inputs &amp; Guide'!$B$7)</x:f>
        <x:v>0</x:v>
      </x:c>
      <x:c r="P553" s="103" t="n">
        <x:f>N553-O553</x:f>
        <x:v>56.36866077773724</x:v>
      </x:c>
      <x:c r="Q553" s="103" t="n">
        <x:f>I553*'Inputs &amp; Guide'!$B$8</x:f>
        <x:v>1.8447925345441276</x:v>
      </x:c>
      <x:c r="R553" s="104" t="n">
        <x:f>IFERROR(P553/Q553,0)</x:f>
        <x:v>30.55555555555556</x:v>
      </x:c>
      <x:c r="S553" s="105" t="n">
        <x:f>ROUND(E553*XLOOKUP(C553,'Reference Tables'!$E$4:$E$12,'Reference Tables'!$G$4:$G$12,1),1)</x:f>
        <x:v>5.6</x:v>
      </x:c>
      <x:c r="T553" s="106" t="str">
        <x:f>IF(R553&gt;='Inputs &amp; Guide'!$B$9,"HIGH",IF(R553&gt;=0.45,"WATCH","NORMAL"))</x:f>
        <x:v>HIGH</x:v>
      </x:c>
    </x:row>
    <x:row r="554">
      <x:c r="A554" s="95" t="n">
        <x:v>4401</x:v>
      </x:c>
      <x:c r="B554" s="96" t="n">
        <x:v>45475.104166666664</x:v>
      </x:c>
      <x:c r="C554" s="97" t="str">
        <x:v>Wildfire</x:v>
      </x:c>
      <x:c r="D554" s="97" t="str">
        <x:v>India</x:v>
      </x:c>
      <x:c r="E554" s="98" t="n">
        <x:v>7.145312383960973</x:v>
      </x:c>
      <x:c r="F554" s="99" t="n">
        <x:v>382.99584984533016</x:v>
      </x:c>
      <x:c r="G554" s="100" t="str">
        <x:f>XLOOKUP(D554,'Reference Tables'!$A$4:$A$23,'Reference Tables'!$B$4:$B$23,"Other")</x:f>
        <x:v>Asia Pacific</x:v>
      </x:c>
      <x:c r="H554" s="100" t="str">
        <x:f>VLOOKUP(G554,'Reference Tables'!$I$4:$J$9,2,FALSE)</x:f>
        <x:v>High</x:v>
      </x:c>
      <x:c r="I554" s="101" t="n">
        <x:f>F554*'Inputs &amp; Guide'!$B$4*XLOOKUP(D554,'Reference Tables'!$A$4:$A$23,'Reference Tables'!$C$4:$C$23,0.75)</x:f>
        <x:v>55.76419573748007</x:v>
      </x:c>
      <x:c r="J554" s="102" t="n">
        <x:f>XLOOKUP(C554,'Reference Tables'!$E$4:$E$12,'Reference Tables'!$F$4:$F$12,0.05)</x:f>
        <x:v>0.1</x:v>
      </x:c>
      <x:c r="K554" s="103" t="n">
        <x:f>MIN(I554,F554*J554)</x:f>
        <x:v>38.29958498453302</x:v>
      </x:c>
      <x:c r="L554" s="103" t="n">
        <x:f>'Inputs &amp; Guide'!$B$5</x:f>
        <x:v>15</x:v>
      </x:c>
      <x:c r="M554" s="103" t="n">
        <x:f>I554*'Inputs &amp; Guide'!$B$6</x:f>
        <x:v>30.670307655614042</x:v>
      </x:c>
      <x:c r="N554" s="103" t="n">
        <x:f>MAX(0,MIN(K554-L554,M554))</x:f>
        <x:v>23.29958498453302</x:v>
      </x:c>
      <x:c r="O554" s="103" t="n">
        <x:f>MAX(0,N554-'Inputs &amp; Guide'!$B$7)</x:f>
        <x:v>0</x:v>
      </x:c>
      <x:c r="P554" s="103" t="n">
        <x:f>N554-O554</x:f>
        <x:v>23.29958498453302</x:v>
      </x:c>
      <x:c r="Q554" s="103" t="n">
        <x:f>I554*'Inputs &amp; Guide'!$B$8</x:f>
        <x:v>1.0037555232746411</x:v>
      </x:c>
      <x:c r="R554" s="104" t="n">
        <x:f>IFERROR(P554/Q554,0)</x:f>
        <x:v>23.2124102376251</x:v>
      </x:c>
      <x:c r="S554" s="105" t="n">
        <x:f>ROUND(E554*XLOOKUP(C554,'Reference Tables'!$E$4:$E$12,'Reference Tables'!$G$4:$G$12,1),1)</x:f>
        <x:v>8.2</x:v>
      </x:c>
      <x:c r="T554" s="106" t="str">
        <x:f>IF(R554&gt;='Inputs &amp; Guide'!$B$9,"HIGH",IF(R554&gt;=0.45,"WATCH","NORMAL"))</x:f>
        <x:v>HIGH</x:v>
      </x:c>
    </x:row>
    <x:row r="555">
      <x:c r="A555" s="95" t="n">
        <x:v>4409</x:v>
      </x:c>
      <x:c r="B555" s="96" t="n">
        <x:v>45475.4375</x:v>
      </x:c>
      <x:c r="C555" s="97" t="str">
        <x:v>Wildfire</x:v>
      </x:c>
      <x:c r="D555" s="97" t="str">
        <x:v>Brazil</x:v>
      </x:c>
      <x:c r="E555" s="98" t="n">
        <x:v>9.625490134200163</x:v>
      </x:c>
      <x:c r="F555" s="99" t="n">
        <x:v>950.674021751815</x:v>
      </x:c>
      <x:c r="G555" s="100" t="str">
        <x:f>XLOOKUP(D555,'Reference Tables'!$A$4:$A$23,'Reference Tables'!$B$4:$B$23,"Other")</x:f>
        <x:v>Latin America</x:v>
      </x:c>
      <x:c r="H555" s="100" t="str">
        <x:f>VLOOKUP(G555,'Reference Tables'!$I$4:$J$9,2,FALSE)</x:f>
        <x:v>Moderate</x:v>
      </x:c>
      <x:c r="I555" s="101" t="n">
        <x:f>F555*'Inputs &amp; Guide'!$B$4*XLOOKUP(D555,'Reference Tables'!$A$4:$A$23,'Reference Tables'!$C$4:$C$23,0.75)</x:f>
        <x:v>124.72843165383811</x:v>
      </x:c>
      <x:c r="J555" s="102" t="n">
        <x:f>XLOOKUP(C555,'Reference Tables'!$E$4:$E$12,'Reference Tables'!$F$4:$F$12,0.05)</x:f>
        <x:v>0.1</x:v>
      </x:c>
      <x:c r="K555" s="103" t="n">
        <x:f>MIN(I555,F555*J555)</x:f>
        <x:v>95.0674021751815</x:v>
      </x:c>
      <x:c r="L555" s="103" t="n">
        <x:f>'Inputs &amp; Guide'!$B$5</x:f>
        <x:v>15</x:v>
      </x:c>
      <x:c r="M555" s="103" t="n">
        <x:f>I555*'Inputs &amp; Guide'!$B$6</x:f>
        <x:v>68.60063740961097</x:v>
      </x:c>
      <x:c r="N555" s="103" t="n">
        <x:f>MAX(0,MIN(K555-L555,M555))</x:f>
        <x:v>68.60063740961097</x:v>
      </x:c>
      <x:c r="O555" s="103" t="n">
        <x:f>MAX(0,N555-'Inputs &amp; Guide'!$B$7)</x:f>
        <x:v>8.600637409610968</x:v>
      </x:c>
      <x:c r="P555" s="103" t="n">
        <x:f>N555-O555</x:f>
        <x:v>60</x:v>
      </x:c>
      <x:c r="Q555" s="103" t="n">
        <x:f>I555*'Inputs &amp; Guide'!$B$8</x:f>
        <x:v>2.245111769769086</x:v>
      </x:c>
      <x:c r="R555" s="104" t="n">
        <x:f>IFERROR(P555/Q555,0)</x:f>
        <x:v>26.72472738681118</x:v>
      </x:c>
      <x:c r="S555" s="105" t="n">
        <x:f>ROUND(E555*XLOOKUP(C555,'Reference Tables'!$E$4:$E$12,'Reference Tables'!$G$4:$G$12,1),1)</x:f>
        <x:v>11.1</x:v>
      </x:c>
      <x:c r="T555" s="106" t="str">
        <x:f>IF(R555&gt;='Inputs &amp; Guide'!$B$9,"HIGH",IF(R555&gt;=0.45,"WATCH","NORMAL"))</x:f>
        <x:v>HIGH</x:v>
      </x:c>
    </x:row>
    <x:row r="556">
      <x:c r="A556" s="95" t="n">
        <x:v>4417</x:v>
      </x:c>
      <x:c r="B556" s="96" t="n">
        <x:v>45476</x:v>
      </x:c>
      <x:c r="C556" s="97" t="str">
        <x:v>Flood</x:v>
      </x:c>
      <x:c r="D556" s="97" t="str">
        <x:v>Brazil</x:v>
      </x:c>
      <x:c r="E556" s="98" t="n">
        <x:v>5.702000926124411</x:v>
      </x:c>
      <x:c r="F556" s="99" t="n">
        <x:v>277.2900453684337</x:v>
      </x:c>
      <x:c r="G556" s="100" t="str">
        <x:f>XLOOKUP(D556,'Reference Tables'!$A$4:$A$23,'Reference Tables'!$B$4:$B$23,"Other")</x:f>
        <x:v>Latin America</x:v>
      </x:c>
      <x:c r="H556" s="100" t="str">
        <x:f>VLOOKUP(G556,'Reference Tables'!$I$4:$J$9,2,FALSE)</x:f>
        <x:v>Moderate</x:v>
      </x:c>
      <x:c r="I556" s="101" t="n">
        <x:f>F556*'Inputs &amp; Guide'!$B$4*XLOOKUP(D556,'Reference Tables'!$A$4:$A$23,'Reference Tables'!$C$4:$C$23,0.75)</x:f>
        <x:v>36.3804539523385</x:v>
      </x:c>
      <x:c r="J556" s="102" t="n">
        <x:f>XLOOKUP(C556,'Reference Tables'!$E$4:$E$12,'Reference Tables'!$F$4:$F$12,0.05)</x:f>
        <x:v>0.12</x:v>
      </x:c>
      <x:c r="K556" s="103" t="n">
        <x:f>MIN(I556,F556*J556)</x:f>
        <x:v>33.27480544421204</x:v>
      </x:c>
      <x:c r="L556" s="103" t="n">
        <x:f>'Inputs &amp; Guide'!$B$5</x:f>
        <x:v>15</x:v>
      </x:c>
      <x:c r="M556" s="103" t="n">
        <x:f>I556*'Inputs &amp; Guide'!$B$6</x:f>
        <x:v>20.009249673786176</x:v>
      </x:c>
      <x:c r="N556" s="103" t="n">
        <x:f>MAX(0,MIN(K556-L556,M556))</x:f>
        <x:v>18.274805444212042</x:v>
      </x:c>
      <x:c r="O556" s="103" t="n">
        <x:f>MAX(0,N556-'Inputs &amp; Guide'!$B$7)</x:f>
        <x:v>0</x:v>
      </x:c>
      <x:c r="P556" s="103" t="n">
        <x:f>N556-O556</x:f>
        <x:v>18.274805444212042</x:v>
      </x:c>
      <x:c r="Q556" s="103" t="n">
        <x:f>I556*'Inputs &amp; Guide'!$B$8</x:f>
        <x:v>0.6548481711420929</x:v>
      </x:c>
      <x:c r="R556" s="104" t="n">
        <x:f>IFERROR(P556/Q556,0)</x:f>
        <x:v>27.90693514855471</x:v>
      </x:c>
      <x:c r="S556" s="105" t="n">
        <x:f>ROUND(E556*XLOOKUP(C556,'Reference Tables'!$E$4:$E$12,'Reference Tables'!$G$4:$G$12,1),1)</x:f>
        <x:v>7.1</x:v>
      </x:c>
      <x:c r="T556" s="106" t="str">
        <x:f>IF(R556&gt;='Inputs &amp; Guide'!$B$9,"HIGH",IF(R556&gt;=0.45,"WATCH","NORMAL"))</x:f>
        <x:v>HIGH</x:v>
      </x:c>
    </x:row>
    <x:row r="557">
      <x:c r="A557" s="95" t="n">
        <x:v>4425</x:v>
      </x:c>
      <x:c r="B557" s="96" t="n">
        <x:v>45476.104166666664</x:v>
      </x:c>
      <x:c r="C557" s="97" t="str">
        <x:v>Flood</x:v>
      </x:c>
      <x:c r="D557" s="97" t="str">
        <x:v>Japan</x:v>
      </x:c>
      <x:c r="E557" s="98" t="n">
        <x:v>9.826847233062786</x:v>
      </x:c>
      <x:c r="F557" s="99" t="n">
        <x:v>503.3538883991058</x:v>
      </x:c>
      <x:c r="G557" s="100" t="str">
        <x:f>XLOOKUP(D557,'Reference Tables'!$A$4:$A$23,'Reference Tables'!$B$4:$B$23,"Other")</x:f>
        <x:v>Asia Pacific</x:v>
      </x:c>
      <x:c r="H557" s="100" t="str">
        <x:f>VLOOKUP(G557,'Reference Tables'!$I$4:$J$9,2,FALSE)</x:f>
        <x:v>High</x:v>
      </x:c>
      <x:c r="I557" s="101" t="n">
        <x:f>F557*'Inputs &amp; Guide'!$B$4*XLOOKUP(D557,'Reference Tables'!$A$4:$A$23,'Reference Tables'!$C$4:$C$23,0.75)</x:f>
        <x:v>95.03321412975117</x:v>
      </x:c>
      <x:c r="J557" s="102" t="n">
        <x:f>XLOOKUP(C557,'Reference Tables'!$E$4:$E$12,'Reference Tables'!$F$4:$F$12,0.05)</x:f>
        <x:v>0.12</x:v>
      </x:c>
      <x:c r="K557" s="103" t="n">
        <x:f>MIN(I557,F557*J557)</x:f>
        <x:v>60.4024666078927</x:v>
      </x:c>
      <x:c r="L557" s="103" t="n">
        <x:f>'Inputs &amp; Guide'!$B$5</x:f>
        <x:v>15</x:v>
      </x:c>
      <x:c r="M557" s="103" t="n">
        <x:f>I557*'Inputs &amp; Guide'!$B$6</x:f>
        <x:v>52.26826777136315</x:v>
      </x:c>
      <x:c r="N557" s="103" t="n">
        <x:f>MAX(0,MIN(K557-L557,M557))</x:f>
        <x:v>45.4024666078927</x:v>
      </x:c>
      <x:c r="O557" s="103" t="n">
        <x:f>MAX(0,N557-'Inputs &amp; Guide'!$B$7)</x:f>
        <x:v>0</x:v>
      </x:c>
      <x:c r="P557" s="103" t="n">
        <x:f>N557-O557</x:f>
        <x:v>45.4024666078927</x:v>
      </x:c>
      <x:c r="Q557" s="103" t="n">
        <x:f>I557*'Inputs &amp; Guide'!$B$8</x:f>
        <x:v>1.710597854335521</x:v>
      </x:c>
      <x:c r="R557" s="104" t="n">
        <x:f>IFERROR(P557/Q557,0)</x:f>
        <x:v>26.54187043016561</x:v>
      </x:c>
      <x:c r="S557" s="105" t="n">
        <x:f>ROUND(E557*XLOOKUP(C557,'Reference Tables'!$E$4:$E$12,'Reference Tables'!$G$4:$G$12,1),1)</x:f>
        <x:v>12.3</x:v>
      </x:c>
      <x:c r="T557" s="106" t="str">
        <x:f>IF(R557&gt;='Inputs &amp; Guide'!$B$9,"HIGH",IF(R557&gt;=0.45,"WATCH","NORMAL"))</x:f>
        <x:v>HIGH</x:v>
      </x:c>
    </x:row>
    <x:row r="558">
      <x:c r="A558" s="95" t="n">
        <x:v>4433</x:v>
      </x:c>
      <x:c r="B558" s="96" t="n">
        <x:v>45476.4375</x:v>
      </x:c>
      <x:c r="C558" s="97" t="str">
        <x:v>Flood</x:v>
      </x:c>
      <x:c r="D558" s="97" t="str">
        <x:v>Brazil</x:v>
      </x:c>
      <x:c r="E558" s="98" t="n">
        <x:v>8.971281883117141</x:v>
      </x:c>
      <x:c r="F558" s="99" t="n">
        <x:v>86.72936215193111</x:v>
      </x:c>
      <x:c r="G558" s="100" t="str">
        <x:f>XLOOKUP(D558,'Reference Tables'!$A$4:$A$23,'Reference Tables'!$B$4:$B$23,"Other")</x:f>
        <x:v>Latin America</x:v>
      </x:c>
      <x:c r="H558" s="100" t="str">
        <x:f>VLOOKUP(G558,'Reference Tables'!$I$4:$J$9,2,FALSE)</x:f>
        <x:v>Moderate</x:v>
      </x:c>
      <x:c r="I558" s="101" t="n">
        <x:f>F558*'Inputs &amp; Guide'!$B$4*XLOOKUP(D558,'Reference Tables'!$A$4:$A$23,'Reference Tables'!$C$4:$C$23,0.75)</x:f>
        <x:v>11.378892314333362</x:v>
      </x:c>
      <x:c r="J558" s="102" t="n">
        <x:f>XLOOKUP(C558,'Reference Tables'!$E$4:$E$12,'Reference Tables'!$F$4:$F$12,0.05)</x:f>
        <x:v>0.12</x:v>
      </x:c>
      <x:c r="K558" s="103" t="n">
        <x:f>MIN(I558,F558*J558)</x:f>
        <x:v>10.407523458231733</x:v>
      </x:c>
      <x:c r="L558" s="103" t="n">
        <x:f>'Inputs &amp; Guide'!$B$5</x:f>
        <x:v>15</x:v>
      </x:c>
      <x:c r="M558" s="103" t="n">
        <x:f>I558*'Inputs &amp; Guide'!$B$6</x:f>
        <x:v>6.25839077288335</x:v>
      </x:c>
      <x:c r="N558" s="103" t="n">
        <x:f>MAX(0,MIN(K558-L558,M558))</x:f>
        <x:v>0</x:v>
      </x:c>
      <x:c r="O558" s="103" t="n">
        <x:f>MAX(0,N558-'Inputs &amp; Guide'!$B$7)</x:f>
        <x:v>0</x:v>
      </x:c>
      <x:c r="P558" s="103" t="n">
        <x:f>N558-O558</x:f>
        <x:v>0</x:v>
      </x:c>
      <x:c r="Q558" s="103" t="n">
        <x:f>I558*'Inputs &amp; Guide'!$B$8</x:f>
        <x:v>0.20482006165800049</x:v>
      </x:c>
      <x:c r="R558" s="104" t="n">
        <x:f>IFERROR(P558/Q558,0)</x:f>
        <x:v>0</x:v>
      </x:c>
      <x:c r="S558" s="105" t="n">
        <x:f>ROUND(E558*XLOOKUP(C558,'Reference Tables'!$E$4:$E$12,'Reference Tables'!$G$4:$G$12,1),1)</x:f>
        <x:v>11.2</x:v>
      </x:c>
      <x:c r="T558" s="106" t="str">
        <x:f>IF(R558&gt;='Inputs &amp; Guide'!$B$9,"HIGH",IF(R558&gt;=0.45,"WATCH","NORMAL"))</x:f>
        <x:v>NORMAL</x:v>
      </x:c>
    </x:row>
    <x:row r="559">
      <x:c r="A559" s="95" t="n">
        <x:v>4441</x:v>
      </x:c>
      <x:c r="B559" s="96" t="n">
        <x:v>45477</x:v>
      </x:c>
      <x:c r="C559" s="97" t="str">
        <x:v>Hurricane</x:v>
      </x:c>
      <x:c r="D559" s="97" t="str">
        <x:v>Brazil</x:v>
      </x:c>
      <x:c r="E559" s="98" t="n">
        <x:v>5.101167923118516</x:v>
      </x:c>
      <x:c r="F559" s="99" t="n">
        <x:v>966.7736895448552</x:v>
      </x:c>
      <x:c r="G559" s="100" t="str">
        <x:f>XLOOKUP(D559,'Reference Tables'!$A$4:$A$23,'Reference Tables'!$B$4:$B$23,"Other")</x:f>
        <x:v>Latin America</x:v>
      </x:c>
      <x:c r="H559" s="100" t="str">
        <x:f>VLOOKUP(G559,'Reference Tables'!$I$4:$J$9,2,FALSE)</x:f>
        <x:v>Moderate</x:v>
      </x:c>
      <x:c r="I559" s="101" t="n">
        <x:f>F559*'Inputs &amp; Guide'!$B$4*XLOOKUP(D559,'Reference Tables'!$A$4:$A$23,'Reference Tables'!$C$4:$C$23,0.75)</x:f>
        <x:v>126.840708068285</x:v>
      </x:c>
      <x:c r="J559" s="102" t="n">
        <x:f>XLOOKUP(C559,'Reference Tables'!$E$4:$E$12,'Reference Tables'!$F$4:$F$12,0.05)</x:f>
        <x:v>0.18</x:v>
      </x:c>
      <x:c r="K559" s="103" t="n">
        <x:f>MIN(I559,F559*J559)</x:f>
        <x:v>126.840708068285</x:v>
      </x:c>
      <x:c r="L559" s="103" t="n">
        <x:f>'Inputs &amp; Guide'!$B$5</x:f>
        <x:v>15</x:v>
      </x:c>
      <x:c r="M559" s="103" t="n">
        <x:f>I559*'Inputs &amp; Guide'!$B$6</x:f>
        <x:v>69.76238943755675</x:v>
      </x:c>
      <x:c r="N559" s="103" t="n">
        <x:f>MAX(0,MIN(K559-L559,M559))</x:f>
        <x:v>69.76238943755675</x:v>
      </x:c>
      <x:c r="O559" s="103" t="n">
        <x:f>MAX(0,N559-'Inputs &amp; Guide'!$B$7)</x:f>
        <x:v>9.762389437556749</x:v>
      </x:c>
      <x:c r="P559" s="103" t="n">
        <x:f>N559-O559</x:f>
        <x:v>60</x:v>
      </x:c>
      <x:c r="Q559" s="103" t="n">
        <x:f>I559*'Inputs &amp; Guide'!$B$8</x:f>
        <x:v>2.2831327452291297</x:v>
      </x:c>
      <x:c r="R559" s="104" t="n">
        <x:f>IFERROR(P559/Q559,0)</x:f>
        <x:v>26.279680901330398</x:v>
      </x:c>
      <x:c r="S559" s="105" t="n">
        <x:f>ROUND(E559*XLOOKUP(C559,'Reference Tables'!$E$4:$E$12,'Reference Tables'!$G$4:$G$12,1),1)</x:f>
        <x:v>7.1</x:v>
      </x:c>
      <x:c r="T559" s="106" t="str">
        <x:f>IF(R559&gt;='Inputs &amp; Guide'!$B$9,"HIGH",IF(R559&gt;=0.45,"WATCH","NORMAL"))</x:f>
        <x:v>HIGH</x:v>
      </x:c>
    </x:row>
    <x:row r="560">
      <x:c r="A560" s="95" t="n">
        <x:v>4449</x:v>
      </x:c>
      <x:c r="B560" s="96" t="n">
        <x:v>45477.104166666664</x:v>
      </x:c>
      <x:c r="C560" s="97" t="str">
        <x:v>Earthquake</x:v>
      </x:c>
      <x:c r="D560" s="97" t="str">
        <x:v>Japan</x:v>
      </x:c>
      <x:c r="E560" s="98" t="n">
        <x:v>7.183455039498648</x:v>
      </x:c>
      <x:c r="F560" s="99" t="n">
        <x:v>902.9065662203797</x:v>
      </x:c>
      <x:c r="G560" s="100" t="str">
        <x:f>XLOOKUP(D560,'Reference Tables'!$A$4:$A$23,'Reference Tables'!$B$4:$B$23,"Other")</x:f>
        <x:v>Asia Pacific</x:v>
      </x:c>
      <x:c r="H560" s="100" t="str">
        <x:f>VLOOKUP(G560,'Reference Tables'!$I$4:$J$9,2,FALSE)</x:f>
        <x:v>High</x:v>
      </x:c>
      <x:c r="I560" s="101" t="n">
        <x:f>F560*'Inputs &amp; Guide'!$B$4*XLOOKUP(D560,'Reference Tables'!$A$4:$A$23,'Reference Tables'!$C$4:$C$23,0.75)</x:f>
        <x:v>170.46875970240768</x:v>
      </x:c>
      <x:c r="J560" s="102" t="n">
        <x:f>XLOOKUP(C560,'Reference Tables'!$E$4:$E$12,'Reference Tables'!$F$4:$F$12,0.05)</x:f>
        <x:v>0.14</x:v>
      </x:c>
      <x:c r="K560" s="103" t="n">
        <x:f>MIN(I560,F560*J560)</x:f>
        <x:v>126.40691927085317</x:v>
      </x:c>
      <x:c r="L560" s="103" t="n">
        <x:f>'Inputs &amp; Guide'!$B$5</x:f>
        <x:v>15</x:v>
      </x:c>
      <x:c r="M560" s="103" t="n">
        <x:f>I560*'Inputs &amp; Guide'!$B$6</x:f>
        <x:v>93.75781783632424</x:v>
      </x:c>
      <x:c r="N560" s="103" t="n">
        <x:f>MAX(0,MIN(K560-L560,M560))</x:f>
        <x:v>93.75781783632424</x:v>
      </x:c>
      <x:c r="O560" s="103" t="n">
        <x:f>MAX(0,N560-'Inputs &amp; Guide'!$B$7)</x:f>
        <x:v>33.757817836324236</x:v>
      </x:c>
      <x:c r="P560" s="103" t="n">
        <x:f>N560-O560</x:f>
        <x:v>60</x:v>
      </x:c>
      <x:c r="Q560" s="103" t="n">
        <x:f>I560*'Inputs &amp; Guide'!$B$8</x:f>
        <x:v>3.068437674643338</x:v>
      </x:c>
      <x:c r="R560" s="104" t="n">
        <x:f>IFERROR(P560/Q560,0)</x:f>
        <x:v>19.553924948784935</x:v>
      </x:c>
      <x:c r="S560" s="105" t="n">
        <x:f>ROUND(E560*XLOOKUP(C560,'Reference Tables'!$E$4:$E$12,'Reference Tables'!$G$4:$G$12,1),1)</x:f>
        <x:v>10.8</x:v>
      </x:c>
      <x:c r="T560" s="106" t="str">
        <x:f>IF(R560&gt;='Inputs &amp; Guide'!$B$9,"HIGH",IF(R560&gt;=0.45,"WATCH","NORMAL"))</x:f>
        <x:v>HIGH</x:v>
      </x:c>
    </x:row>
    <x:row r="561">
      <x:c r="A561" s="95" t="n">
        <x:v>4457</x:v>
      </x:c>
      <x:c r="B561" s="96" t="n">
        <x:v>45477.4375</x:v>
      </x:c>
      <x:c r="C561" s="97" t="str">
        <x:v>Hurricane</x:v>
      </x:c>
      <x:c r="D561" s="97" t="str">
        <x:v>USA</x:v>
      </x:c>
      <x:c r="E561" s="98" t="n">
        <x:v>1.7471864577476355</x:v>
      </x:c>
      <x:c r="F561" s="99" t="n">
        <x:v>118.73852137404678</x:v>
      </x:c>
      <x:c r="G561" s="100" t="str">
        <x:f>XLOOKUP(D561,'Reference Tables'!$A$4:$A$23,'Reference Tables'!$B$4:$B$23,"Other")</x:f>
        <x:v>Other</x:v>
      </x:c>
      <x:c r="H561" s="100" t="str">
        <x:f>VLOOKUP(G561,'Reference Tables'!$I$4:$J$9,2,FALSE)</x:f>
        <x:v>Moderate</x:v>
      </x:c>
      <x:c r="I561" s="101" t="n">
        <x:f>F561*'Inputs &amp; Guide'!$B$4*XLOOKUP(D561,'Reference Tables'!$A$4:$A$23,'Reference Tables'!$C$4:$C$23,0.75)</x:f>
        <x:v>14.248622564885615</x:v>
      </x:c>
      <x:c r="J561" s="102" t="n">
        <x:f>XLOOKUP(C561,'Reference Tables'!$E$4:$E$12,'Reference Tables'!$F$4:$F$12,0.05)</x:f>
        <x:v>0.18</x:v>
      </x:c>
      <x:c r="K561" s="103" t="n">
        <x:f>MIN(I561,F561*J561)</x:f>
        <x:v>14.248622564885615</x:v>
      </x:c>
      <x:c r="L561" s="103" t="n">
        <x:f>'Inputs &amp; Guide'!$B$5</x:f>
        <x:v>15</x:v>
      </x:c>
      <x:c r="M561" s="103" t="n">
        <x:f>I561*'Inputs &amp; Guide'!$B$6</x:f>
        <x:v>7.836742410687089</x:v>
      </x:c>
      <x:c r="N561" s="103" t="n">
        <x:f>MAX(0,MIN(K561-L561,M561))</x:f>
        <x:v>0</x:v>
      </x:c>
      <x:c r="O561" s="103" t="n">
        <x:f>MAX(0,N561-'Inputs &amp; Guide'!$B$7)</x:f>
        <x:v>0</x:v>
      </x:c>
      <x:c r="P561" s="103" t="n">
        <x:f>N561-O561</x:f>
        <x:v>0</x:v>
      </x:c>
      <x:c r="Q561" s="103" t="n">
        <x:f>I561*'Inputs &amp; Guide'!$B$8</x:f>
        <x:v>0.25647520616794106</x:v>
      </x:c>
      <x:c r="R561" s="104" t="n">
        <x:f>IFERROR(P561/Q561,0)</x:f>
        <x:v>0</x:v>
      </x:c>
      <x:c r="S561" s="105" t="n">
        <x:f>ROUND(E561*XLOOKUP(C561,'Reference Tables'!$E$4:$E$12,'Reference Tables'!$G$4:$G$12,1),1)</x:f>
        <x:v>2.4</x:v>
      </x:c>
      <x:c r="T561" s="106" t="str">
        <x:f>IF(R561&gt;='Inputs &amp; Guide'!$B$9,"HIGH",IF(R561&gt;=0.45,"WATCH","NORMAL"))</x:f>
        <x:v>NORMAL</x:v>
      </x:c>
    </x:row>
    <x:row r="562">
      <x:c r="A562" s="95" t="n">
        <x:v>4465</x:v>
      </x:c>
      <x:c r="B562" s="96" t="n">
        <x:v>45478</x:v>
      </x:c>
      <x:c r="C562" s="97" t="str">
        <x:v>Wildfire</x:v>
      </x:c>
      <x:c r="D562" s="97" t="str">
        <x:v>USA</x:v>
      </x:c>
      <x:c r="E562" s="98" t="n">
        <x:v>4.498951599147826</x:v>
      </x:c>
      <x:c r="F562" s="99" t="n">
        <x:v>784.444954691008</x:v>
      </x:c>
      <x:c r="G562" s="100" t="str">
        <x:f>XLOOKUP(D562,'Reference Tables'!$A$4:$A$23,'Reference Tables'!$B$4:$B$23,"Other")</x:f>
        <x:v>Other</x:v>
      </x:c>
      <x:c r="H562" s="100" t="str">
        <x:f>VLOOKUP(G562,'Reference Tables'!$I$4:$J$9,2,FALSE)</x:f>
        <x:v>Moderate</x:v>
      </x:c>
      <x:c r="I562" s="101" t="n">
        <x:f>F562*'Inputs &amp; Guide'!$B$4*XLOOKUP(D562,'Reference Tables'!$A$4:$A$23,'Reference Tables'!$C$4:$C$23,0.75)</x:f>
        <x:v>94.13339456292096</x:v>
      </x:c>
      <x:c r="J562" s="102" t="n">
        <x:f>XLOOKUP(C562,'Reference Tables'!$E$4:$E$12,'Reference Tables'!$F$4:$F$12,0.05)</x:f>
        <x:v>0.1</x:v>
      </x:c>
      <x:c r="K562" s="103" t="n">
        <x:f>MIN(I562,F562*J562)</x:f>
        <x:v>78.4444954691008</x:v>
      </x:c>
      <x:c r="L562" s="103" t="n">
        <x:f>'Inputs &amp; Guide'!$B$5</x:f>
        <x:v>15</x:v>
      </x:c>
      <x:c r="M562" s="103" t="n">
        <x:f>I562*'Inputs &amp; Guide'!$B$6</x:f>
        <x:v>51.77336700960653</x:v>
      </x:c>
      <x:c r="N562" s="103" t="n">
        <x:f>MAX(0,MIN(K562-L562,M562))</x:f>
        <x:v>51.77336700960653</x:v>
      </x:c>
      <x:c r="O562" s="103" t="n">
        <x:f>MAX(0,N562-'Inputs &amp; Guide'!$B$7)</x:f>
        <x:v>0</x:v>
      </x:c>
      <x:c r="P562" s="103" t="n">
        <x:f>N562-O562</x:f>
        <x:v>51.77336700960653</x:v>
      </x:c>
      <x:c r="Q562" s="103" t="n">
        <x:f>I562*'Inputs &amp; Guide'!$B$8</x:f>
        <x:v>1.694401102132577</x:v>
      </x:c>
      <x:c r="R562" s="104" t="n">
        <x:f>IFERROR(P562/Q562,0)</x:f>
        <x:v>30.55555555555556</x:v>
      </x:c>
      <x:c r="S562" s="105" t="n">
        <x:f>ROUND(E562*XLOOKUP(C562,'Reference Tables'!$E$4:$E$12,'Reference Tables'!$G$4:$G$12,1),1)</x:f>
        <x:v>5.2</x:v>
      </x:c>
      <x:c r="T562" s="106" t="str">
        <x:f>IF(R562&gt;='Inputs &amp; Guide'!$B$9,"HIGH",IF(R562&gt;=0.45,"WATCH","NORMAL"))</x:f>
        <x:v>HIGH</x:v>
      </x:c>
    </x:row>
    <x:row r="563">
      <x:c r="A563" s="95" t="n">
        <x:v>4473</x:v>
      </x:c>
      <x:c r="B563" s="96" t="n">
        <x:v>45478.104166666664</x:v>
      </x:c>
      <x:c r="C563" s="97" t="str">
        <x:v>Earthquake</x:v>
      </x:c>
      <x:c r="D563" s="97" t="str">
        <x:v>USA</x:v>
      </x:c>
      <x:c r="E563" s="98" t="n">
        <x:v>6.6800004411380725</x:v>
      </x:c>
      <x:c r="F563" s="99" t="n">
        <x:v>475.05309638557554</x:v>
      </x:c>
      <x:c r="G563" s="100" t="str">
        <x:f>XLOOKUP(D563,'Reference Tables'!$A$4:$A$23,'Reference Tables'!$B$4:$B$23,"Other")</x:f>
        <x:v>Other</x:v>
      </x:c>
      <x:c r="H563" s="100" t="str">
        <x:f>VLOOKUP(G563,'Reference Tables'!$I$4:$J$9,2,FALSE)</x:f>
        <x:v>Moderate</x:v>
      </x:c>
      <x:c r="I563" s="101" t="n">
        <x:f>F563*'Inputs &amp; Guide'!$B$4*XLOOKUP(D563,'Reference Tables'!$A$4:$A$23,'Reference Tables'!$C$4:$C$23,0.75)</x:f>
        <x:v>57.00637156626907</x:v>
      </x:c>
      <x:c r="J563" s="102" t="n">
        <x:f>XLOOKUP(C563,'Reference Tables'!$E$4:$E$12,'Reference Tables'!$F$4:$F$12,0.05)</x:f>
        <x:v>0.14</x:v>
      </x:c>
      <x:c r="K563" s="103" t="n">
        <x:f>MIN(I563,F563*J563)</x:f>
        <x:v>57.00637156626907</x:v>
      </x:c>
      <x:c r="L563" s="103" t="n">
        <x:f>'Inputs &amp; Guide'!$B$5</x:f>
        <x:v>15</x:v>
      </x:c>
      <x:c r="M563" s="103" t="n">
        <x:f>I563*'Inputs &amp; Guide'!$B$6</x:f>
        <x:v>31.35350436144799</x:v>
      </x:c>
      <x:c r="N563" s="103" t="n">
        <x:f>MAX(0,MIN(K563-L563,M563))</x:f>
        <x:v>31.35350436144799</x:v>
      </x:c>
      <x:c r="O563" s="103" t="n">
        <x:f>MAX(0,N563-'Inputs &amp; Guide'!$B$7)</x:f>
        <x:v>0</x:v>
      </x:c>
      <x:c r="P563" s="103" t="n">
        <x:f>N563-O563</x:f>
        <x:v>31.35350436144799</x:v>
      </x:c>
      <x:c r="Q563" s="103" t="n">
        <x:f>I563*'Inputs &amp; Guide'!$B$8</x:f>
        <x:v>1.0261146881928431</x:v>
      </x:c>
      <x:c r="R563" s="104" t="n">
        <x:f>IFERROR(P563/Q563,0)</x:f>
        <x:v>30.55555555555556</x:v>
      </x:c>
      <x:c r="S563" s="105" t="n">
        <x:f>ROUND(E563*XLOOKUP(C563,'Reference Tables'!$E$4:$E$12,'Reference Tables'!$G$4:$G$12,1),1)</x:f>
        <x:v>10</x:v>
      </x:c>
      <x:c r="T563" s="106" t="str">
        <x:f>IF(R563&gt;='Inputs &amp; Guide'!$B$9,"HIGH",IF(R563&gt;=0.45,"WATCH","NORMAL"))</x:f>
        <x:v>HIGH</x:v>
      </x:c>
    </x:row>
    <x:row r="564">
      <x:c r="A564" s="95" t="n">
        <x:v>4481</x:v>
      </x:c>
      <x:c r="B564" s="96" t="n">
        <x:v>45478.4375</x:v>
      </x:c>
      <x:c r="C564" s="97" t="str">
        <x:v>Wildfire</x:v>
      </x:c>
      <x:c r="D564" s="97" t="str">
        <x:v>India</x:v>
      </x:c>
      <x:c r="E564" s="98" t="n">
        <x:v>9.053903576273749</x:v>
      </x:c>
      <x:c r="F564" s="99" t="n">
        <x:v>575.9214846259039</x:v>
      </x:c>
      <x:c r="G564" s="100" t="str">
        <x:f>XLOOKUP(D564,'Reference Tables'!$A$4:$A$23,'Reference Tables'!$B$4:$B$23,"Other")</x:f>
        <x:v>Asia Pacific</x:v>
      </x:c>
      <x:c r="H564" s="100" t="str">
        <x:f>VLOOKUP(G564,'Reference Tables'!$I$4:$J$9,2,FALSE)</x:f>
        <x:v>High</x:v>
      </x:c>
      <x:c r="I564" s="101" t="n">
        <x:f>F564*'Inputs &amp; Guide'!$B$4*XLOOKUP(D564,'Reference Tables'!$A$4:$A$23,'Reference Tables'!$C$4:$C$23,0.75)</x:f>
        <x:v>83.8541681615316</x:v>
      </x:c>
      <x:c r="J564" s="102" t="n">
        <x:f>XLOOKUP(C564,'Reference Tables'!$E$4:$E$12,'Reference Tables'!$F$4:$F$12,0.05)</x:f>
        <x:v>0.1</x:v>
      </x:c>
      <x:c r="K564" s="103" t="n">
        <x:f>MIN(I564,F564*J564)</x:f>
        <x:v>57.59214846259039</x:v>
      </x:c>
      <x:c r="L564" s="103" t="n">
        <x:f>'Inputs &amp; Guide'!$B$5</x:f>
        <x:v>15</x:v>
      </x:c>
      <x:c r="M564" s="103" t="n">
        <x:f>I564*'Inputs &amp; Guide'!$B$6</x:f>
        <x:v>46.119792488842386</x:v>
      </x:c>
      <x:c r="N564" s="103" t="n">
        <x:f>MAX(0,MIN(K564-L564,M564))</x:f>
        <x:v>42.59214846259039</x:v>
      </x:c>
      <x:c r="O564" s="103" t="n">
        <x:f>MAX(0,N564-'Inputs &amp; Guide'!$B$7)</x:f>
        <x:v>0</x:v>
      </x:c>
      <x:c r="P564" s="103" t="n">
        <x:f>N564-O564</x:f>
        <x:v>42.59214846259039</x:v>
      </x:c>
      <x:c r="Q564" s="103" t="n">
        <x:f>I564*'Inputs &amp; Guide'!$B$8</x:f>
        <x:v>1.5093750269075688</x:v>
      </x:c>
      <x:c r="R564" s="104" t="n">
        <x:f>IFERROR(P564/Q564,0)</x:f>
        <x:v>28.218400134692732</x:v>
      </x:c>
      <x:c r="S564" s="105" t="n">
        <x:f>ROUND(E564*XLOOKUP(C564,'Reference Tables'!$E$4:$E$12,'Reference Tables'!$G$4:$G$12,1),1)</x:f>
        <x:v>10.4</x:v>
      </x:c>
      <x:c r="T564" s="106" t="str">
        <x:f>IF(R564&gt;='Inputs &amp; Guide'!$B$9,"HIGH",IF(R564&gt;=0.45,"WATCH","NORMAL"))</x:f>
        <x:v>HIGH</x:v>
      </x:c>
    </x:row>
    <x:row r="565">
      <x:c r="A565" s="95" t="n">
        <x:v>4489</x:v>
      </x:c>
      <x:c r="B565" s="96" t="n">
        <x:v>45479</x:v>
      </x:c>
      <x:c r="C565" s="97" t="str">
        <x:v>Flood</x:v>
      </x:c>
      <x:c r="D565" s="97" t="str">
        <x:v>China</x:v>
      </x:c>
      <x:c r="E565" s="98" t="n">
        <x:v>2.026337896351043</x:v>
      </x:c>
      <x:c r="F565" s="99" t="n">
        <x:v>716.0989415287809</x:v>
      </x:c>
      <x:c r="G565" s="100" t="str">
        <x:f>XLOOKUP(D565,'Reference Tables'!$A$4:$A$23,'Reference Tables'!$B$4:$B$23,"Other")</x:f>
        <x:v>Asia Pacific</x:v>
      </x:c>
      <x:c r="H565" s="100" t="str">
        <x:f>VLOOKUP(G565,'Reference Tables'!$I$4:$J$9,2,FALSE)</x:f>
        <x:v>High</x:v>
      </x:c>
      <x:c r="I565" s="101" t="n">
        <x:f>F565*'Inputs &amp; Guide'!$B$4*XLOOKUP(D565,'Reference Tables'!$A$4:$A$23,'Reference Tables'!$C$4:$C$23,0.75)</x:f>
        <x:v>123.74189709617333</x:v>
      </x:c>
      <x:c r="J565" s="102" t="n">
        <x:f>XLOOKUP(C565,'Reference Tables'!$E$4:$E$12,'Reference Tables'!$F$4:$F$12,0.05)</x:f>
        <x:v>0.12</x:v>
      </x:c>
      <x:c r="K565" s="103" t="n">
        <x:f>MIN(I565,F565*J565)</x:f>
        <x:v>85.9318729834537</x:v>
      </x:c>
      <x:c r="L565" s="103" t="n">
        <x:f>'Inputs &amp; Guide'!$B$5</x:f>
        <x:v>15</x:v>
      </x:c>
      <x:c r="M565" s="103" t="n">
        <x:f>I565*'Inputs &amp; Guide'!$B$6</x:f>
        <x:v>68.05804340289534</x:v>
      </x:c>
      <x:c r="N565" s="103" t="n">
        <x:f>MAX(0,MIN(K565-L565,M565))</x:f>
        <x:v>68.05804340289534</x:v>
      </x:c>
      <x:c r="O565" s="103" t="n">
        <x:f>MAX(0,N565-'Inputs &amp; Guide'!$B$7)</x:f>
        <x:v>8.058043402895336</x:v>
      </x:c>
      <x:c r="P565" s="103" t="n">
        <x:f>N565-O565</x:f>
        <x:v>60</x:v>
      </x:c>
      <x:c r="Q565" s="103" t="n">
        <x:f>I565*'Inputs &amp; Guide'!$B$8</x:f>
        <x:v>2.22735414773112</x:v>
      </x:c>
      <x:c r="R565" s="104" t="n">
        <x:f>IFERROR(P565/Q565,0)</x:f>
        <x:v>26.937790768979696</x:v>
      </x:c>
      <x:c r="S565" s="105" t="n">
        <x:f>ROUND(E565*XLOOKUP(C565,'Reference Tables'!$E$4:$E$12,'Reference Tables'!$G$4:$G$12,1),1)</x:f>
        <x:v>2.5</x:v>
      </x:c>
      <x:c r="T565" s="106" t="str">
        <x:f>IF(R565&gt;='Inputs &amp; Guide'!$B$9,"HIGH",IF(R565&gt;=0.45,"WATCH","NORMAL"))</x:f>
        <x:v>HIGH</x:v>
      </x:c>
    </x:row>
    <x:row r="566">
      <x:c r="A566" s="95" t="n">
        <x:v>4497</x:v>
      </x:c>
      <x:c r="B566" s="96" t="n">
        <x:v>45479.104166666664</x:v>
      </x:c>
      <x:c r="C566" s="97" t="str">
        <x:v>Flood</x:v>
      </x:c>
      <x:c r="D566" s="97" t="str">
        <x:v>India</x:v>
      </x:c>
      <x:c r="E566" s="98" t="n">
        <x:v>8.96365265826934</x:v>
      </x:c>
      <x:c r="F566" s="99" t="n">
        <x:v>26.96764706534687</x:v>
      </x:c>
      <x:c r="G566" s="100" t="str">
        <x:f>XLOOKUP(D566,'Reference Tables'!$A$4:$A$23,'Reference Tables'!$B$4:$B$23,"Other")</x:f>
        <x:v>Asia Pacific</x:v>
      </x:c>
      <x:c r="H566" s="100" t="str">
        <x:f>VLOOKUP(G566,'Reference Tables'!$I$4:$J$9,2,FALSE)</x:f>
        <x:v>High</x:v>
      </x:c>
      <x:c r="I566" s="101" t="n">
        <x:f>F566*'Inputs &amp; Guide'!$B$4*XLOOKUP(D566,'Reference Tables'!$A$4:$A$23,'Reference Tables'!$C$4:$C$23,0.75)</x:f>
        <x:v>3.926489412714505</x:v>
      </x:c>
      <x:c r="J566" s="102" t="n">
        <x:f>XLOOKUP(C566,'Reference Tables'!$E$4:$E$12,'Reference Tables'!$F$4:$F$12,0.05)</x:f>
        <x:v>0.12</x:v>
      </x:c>
      <x:c r="K566" s="103" t="n">
        <x:f>MIN(I566,F566*J566)</x:f>
        <x:v>3.2361176478416245</x:v>
      </x:c>
      <x:c r="L566" s="103" t="n">
        <x:f>'Inputs &amp; Guide'!$B$5</x:f>
        <x:v>15</x:v>
      </x:c>
      <x:c r="M566" s="103" t="n">
        <x:f>I566*'Inputs &amp; Guide'!$B$6</x:f>
        <x:v>2.159569176992978</x:v>
      </x:c>
      <x:c r="N566" s="103" t="n">
        <x:f>MAX(0,MIN(K566-L566,M566))</x:f>
        <x:v>0</x:v>
      </x:c>
      <x:c r="O566" s="103" t="n">
        <x:f>MAX(0,N566-'Inputs &amp; Guide'!$B$7)</x:f>
        <x:v>0</x:v>
      </x:c>
      <x:c r="P566" s="103" t="n">
        <x:f>N566-O566</x:f>
        <x:v>0</x:v>
      </x:c>
      <x:c r="Q566" s="103" t="n">
        <x:f>I566*'Inputs &amp; Guide'!$B$8</x:f>
        <x:v>0.07067680942886108</x:v>
      </x:c>
      <x:c r="R566" s="104" t="n">
        <x:f>IFERROR(P566/Q566,0)</x:f>
        <x:v>0</x:v>
      </x:c>
      <x:c r="S566" s="105" t="n">
        <x:f>ROUND(E566*XLOOKUP(C566,'Reference Tables'!$E$4:$E$12,'Reference Tables'!$G$4:$G$12,1),1)</x:f>
        <x:v>11.2</x:v>
      </x:c>
      <x:c r="T566" s="106" t="str">
        <x:f>IF(R566&gt;='Inputs &amp; Guide'!$B$9,"HIGH",IF(R566&gt;=0.45,"WATCH","NORMAL"))</x:f>
        <x:v>NORMAL</x:v>
      </x:c>
    </x:row>
    <x:row r="567">
      <x:c r="A567" s="95" t="n">
        <x:v>4505</x:v>
      </x:c>
      <x:c r="B567" s="96" t="n">
        <x:v>45479.4375</x:v>
      </x:c>
      <x:c r="C567" s="97" t="str">
        <x:v>Tornado</x:v>
      </x:c>
      <x:c r="D567" s="97" t="str">
        <x:v>Japan</x:v>
      </x:c>
      <x:c r="E567" s="98" t="n">
        <x:v>9.48161702533716</x:v>
      </x:c>
      <x:c r="F567" s="99" t="n">
        <x:v>829.8587013086542</x:v>
      </x:c>
      <x:c r="G567" s="100" t="str">
        <x:f>XLOOKUP(D567,'Reference Tables'!$A$4:$A$23,'Reference Tables'!$B$4:$B$23,"Other")</x:f>
        <x:v>Asia Pacific</x:v>
      </x:c>
      <x:c r="H567" s="100" t="str">
        <x:f>VLOOKUP(G567,'Reference Tables'!$I$4:$J$9,2,FALSE)</x:f>
        <x:v>High</x:v>
      </x:c>
      <x:c r="I567" s="101" t="n">
        <x:f>F567*'Inputs &amp; Guide'!$B$4*XLOOKUP(D567,'Reference Tables'!$A$4:$A$23,'Reference Tables'!$C$4:$C$23,0.75)</x:f>
        <x:v>156.67732280707392</x:v>
      </x:c>
      <x:c r="J567" s="102" t="n">
        <x:f>XLOOKUP(C567,'Reference Tables'!$E$4:$E$12,'Reference Tables'!$F$4:$F$12,0.05)</x:f>
        <x:v>0.09</x:v>
      </x:c>
      <x:c r="K567" s="103" t="n">
        <x:f>MIN(I567,F567*J567)</x:f>
        <x:v>74.68728311777888</x:v>
      </x:c>
      <x:c r="L567" s="103" t="n">
        <x:f>'Inputs &amp; Guide'!$B$5</x:f>
        <x:v>15</x:v>
      </x:c>
      <x:c r="M567" s="103" t="n">
        <x:f>I567*'Inputs &amp; Guide'!$B$6</x:f>
        <x:v>86.17252754389067</x:v>
      </x:c>
      <x:c r="N567" s="103" t="n">
        <x:f>MAX(0,MIN(K567-L567,M567))</x:f>
        <x:v>59.687283117778875</x:v>
      </x:c>
      <x:c r="O567" s="103" t="n">
        <x:f>MAX(0,N567-'Inputs &amp; Guide'!$B$7)</x:f>
        <x:v>0</x:v>
      </x:c>
      <x:c r="P567" s="103" t="n">
        <x:f>N567-O567</x:f>
        <x:v>59.687283117778875</x:v>
      </x:c>
      <x:c r="Q567" s="103" t="n">
        <x:f>I567*'Inputs &amp; Guide'!$B$8</x:f>
        <x:v>2.8201918105273305</x:v>
      </x:c>
      <x:c r="R567" s="104" t="n">
        <x:f>IFERROR(P567/Q567,0)</x:f>
        <x:v>21.164263684113852</x:v>
      </x:c>
      <x:c r="S567" s="105" t="n">
        <x:f>ROUND(E567*XLOOKUP(C567,'Reference Tables'!$E$4:$E$12,'Reference Tables'!$G$4:$G$12,1),1)</x:f>
        <x:v>10</x:v>
      </x:c>
      <x:c r="T567" s="106" t="str">
        <x:f>IF(R567&gt;='Inputs &amp; Guide'!$B$9,"HIGH",IF(R567&gt;=0.45,"WATCH","NORMAL"))</x:f>
        <x:v>HIGH</x:v>
      </x:c>
    </x:row>
    <x:row r="568">
      <x:c r="A568" s="95" t="n">
        <x:v>4513</x:v>
      </x:c>
      <x:c r="B568" s="96" t="n">
        <x:v>45480</x:v>
      </x:c>
      <x:c r="C568" s="97" t="str">
        <x:v>Hurricane</x:v>
      </x:c>
      <x:c r="D568" s="97" t="str">
        <x:v>India</x:v>
      </x:c>
      <x:c r="E568" s="98" t="n">
        <x:v>3.9708957756885868</x:v>
      </x:c>
      <x:c r="F568" s="99" t="n">
        <x:v>980.5765374459617</x:v>
      </x:c>
      <x:c r="G568" s="100" t="str">
        <x:f>XLOOKUP(D568,'Reference Tables'!$A$4:$A$23,'Reference Tables'!$B$4:$B$23,"Other")</x:f>
        <x:v>Asia Pacific</x:v>
      </x:c>
      <x:c r="H568" s="100" t="str">
        <x:f>VLOOKUP(G568,'Reference Tables'!$I$4:$J$9,2,FALSE)</x:f>
        <x:v>High</x:v>
      </x:c>
      <x:c r="I568" s="101" t="n">
        <x:f>F568*'Inputs &amp; Guide'!$B$4*XLOOKUP(D568,'Reference Tables'!$A$4:$A$23,'Reference Tables'!$C$4:$C$23,0.75)</x:f>
        <x:v>142.771943852132</x:v>
      </x:c>
      <x:c r="J568" s="102" t="n">
        <x:f>XLOOKUP(C568,'Reference Tables'!$E$4:$E$12,'Reference Tables'!$F$4:$F$12,0.05)</x:f>
        <x:v>0.18</x:v>
      </x:c>
      <x:c r="K568" s="103" t="n">
        <x:f>MIN(I568,F568*J568)</x:f>
        <x:v>142.771943852132</x:v>
      </x:c>
      <x:c r="L568" s="103" t="n">
        <x:f>'Inputs &amp; Guide'!$B$5</x:f>
        <x:v>15</x:v>
      </x:c>
      <x:c r="M568" s="103" t="n">
        <x:f>I568*'Inputs &amp; Guide'!$B$6</x:f>
        <x:v>78.52456911867262</x:v>
      </x:c>
      <x:c r="N568" s="103" t="n">
        <x:f>MAX(0,MIN(K568-L568,M568))</x:f>
        <x:v>78.52456911867262</x:v>
      </x:c>
      <x:c r="O568" s="103" t="n">
        <x:f>MAX(0,N568-'Inputs &amp; Guide'!$B$7)</x:f>
        <x:v>18.524569118672616</x:v>
      </x:c>
      <x:c r="P568" s="103" t="n">
        <x:f>N568-O568</x:f>
        <x:v>60</x:v>
      </x:c>
      <x:c r="Q568" s="103" t="n">
        <x:f>I568*'Inputs &amp; Guide'!$B$8</x:f>
        <x:v>2.569894989338376</x:v>
      </x:c>
      <x:c r="R568" s="104" t="n">
        <x:f>IFERROR(P568/Q568,0)</x:f>
        <x:v>23.347257475079598</x:v>
      </x:c>
      <x:c r="S568" s="105" t="n">
        <x:f>ROUND(E568*XLOOKUP(C568,'Reference Tables'!$E$4:$E$12,'Reference Tables'!$G$4:$G$12,1),1)</x:f>
        <x:v>5.6</x:v>
      </x:c>
      <x:c r="T568" s="106" t="str">
        <x:f>IF(R568&gt;='Inputs &amp; Guide'!$B$9,"HIGH",IF(R568&gt;=0.45,"WATCH","NORMAL"))</x:f>
        <x:v>HIGH</x:v>
      </x:c>
    </x:row>
    <x:row r="569">
      <x:c r="A569" s="95" t="n">
        <x:v>4521</x:v>
      </x:c>
      <x:c r="B569" s="96" t="n">
        <x:v>45480.104166666664</x:v>
      </x:c>
      <x:c r="C569" s="97" t="str">
        <x:v>Wildfire</x:v>
      </x:c>
      <x:c r="D569" s="97" t="str">
        <x:v>Japan</x:v>
      </x:c>
      <x:c r="E569" s="98" t="n">
        <x:v>5.352789159722835</x:v>
      </x:c>
      <x:c r="F569" s="99" t="n">
        <x:v>579.8782298174445</x:v>
      </x:c>
      <x:c r="G569" s="100" t="str">
        <x:f>XLOOKUP(D569,'Reference Tables'!$A$4:$A$23,'Reference Tables'!$B$4:$B$23,"Other")</x:f>
        <x:v>Asia Pacific</x:v>
      </x:c>
      <x:c r="H569" s="100" t="str">
        <x:f>VLOOKUP(G569,'Reference Tables'!$I$4:$J$9,2,FALSE)</x:f>
        <x:v>High</x:v>
      </x:c>
      <x:c r="I569" s="101" t="n">
        <x:f>F569*'Inputs &amp; Guide'!$B$4*XLOOKUP(D569,'Reference Tables'!$A$4:$A$23,'Reference Tables'!$C$4:$C$23,0.75)</x:f>
        <x:v>109.48100978953352</x:v>
      </x:c>
      <x:c r="J569" s="102" t="n">
        <x:f>XLOOKUP(C569,'Reference Tables'!$E$4:$E$12,'Reference Tables'!$F$4:$F$12,0.05)</x:f>
        <x:v>0.1</x:v>
      </x:c>
      <x:c r="K569" s="103" t="n">
        <x:f>MIN(I569,F569*J569)</x:f>
        <x:v>57.98782298174446</x:v>
      </x:c>
      <x:c r="L569" s="103" t="n">
        <x:f>'Inputs &amp; Guide'!$B$5</x:f>
        <x:v>15</x:v>
      </x:c>
      <x:c r="M569" s="103" t="n">
        <x:f>I569*'Inputs &amp; Guide'!$B$6</x:f>
        <x:v>60.21455538424344</x:v>
      </x:c>
      <x:c r="N569" s="103" t="n">
        <x:f>MAX(0,MIN(K569-L569,M569))</x:f>
        <x:v>42.98782298174446</x:v>
      </x:c>
      <x:c r="O569" s="103" t="n">
        <x:f>MAX(0,N569-'Inputs &amp; Guide'!$B$7)</x:f>
        <x:v>0</x:v>
      </x:c>
      <x:c r="P569" s="103" t="n">
        <x:f>N569-O569</x:f>
        <x:v>42.98782298174446</x:v>
      </x:c>
      <x:c r="Q569" s="103" t="n">
        <x:f>I569*'Inputs &amp; Guide'!$B$8</x:f>
        <x:v>1.970658176211603</x:v>
      </x:c>
      <x:c r="R569" s="104" t="n">
        <x:f>IFERROR(P569/Q569,0)</x:f>
        <x:v>21.81394191070941</x:v>
      </x:c>
      <x:c r="S569" s="105" t="n">
        <x:f>ROUND(E569*XLOOKUP(C569,'Reference Tables'!$E$4:$E$12,'Reference Tables'!$G$4:$G$12,1),1)</x:f>
        <x:v>6.2</x:v>
      </x:c>
      <x:c r="T569" s="106" t="str">
        <x:f>IF(R569&gt;='Inputs &amp; Guide'!$B$9,"HIGH",IF(R569&gt;=0.45,"WATCH","NORMAL"))</x:f>
        <x:v>HIGH</x:v>
      </x:c>
    </x:row>
    <x:row r="570">
      <x:c r="A570" s="95" t="n">
        <x:v>4529</x:v>
      </x:c>
      <x:c r="B570" s="96" t="n">
        <x:v>45480.4375</x:v>
      </x:c>
      <x:c r="C570" s="97" t="str">
        <x:v>Earthquake</x:v>
      </x:c>
      <x:c r="D570" s="97" t="str">
        <x:v>Japan</x:v>
      </x:c>
      <x:c r="E570" s="98" t="n">
        <x:v>6.164833735723252</x:v>
      </x:c>
      <x:c r="F570" s="99" t="n">
        <x:v>312.39049157357533</x:v>
      </x:c>
      <x:c r="G570" s="100" t="str">
        <x:f>XLOOKUP(D570,'Reference Tables'!$A$4:$A$23,'Reference Tables'!$B$4:$B$23,"Other")</x:f>
        <x:v>Asia Pacific</x:v>
      </x:c>
      <x:c r="H570" s="100" t="str">
        <x:f>VLOOKUP(G570,'Reference Tables'!$I$4:$J$9,2,FALSE)</x:f>
        <x:v>High</x:v>
      </x:c>
      <x:c r="I570" s="101" t="n">
        <x:f>F570*'Inputs &amp; Guide'!$B$4*XLOOKUP(D570,'Reference Tables'!$A$4:$A$23,'Reference Tables'!$C$4:$C$23,0.75)</x:f>
        <x:v>58.979324809091025</x:v>
      </x:c>
      <x:c r="J570" s="102" t="n">
        <x:f>XLOOKUP(C570,'Reference Tables'!$E$4:$E$12,'Reference Tables'!$F$4:$F$12,0.05)</x:f>
        <x:v>0.14</x:v>
      </x:c>
      <x:c r="K570" s="103" t="n">
        <x:f>MIN(I570,F570*J570)</x:f>
        <x:v>43.73466882030055</x:v>
      </x:c>
      <x:c r="L570" s="103" t="n">
        <x:f>'Inputs &amp; Guide'!$B$5</x:f>
        <x:v>15</x:v>
      </x:c>
      <x:c r="M570" s="103" t="n">
        <x:f>I570*'Inputs &amp; Guide'!$B$6</x:f>
        <x:v>32.438628645000065</x:v>
      </x:c>
      <x:c r="N570" s="103" t="n">
        <x:f>MAX(0,MIN(K570-L570,M570))</x:f>
        <x:v>28.73466882030055</x:v>
      </x:c>
      <x:c r="O570" s="103" t="n">
        <x:f>MAX(0,N570-'Inputs &amp; Guide'!$B$7)</x:f>
        <x:v>0</x:v>
      </x:c>
      <x:c r="P570" s="103" t="n">
        <x:f>N570-O570</x:f>
        <x:v>28.73466882030055</x:v>
      </x:c>
      <x:c r="Q570" s="103" t="n">
        <x:f>I570*'Inputs &amp; Guide'!$B$8</x:f>
        <x:v>1.0616278465636384</x:v>
      </x:c>
      <x:c r="R570" s="104" t="n">
        <x:f>IFERROR(P570/Q570,0)</x:f>
        <x:v>27.066611820056544</x:v>
      </x:c>
      <x:c r="S570" s="105" t="n">
        <x:f>ROUND(E570*XLOOKUP(C570,'Reference Tables'!$E$4:$E$12,'Reference Tables'!$G$4:$G$12,1),1)</x:f>
        <x:v>9.2</x:v>
      </x:c>
      <x:c r="T570" s="106" t="str">
        <x:f>IF(R570&gt;='Inputs &amp; Guide'!$B$9,"HIGH",IF(R570&gt;=0.45,"WATCH","NORMAL"))</x:f>
        <x:v>HIGH</x:v>
      </x:c>
    </x:row>
    <x:row r="571">
      <x:c r="A571" s="95" t="n">
        <x:v>4537</x:v>
      </x:c>
      <x:c r="B571" s="96" t="n">
        <x:v>45481</x:v>
      </x:c>
      <x:c r="C571" s="97" t="str">
        <x:v>Flood</x:v>
      </x:c>
      <x:c r="D571" s="97" t="str">
        <x:v>Indonesia</x:v>
      </x:c>
      <x:c r="E571" s="98" t="n">
        <x:v>2.5252654564221335</x:v>
      </x:c>
      <x:c r="F571" s="99" t="n">
        <x:v>573.2758135573863</x:v>
      </x:c>
      <x:c r="G571" s="100" t="str">
        <x:f>XLOOKUP(D571,'Reference Tables'!$A$4:$A$23,'Reference Tables'!$B$4:$B$23,"Other")</x:f>
        <x:v>Asia Pacific</x:v>
      </x:c>
      <x:c r="H571" s="100" t="str">
        <x:f>VLOOKUP(G571,'Reference Tables'!$I$4:$J$9,2,FALSE)</x:f>
        <x:v>High</x:v>
      </x:c>
      <x:c r="I571" s="101" t="n">
        <x:f>F571*'Inputs &amp; Guide'!$B$4*XLOOKUP(D571,'Reference Tables'!$A$4:$A$23,'Reference Tables'!$C$4:$C$23,0.75)</x:f>
        <x:v>94.47585407425726</x:v>
      </x:c>
      <x:c r="J571" s="102" t="n">
        <x:f>XLOOKUP(C571,'Reference Tables'!$E$4:$E$12,'Reference Tables'!$F$4:$F$12,0.05)</x:f>
        <x:v>0.12</x:v>
      </x:c>
      <x:c r="K571" s="103" t="n">
        <x:f>MIN(I571,F571*J571)</x:f>
        <x:v>68.79309762688635</x:v>
      </x:c>
      <x:c r="L571" s="103" t="n">
        <x:f>'Inputs &amp; Guide'!$B$5</x:f>
        <x:v>15</x:v>
      </x:c>
      <x:c r="M571" s="103" t="n">
        <x:f>I571*'Inputs &amp; Guide'!$B$6</x:f>
        <x:v>51.961719740841495</x:v>
      </x:c>
      <x:c r="N571" s="103" t="n">
        <x:f>MAX(0,MIN(K571-L571,M571))</x:f>
        <x:v>51.961719740841495</x:v>
      </x:c>
      <x:c r="O571" s="103" t="n">
        <x:f>MAX(0,N571-'Inputs &amp; Guide'!$B$7)</x:f>
        <x:v>0</x:v>
      </x:c>
      <x:c r="P571" s="103" t="n">
        <x:f>N571-O571</x:f>
        <x:v>51.961719740841495</x:v>
      </x:c>
      <x:c r="Q571" s="103" t="n">
        <x:f>I571*'Inputs &amp; Guide'!$B$8</x:f>
        <x:v>1.7005653733366304</x:v>
      </x:c>
      <x:c r="R571" s="104" t="n">
        <x:f>IFERROR(P571/Q571,0)</x:f>
        <x:v>30.55555555555556</x:v>
      </x:c>
      <x:c r="S571" s="105" t="n">
        <x:f>ROUND(E571*XLOOKUP(C571,'Reference Tables'!$E$4:$E$12,'Reference Tables'!$G$4:$G$12,1),1)</x:f>
        <x:v>3.2</x:v>
      </x:c>
      <x:c r="T571" s="106" t="str">
        <x:f>IF(R571&gt;='Inputs &amp; Guide'!$B$9,"HIGH",IF(R571&gt;=0.45,"WATCH","NORMAL"))</x:f>
        <x:v>HIGH</x:v>
      </x:c>
    </x:row>
    <x:row r="572">
      <x:c r="A572" s="95" t="n">
        <x:v>4545</x:v>
      </x:c>
      <x:c r="B572" s="96" t="n">
        <x:v>45481.104166666664</x:v>
      </x:c>
      <x:c r="C572" s="97" t="str">
        <x:v>Hurricane</x:v>
      </x:c>
      <x:c r="D572" s="97" t="str">
        <x:v>Indonesia</x:v>
      </x:c>
      <x:c r="E572" s="98" t="n">
        <x:v>9.035216074274704</x:v>
      </x:c>
      <x:c r="F572" s="99" t="n">
        <x:v>667.6762010131914</x:v>
      </x:c>
      <x:c r="G572" s="100" t="str">
        <x:f>XLOOKUP(D572,'Reference Tables'!$A$4:$A$23,'Reference Tables'!$B$4:$B$23,"Other")</x:f>
        <x:v>Asia Pacific</x:v>
      </x:c>
      <x:c r="H572" s="100" t="str">
        <x:f>VLOOKUP(G572,'Reference Tables'!$I$4:$J$9,2,FALSE)</x:f>
        <x:v>High</x:v>
      </x:c>
      <x:c r="I572" s="101" t="n">
        <x:f>F572*'Inputs &amp; Guide'!$B$4*XLOOKUP(D572,'Reference Tables'!$A$4:$A$23,'Reference Tables'!$C$4:$C$23,0.75)</x:f>
        <x:v>110.03303792697395</x:v>
      </x:c>
      <x:c r="J572" s="102" t="n">
        <x:f>XLOOKUP(C572,'Reference Tables'!$E$4:$E$12,'Reference Tables'!$F$4:$F$12,0.05)</x:f>
        <x:v>0.18</x:v>
      </x:c>
      <x:c r="K572" s="103" t="n">
        <x:f>MIN(I572,F572*J572)</x:f>
        <x:v>110.03303792697395</x:v>
      </x:c>
      <x:c r="L572" s="103" t="n">
        <x:f>'Inputs &amp; Guide'!$B$5</x:f>
        <x:v>15</x:v>
      </x:c>
      <x:c r="M572" s="103" t="n">
        <x:f>I572*'Inputs &amp; Guide'!$B$6</x:f>
        <x:v>60.51817085983568</x:v>
      </x:c>
      <x:c r="N572" s="103" t="n">
        <x:f>MAX(0,MIN(K572-L572,M572))</x:f>
        <x:v>60.51817085983568</x:v>
      </x:c>
      <x:c r="O572" s="103" t="n">
        <x:f>MAX(0,N572-'Inputs &amp; Guide'!$B$7)</x:f>
        <x:v>0.5181708598356778</x:v>
      </x:c>
      <x:c r="P572" s="103" t="n">
        <x:f>N572-O572</x:f>
        <x:v>60</x:v>
      </x:c>
      <x:c r="Q572" s="103" t="n">
        <x:f>I572*'Inputs &amp; Guide'!$B$8</x:f>
        <x:v>1.980594682685531</x:v>
      </x:c>
      <x:c r="R572" s="104" t="n">
        <x:f>IFERROR(P572/Q572,0)</x:f>
        <x:v>30.293931678461696</x:v>
      </x:c>
      <x:c r="S572" s="105" t="n">
        <x:f>ROUND(E572*XLOOKUP(C572,'Reference Tables'!$E$4:$E$12,'Reference Tables'!$G$4:$G$12,1),1)</x:f>
        <x:v>12.6</x:v>
      </x:c>
      <x:c r="T572" s="106" t="str">
        <x:f>IF(R572&gt;='Inputs &amp; Guide'!$B$9,"HIGH",IF(R572&gt;=0.45,"WATCH","NORMAL"))</x:f>
        <x:v>HIGH</x:v>
      </x:c>
    </x:row>
    <x:row r="573">
      <x:c r="A573" s="95" t="n">
        <x:v>4553</x:v>
      </x:c>
      <x:c r="B573" s="96" t="n">
        <x:v>45481.4375</x:v>
      </x:c>
      <x:c r="C573" s="97" t="str">
        <x:v>Wildfire</x:v>
      </x:c>
      <x:c r="D573" s="97" t="str">
        <x:v>China</x:v>
      </x:c>
      <x:c r="E573" s="98" t="n">
        <x:v>9.624522350544234</x:v>
      </x:c>
      <x:c r="F573" s="99" t="n">
        <x:v>297.15264304269755</x:v>
      </x:c>
      <x:c r="G573" s="100" t="str">
        <x:f>XLOOKUP(D573,'Reference Tables'!$A$4:$A$23,'Reference Tables'!$B$4:$B$23,"Other")</x:f>
        <x:v>Asia Pacific</x:v>
      </x:c>
      <x:c r="H573" s="100" t="str">
        <x:f>VLOOKUP(G573,'Reference Tables'!$I$4:$J$9,2,FALSE)</x:f>
        <x:v>High</x:v>
      </x:c>
      <x:c r="I573" s="101" t="n">
        <x:f>F573*'Inputs &amp; Guide'!$B$4*XLOOKUP(D573,'Reference Tables'!$A$4:$A$23,'Reference Tables'!$C$4:$C$23,0.75)</x:f>
        <x:v>51.347976717778145</x:v>
      </x:c>
      <x:c r="J573" s="102" t="n">
        <x:f>XLOOKUP(C573,'Reference Tables'!$E$4:$E$12,'Reference Tables'!$F$4:$F$12,0.05)</x:f>
        <x:v>0.1</x:v>
      </x:c>
      <x:c r="K573" s="103" t="n">
        <x:f>MIN(I573,F573*J573)</x:f>
        <x:v>29.715264304269756</x:v>
      </x:c>
      <x:c r="L573" s="103" t="n">
        <x:f>'Inputs &amp; Guide'!$B$5</x:f>
        <x:v>15</x:v>
      </x:c>
      <x:c r="M573" s="103" t="n">
        <x:f>I573*'Inputs &amp; Guide'!$B$6</x:f>
        <x:v>28.24138719477798</x:v>
      </x:c>
      <x:c r="N573" s="103" t="n">
        <x:f>MAX(0,MIN(K573-L573,M573))</x:f>
        <x:v>14.715264304269756</x:v>
      </x:c>
      <x:c r="O573" s="103" t="n">
        <x:f>MAX(0,N573-'Inputs &amp; Guide'!$B$7)</x:f>
        <x:v>0</x:v>
      </x:c>
      <x:c r="P573" s="103" t="n">
        <x:f>N573-O573</x:f>
        <x:v>14.715264304269756</x:v>
      </x:c>
      <x:c r="Q573" s="103" t="n">
        <x:f>I573*'Inputs &amp; Guide'!$B$8</x:f>
        <x:v>0.9242635809200066</x:v>
      </x:c>
      <x:c r="R573" s="104" t="n">
        <x:f>IFERROR(P573/Q573,0)</x:f>
        <x:v>15.921069063028824</x:v>
      </x:c>
      <x:c r="S573" s="105" t="n">
        <x:f>ROUND(E573*XLOOKUP(C573,'Reference Tables'!$E$4:$E$12,'Reference Tables'!$G$4:$G$12,1),1)</x:f>
        <x:v>11.1</x:v>
      </x:c>
      <x:c r="T573" s="106" t="str">
        <x:f>IF(R573&gt;='Inputs &amp; Guide'!$B$9,"HIGH",IF(R573&gt;=0.45,"WATCH","NORMAL"))</x:f>
        <x:v>HIGH</x:v>
      </x:c>
    </x:row>
    <x:row r="574">
      <x:c r="A574" s="95" t="n">
        <x:v>4561</x:v>
      </x:c>
      <x:c r="B574" s="96" t="n">
        <x:v>45482</x:v>
      </x:c>
      <x:c r="C574" s="97" t="str">
        <x:v>Tornado</x:v>
      </x:c>
      <x:c r="D574" s="97" t="str">
        <x:v>India</x:v>
      </x:c>
      <x:c r="E574" s="98" t="n">
        <x:v>1.4905425070093523</x:v>
      </x:c>
      <x:c r="F574" s="99" t="n">
        <x:v>974.0716015515576</x:v>
      </x:c>
      <x:c r="G574" s="100" t="str">
        <x:f>XLOOKUP(D574,'Reference Tables'!$A$4:$A$23,'Reference Tables'!$B$4:$B$23,"Other")</x:f>
        <x:v>Asia Pacific</x:v>
      </x:c>
      <x:c r="H574" s="100" t="str">
        <x:f>VLOOKUP(G574,'Reference Tables'!$I$4:$J$9,2,FALSE)</x:f>
        <x:v>High</x:v>
      </x:c>
      <x:c r="I574" s="101" t="n">
        <x:f>F574*'Inputs &amp; Guide'!$B$4*XLOOKUP(D574,'Reference Tables'!$A$4:$A$23,'Reference Tables'!$C$4:$C$23,0.75)</x:f>
        <x:v>141.82482518590678</x:v>
      </x:c>
      <x:c r="J574" s="102" t="n">
        <x:f>XLOOKUP(C574,'Reference Tables'!$E$4:$E$12,'Reference Tables'!$F$4:$F$12,0.05)</x:f>
        <x:v>0.09</x:v>
      </x:c>
      <x:c r="K574" s="103" t="n">
        <x:f>MIN(I574,F574*J574)</x:f>
        <x:v>87.66644413964018</x:v>
      </x:c>
      <x:c r="L574" s="103" t="n">
        <x:f>'Inputs &amp; Guide'!$B$5</x:f>
        <x:v>15</x:v>
      </x:c>
      <x:c r="M574" s="103" t="n">
        <x:f>I574*'Inputs &amp; Guide'!$B$6</x:f>
        <x:v>78.00365385224873</x:v>
      </x:c>
      <x:c r="N574" s="103" t="n">
        <x:f>MAX(0,MIN(K574-L574,M574))</x:f>
        <x:v>72.66644413964018</x:v>
      </x:c>
      <x:c r="O574" s="103" t="n">
        <x:f>MAX(0,N574-'Inputs &amp; Guide'!$B$7)</x:f>
        <x:v>12.666444139640177</x:v>
      </x:c>
      <x:c r="P574" s="103" t="n">
        <x:f>N574-O574</x:f>
        <x:v>60</x:v>
      </x:c>
      <x:c r="Q574" s="103" t="n">
        <x:f>I574*'Inputs &amp; Guide'!$B$8</x:f>
        <x:v>2.5528468533463218</x:v>
      </x:c>
      <x:c r="R574" s="104" t="n">
        <x:f>IFERROR(P574/Q574,0)</x:f>
        <x:v>23.503172515558784</x:v>
      </x:c>
      <x:c r="S574" s="105" t="n">
        <x:f>ROUND(E574*XLOOKUP(C574,'Reference Tables'!$E$4:$E$12,'Reference Tables'!$G$4:$G$12,1),1)</x:f>
        <x:v>1.6</x:v>
      </x:c>
      <x:c r="T574" s="106" t="str">
        <x:f>IF(R574&gt;='Inputs &amp; Guide'!$B$9,"HIGH",IF(R574&gt;=0.45,"WATCH","NORMAL"))</x:f>
        <x:v>HIGH</x:v>
      </x:c>
    </x:row>
    <x:row r="575">
      <x:c r="A575" s="95" t="n">
        <x:v>4569</x:v>
      </x:c>
      <x:c r="B575" s="96" t="n">
        <x:v>45482.104166666664</x:v>
      </x:c>
      <x:c r="C575" s="97" t="str">
        <x:v>Tornado</x:v>
      </x:c>
      <x:c r="D575" s="97" t="str">
        <x:v>Indonesia</x:v>
      </x:c>
      <x:c r="E575" s="98" t="n">
        <x:v>9.897368182292766</x:v>
      </x:c>
      <x:c r="F575" s="99" t="n">
        <x:v>290.3680347308593</x:v>
      </x:c>
      <x:c r="G575" s="100" t="str">
        <x:f>XLOOKUP(D575,'Reference Tables'!$A$4:$A$23,'Reference Tables'!$B$4:$B$23,"Other")</x:f>
        <x:v>Asia Pacific</x:v>
      </x:c>
      <x:c r="H575" s="100" t="str">
        <x:f>VLOOKUP(G575,'Reference Tables'!$I$4:$J$9,2,FALSE)</x:f>
        <x:v>High</x:v>
      </x:c>
      <x:c r="I575" s="101" t="n">
        <x:f>F575*'Inputs &amp; Guide'!$B$4*XLOOKUP(D575,'Reference Tables'!$A$4:$A$23,'Reference Tables'!$C$4:$C$23,0.75)</x:f>
        <x:v>47.85265212364561</x:v>
      </x:c>
      <x:c r="J575" s="102" t="n">
        <x:f>XLOOKUP(C575,'Reference Tables'!$E$4:$E$12,'Reference Tables'!$F$4:$F$12,0.05)</x:f>
        <x:v>0.09</x:v>
      </x:c>
      <x:c r="K575" s="103" t="n">
        <x:f>MIN(I575,F575*J575)</x:f>
        <x:v>26.133123125777335</x:v>
      </x:c>
      <x:c r="L575" s="103" t="n">
        <x:f>'Inputs &amp; Guide'!$B$5</x:f>
        <x:v>15</x:v>
      </x:c>
      <x:c r="M575" s="103" t="n">
        <x:f>I575*'Inputs &amp; Guide'!$B$6</x:f>
        <x:v>26.318958668005088</x:v>
      </x:c>
      <x:c r="N575" s="103" t="n">
        <x:f>MAX(0,MIN(K575-L575,M575))</x:f>
        <x:v>11.133123125777335</x:v>
      </x:c>
      <x:c r="O575" s="103" t="n">
        <x:f>MAX(0,N575-'Inputs &amp; Guide'!$B$7)</x:f>
        <x:v>0</x:v>
      </x:c>
      <x:c r="P575" s="103" t="n">
        <x:f>N575-O575</x:f>
        <x:v>11.133123125777335</x:v>
      </x:c>
      <x:c r="Q575" s="103" t="n">
        <x:f>I575*'Inputs &amp; Guide'!$B$8</x:f>
        <x:v>0.8613477382256209</x:v>
      </x:c>
      <x:c r="R575" s="104" t="n">
        <x:f>IFERROR(P575/Q575,0)</x:f>
        <x:v>12.925236384449796</x:v>
      </x:c>
      <x:c r="S575" s="105" t="n">
        <x:f>ROUND(E575*XLOOKUP(C575,'Reference Tables'!$E$4:$E$12,'Reference Tables'!$G$4:$G$12,1),1)</x:f>
        <x:v>10.4</x:v>
      </x:c>
      <x:c r="T575" s="106" t="str">
        <x:f>IF(R575&gt;='Inputs &amp; Guide'!$B$9,"HIGH",IF(R575&gt;=0.45,"WATCH","NORMAL"))</x:f>
        <x:v>HIGH</x:v>
      </x:c>
    </x:row>
    <x:row r="576">
      <x:c r="A576" s="95" t="n">
        <x:v>4577</x:v>
      </x:c>
      <x:c r="B576" s="96" t="n">
        <x:v>45482.4375</x:v>
      </x:c>
      <x:c r="C576" s="97" t="str">
        <x:v>Wildfire</x:v>
      </x:c>
      <x:c r="D576" s="97" t="str">
        <x:v>India</x:v>
      </x:c>
      <x:c r="E576" s="98" t="n">
        <x:v>9.369769819956288</x:v>
      </x:c>
      <x:c r="F576" s="99" t="n">
        <x:v>354.50867367310076</x:v>
      </x:c>
      <x:c r="G576" s="100" t="str">
        <x:f>XLOOKUP(D576,'Reference Tables'!$A$4:$A$23,'Reference Tables'!$B$4:$B$23,"Other")</x:f>
        <x:v>Asia Pacific</x:v>
      </x:c>
      <x:c r="H576" s="100" t="str">
        <x:f>VLOOKUP(G576,'Reference Tables'!$I$4:$J$9,2,FALSE)</x:f>
        <x:v>High</x:v>
      </x:c>
      <x:c r="I576" s="101" t="n">
        <x:f>F576*'Inputs &amp; Guide'!$B$4*XLOOKUP(D576,'Reference Tables'!$A$4:$A$23,'Reference Tables'!$C$4:$C$23,0.75)</x:f>
        <x:v>51.616462886803475</x:v>
      </x:c>
      <x:c r="J576" s="102" t="n">
        <x:f>XLOOKUP(C576,'Reference Tables'!$E$4:$E$12,'Reference Tables'!$F$4:$F$12,0.05)</x:f>
        <x:v>0.1</x:v>
      </x:c>
      <x:c r="K576" s="103" t="n">
        <x:f>MIN(I576,F576*J576)</x:f>
        <x:v>35.450867367310074</x:v>
      </x:c>
      <x:c r="L576" s="103" t="n">
        <x:f>'Inputs &amp; Guide'!$B$5</x:f>
        <x:v>15</x:v>
      </x:c>
      <x:c r="M576" s="103" t="n">
        <x:f>I576*'Inputs &amp; Guide'!$B$6</x:f>
        <x:v>28.389054587741914</x:v>
      </x:c>
      <x:c r="N576" s="103" t="n">
        <x:f>MAX(0,MIN(K576-L576,M576))</x:f>
        <x:v>20.450867367310074</x:v>
      </x:c>
      <x:c r="O576" s="103" t="n">
        <x:f>MAX(0,N576-'Inputs &amp; Guide'!$B$7)</x:f>
        <x:v>0</x:v>
      </x:c>
      <x:c r="P576" s="103" t="n">
        <x:f>N576-O576</x:f>
        <x:v>20.450867367310074</x:v>
      </x:c>
      <x:c r="Q576" s="103" t="n">
        <x:f>I576*'Inputs &amp; Guide'!$B$8</x:f>
        <x:v>0.9290963319624624</x:v>
      </x:c>
      <x:c r="R576" s="104" t="n">
        <x:f>IFERROR(P576/Q576,0)</x:f>
        <x:v>22.01156829896551</x:v>
      </x:c>
      <x:c r="S576" s="105" t="n">
        <x:f>ROUND(E576*XLOOKUP(C576,'Reference Tables'!$E$4:$E$12,'Reference Tables'!$G$4:$G$12,1),1)</x:f>
        <x:v>10.8</x:v>
      </x:c>
      <x:c r="T576" s="106" t="str">
        <x:f>IF(R576&gt;='Inputs &amp; Guide'!$B$9,"HIGH",IF(R576&gt;=0.45,"WATCH","NORMAL"))</x:f>
        <x:v>HIGH</x:v>
      </x:c>
    </x:row>
    <x:row r="577">
      <x:c r="A577" s="95" t="n">
        <x:v>4585</x:v>
      </x:c>
      <x:c r="B577" s="96" t="n">
        <x:v>45483</x:v>
      </x:c>
      <x:c r="C577" s="97" t="str">
        <x:v>Tornado</x:v>
      </x:c>
      <x:c r="D577" s="97" t="str">
        <x:v>Indonesia</x:v>
      </x:c>
      <x:c r="E577" s="98" t="n">
        <x:v>6.506007540920215</x:v>
      </x:c>
      <x:c r="F577" s="99" t="n">
        <x:v>871.3346969433496</x:v>
      </x:c>
      <x:c r="G577" s="100" t="str">
        <x:f>XLOOKUP(D577,'Reference Tables'!$A$4:$A$23,'Reference Tables'!$B$4:$B$23,"Other")</x:f>
        <x:v>Asia Pacific</x:v>
      </x:c>
      <x:c r="H577" s="100" t="str">
        <x:f>VLOOKUP(G577,'Reference Tables'!$I$4:$J$9,2,FALSE)</x:f>
        <x:v>High</x:v>
      </x:c>
      <x:c r="I577" s="101" t="n">
        <x:f>F577*'Inputs &amp; Guide'!$B$4*XLOOKUP(D577,'Reference Tables'!$A$4:$A$23,'Reference Tables'!$C$4:$C$23,0.75)</x:f>
        <x:v>143.59595805626404</x:v>
      </x:c>
      <x:c r="J577" s="102" t="n">
        <x:f>XLOOKUP(C577,'Reference Tables'!$E$4:$E$12,'Reference Tables'!$F$4:$F$12,0.05)</x:f>
        <x:v>0.09</x:v>
      </x:c>
      <x:c r="K577" s="103" t="n">
        <x:f>MIN(I577,F577*J577)</x:f>
        <x:v>78.42012272490146</x:v>
      </x:c>
      <x:c r="L577" s="103" t="n">
        <x:f>'Inputs &amp; Guide'!$B$5</x:f>
        <x:v>15</x:v>
      </x:c>
      <x:c r="M577" s="103" t="n">
        <x:f>I577*'Inputs &amp; Guide'!$B$6</x:f>
        <x:v>78.97777693094523</x:v>
      </x:c>
      <x:c r="N577" s="103" t="n">
        <x:f>MAX(0,MIN(K577-L577,M577))</x:f>
        <x:v>63.42012272490146</x:v>
      </x:c>
      <x:c r="O577" s="103" t="n">
        <x:f>MAX(0,N577-'Inputs &amp; Guide'!$B$7)</x:f>
        <x:v>3.4201227249014607</x:v>
      </x:c>
      <x:c r="P577" s="103" t="n">
        <x:f>N577-O577</x:f>
        <x:v>60</x:v>
      </x:c>
      <x:c r="Q577" s="103" t="n">
        <x:f>I577*'Inputs &amp; Guide'!$B$8</x:f>
        <x:v>2.5847272450127523</x:v>
      </x:c>
      <x:c r="R577" s="104" t="n">
        <x:f>IFERROR(P577/Q577,0)</x:f>
        <x:v>23.213281059256982</x:v>
      </x:c>
      <x:c r="S577" s="105" t="n">
        <x:f>ROUND(E577*XLOOKUP(C577,'Reference Tables'!$E$4:$E$12,'Reference Tables'!$G$4:$G$12,1),1)</x:f>
        <x:v>6.8</x:v>
      </x:c>
      <x:c r="T577" s="106" t="str">
        <x:f>IF(R577&gt;='Inputs &amp; Guide'!$B$9,"HIGH",IF(R577&gt;=0.45,"WATCH","NORMAL"))</x:f>
        <x:v>HIGH</x:v>
      </x:c>
    </x:row>
    <x:row r="578">
      <x:c r="A578" s="95" t="n">
        <x:v>4593</x:v>
      </x:c>
      <x:c r="B578" s="96" t="n">
        <x:v>45483.104166666664</x:v>
      </x:c>
      <x:c r="C578" s="97" t="str">
        <x:v>Wildfire</x:v>
      </x:c>
      <x:c r="D578" s="97" t="str">
        <x:v>Indonesia</x:v>
      </x:c>
      <x:c r="E578" s="98" t="n">
        <x:v>8.408991806781597</x:v>
      </x:c>
      <x:c r="F578" s="99" t="n">
        <x:v>272.226809806514</x:v>
      </x:c>
      <x:c r="G578" s="100" t="str">
        <x:f>XLOOKUP(D578,'Reference Tables'!$A$4:$A$23,'Reference Tables'!$B$4:$B$23,"Other")</x:f>
        <x:v>Asia Pacific</x:v>
      </x:c>
      <x:c r="H578" s="100" t="str">
        <x:f>VLOOKUP(G578,'Reference Tables'!$I$4:$J$9,2,FALSE)</x:f>
        <x:v>High</x:v>
      </x:c>
      <x:c r="I578" s="101" t="n">
        <x:f>F578*'Inputs &amp; Guide'!$B$4*XLOOKUP(D578,'Reference Tables'!$A$4:$A$23,'Reference Tables'!$C$4:$C$23,0.75)</x:f>
        <x:v>44.8629782561135</x:v>
      </x:c>
      <x:c r="J578" s="102" t="n">
        <x:f>XLOOKUP(C578,'Reference Tables'!$E$4:$E$12,'Reference Tables'!$F$4:$F$12,0.05)</x:f>
        <x:v>0.1</x:v>
      </x:c>
      <x:c r="K578" s="103" t="n">
        <x:f>MIN(I578,F578*J578)</x:f>
        <x:v>27.2226809806514</x:v>
      </x:c>
      <x:c r="L578" s="103" t="n">
        <x:f>'Inputs &amp; Guide'!$B$5</x:f>
        <x:v>15</x:v>
      </x:c>
      <x:c r="M578" s="103" t="n">
        <x:f>I578*'Inputs &amp; Guide'!$B$6</x:f>
        <x:v>24.674638040862426</x:v>
      </x:c>
      <x:c r="N578" s="103" t="n">
        <x:f>MAX(0,MIN(K578-L578,M578))</x:f>
        <x:v>12.2226809806514</x:v>
      </x:c>
      <x:c r="O578" s="103" t="n">
        <x:f>MAX(0,N578-'Inputs &amp; Guide'!$B$7)</x:f>
        <x:v>0</x:v>
      </x:c>
      <x:c r="P578" s="103" t="n">
        <x:f>N578-O578</x:f>
        <x:v>12.2226809806514</x:v>
      </x:c>
      <x:c r="Q578" s="103" t="n">
        <x:f>I578*'Inputs &amp; Guide'!$B$8</x:f>
        <x:v>0.807533608610043</x:v>
      </x:c>
      <x:c r="R578" s="104" t="n">
        <x:f>IFERROR(P578/Q578,0)</x:f>
        <x:v>15.135817073532749</x:v>
      </x:c>
      <x:c r="S578" s="105" t="n">
        <x:f>ROUND(E578*XLOOKUP(C578,'Reference Tables'!$E$4:$E$12,'Reference Tables'!$G$4:$G$12,1),1)</x:f>
        <x:v>9.7</x:v>
      </x:c>
      <x:c r="T578" s="106" t="str">
        <x:f>IF(R578&gt;='Inputs &amp; Guide'!$B$9,"HIGH",IF(R578&gt;=0.45,"WATCH","NORMAL"))</x:f>
        <x:v>HIGH</x:v>
      </x:c>
    </x:row>
    <x:row r="579">
      <x:c r="A579" s="95" t="n">
        <x:v>4601</x:v>
      </x:c>
      <x:c r="B579" s="96" t="n">
        <x:v>45483.4375</x:v>
      </x:c>
      <x:c r="C579" s="97" t="str">
        <x:v>Flood</x:v>
      </x:c>
      <x:c r="D579" s="97" t="str">
        <x:v>Indonesia</x:v>
      </x:c>
      <x:c r="E579" s="98" t="n">
        <x:v>7.322021693593898</x:v>
      </x:c>
      <x:c r="F579" s="99" t="n">
        <x:v>617.3838662213554</x:v>
      </x:c>
      <x:c r="G579" s="100" t="str">
        <x:f>XLOOKUP(D579,'Reference Tables'!$A$4:$A$23,'Reference Tables'!$B$4:$B$23,"Other")</x:f>
        <x:v>Asia Pacific</x:v>
      </x:c>
      <x:c r="H579" s="100" t="str">
        <x:f>VLOOKUP(G579,'Reference Tables'!$I$4:$J$9,2,FALSE)</x:f>
        <x:v>High</x:v>
      </x:c>
      <x:c r="I579" s="101" t="n">
        <x:f>F579*'Inputs &amp; Guide'!$B$4*XLOOKUP(D579,'Reference Tables'!$A$4:$A$23,'Reference Tables'!$C$4:$C$23,0.75)</x:f>
        <x:v>101.74486115327939</x:v>
      </x:c>
      <x:c r="J579" s="102" t="n">
        <x:f>XLOOKUP(C579,'Reference Tables'!$E$4:$E$12,'Reference Tables'!$F$4:$F$12,0.05)</x:f>
        <x:v>0.12</x:v>
      </x:c>
      <x:c r="K579" s="103" t="n">
        <x:f>MIN(I579,F579*J579)</x:f>
        <x:v>74.08606394656265</x:v>
      </x:c>
      <x:c r="L579" s="103" t="n">
        <x:f>'Inputs &amp; Guide'!$B$5</x:f>
        <x:v>15</x:v>
      </x:c>
      <x:c r="M579" s="103" t="n">
        <x:f>I579*'Inputs &amp; Guide'!$B$6</x:f>
        <x:v>55.95967363430367</x:v>
      </x:c>
      <x:c r="N579" s="103" t="n">
        <x:f>MAX(0,MIN(K579-L579,M579))</x:f>
        <x:v>55.95967363430367</x:v>
      </x:c>
      <x:c r="O579" s="103" t="n">
        <x:f>MAX(0,N579-'Inputs &amp; Guide'!$B$7)</x:f>
        <x:v>0</x:v>
      </x:c>
      <x:c r="P579" s="103" t="n">
        <x:f>N579-O579</x:f>
        <x:v>55.95967363430367</x:v>
      </x:c>
      <x:c r="Q579" s="103" t="n">
        <x:f>I579*'Inputs &amp; Guide'!$B$8</x:f>
        <x:v>1.831407500759029</x:v>
      </x:c>
      <x:c r="R579" s="104" t="n">
        <x:f>IFERROR(P579/Q579,0)</x:f>
        <x:v>30.55555555555556</x:v>
      </x:c>
      <x:c r="S579" s="105" t="n">
        <x:f>ROUND(E579*XLOOKUP(C579,'Reference Tables'!$E$4:$E$12,'Reference Tables'!$G$4:$G$12,1),1)</x:f>
        <x:v>9.2</x:v>
      </x:c>
      <x:c r="T579" s="106" t="str">
        <x:f>IF(R579&gt;='Inputs &amp; Guide'!$B$9,"HIGH",IF(R579&gt;=0.45,"WATCH","NORMAL"))</x:f>
        <x:v>HIGH</x:v>
      </x:c>
    </x:row>
    <x:row r="580">
      <x:c r="A580" s="95" t="n">
        <x:v>4609</x:v>
      </x:c>
      <x:c r="B580" s="96" t="n">
        <x:v>45484</x:v>
      </x:c>
      <x:c r="C580" s="97" t="str">
        <x:v>Earthquake</x:v>
      </x:c>
      <x:c r="D580" s="97" t="str">
        <x:v>Japan</x:v>
      </x:c>
      <x:c r="E580" s="98" t="n">
        <x:v>6.35175509717509</x:v>
      </x:c>
      <x:c r="F580" s="99" t="n">
        <x:v>777.2798217278096</x:v>
      </x:c>
      <x:c r="G580" s="100" t="str">
        <x:f>XLOOKUP(D580,'Reference Tables'!$A$4:$A$23,'Reference Tables'!$B$4:$B$23,"Other")</x:f>
        <x:v>Asia Pacific</x:v>
      </x:c>
      <x:c r="H580" s="100" t="str">
        <x:f>VLOOKUP(G580,'Reference Tables'!$I$4:$J$9,2,FALSE)</x:f>
        <x:v>High</x:v>
      </x:c>
      <x:c r="I580" s="101" t="n">
        <x:f>F580*'Inputs &amp; Guide'!$B$4*XLOOKUP(D580,'Reference Tables'!$A$4:$A$23,'Reference Tables'!$C$4:$C$23,0.75)</x:f>
        <x:v>146.75043034221045</x:v>
      </x:c>
      <x:c r="J580" s="102" t="n">
        <x:f>XLOOKUP(C580,'Reference Tables'!$E$4:$E$12,'Reference Tables'!$F$4:$F$12,0.05)</x:f>
        <x:v>0.14</x:v>
      </x:c>
      <x:c r="K580" s="103" t="n">
        <x:f>MIN(I580,F580*J580)</x:f>
        <x:v>108.81917504189335</x:v>
      </x:c>
      <x:c r="L580" s="103" t="n">
        <x:f>'Inputs &amp; Guide'!$B$5</x:f>
        <x:v>15</x:v>
      </x:c>
      <x:c r="M580" s="103" t="n">
        <x:f>I580*'Inputs &amp; Guide'!$B$6</x:f>
        <x:v>80.71273668821576</x:v>
      </x:c>
      <x:c r="N580" s="103" t="n">
        <x:f>MAX(0,MIN(K580-L580,M580))</x:f>
        <x:v>80.71273668821576</x:v>
      </x:c>
      <x:c r="O580" s="103" t="n">
        <x:f>MAX(0,N580-'Inputs &amp; Guide'!$B$7)</x:f>
        <x:v>20.712736688215756</x:v>
      </x:c>
      <x:c r="P580" s="103" t="n">
        <x:f>N580-O580</x:f>
        <x:v>60</x:v>
      </x:c>
      <x:c r="Q580" s="103" t="n">
        <x:f>I580*'Inputs &amp; Guide'!$B$8</x:f>
        <x:v>2.641507746159788</x:v>
      </x:c>
      <x:c r="R580" s="104" t="n">
        <x:f>IFERROR(P580/Q580,0)</x:f>
        <x:v>22.714300227674034</x:v>
      </x:c>
      <x:c r="S580" s="105" t="n">
        <x:f>ROUND(E580*XLOOKUP(C580,'Reference Tables'!$E$4:$E$12,'Reference Tables'!$G$4:$G$12,1),1)</x:f>
        <x:v>9.5</x:v>
      </x:c>
      <x:c r="T580" s="106" t="str">
        <x:f>IF(R580&gt;='Inputs &amp; Guide'!$B$9,"HIGH",IF(R580&gt;=0.45,"WATCH","NORMAL"))</x:f>
        <x:v>HIGH</x:v>
      </x:c>
    </x:row>
    <x:row r="581">
      <x:c r="A581" s="95" t="n">
        <x:v>4617</x:v>
      </x:c>
      <x:c r="B581" s="96" t="n">
        <x:v>45484.104166666664</x:v>
      </x:c>
      <x:c r="C581" s="97" t="str">
        <x:v>Tornado</x:v>
      </x:c>
      <x:c r="D581" s="97" t="str">
        <x:v>Indonesia</x:v>
      </x:c>
      <x:c r="E581" s="98" t="n">
        <x:v>9.415886757612569</x:v>
      </x:c>
      <x:c r="F581" s="99" t="n">
        <x:v>798.6886929482401</x:v>
      </x:c>
      <x:c r="G581" s="100" t="str">
        <x:f>XLOOKUP(D581,'Reference Tables'!$A$4:$A$23,'Reference Tables'!$B$4:$B$23,"Other")</x:f>
        <x:v>Asia Pacific</x:v>
      </x:c>
      <x:c r="H581" s="100" t="str">
        <x:f>VLOOKUP(G581,'Reference Tables'!$I$4:$J$9,2,FALSE)</x:f>
        <x:v>High</x:v>
      </x:c>
      <x:c r="I581" s="101" t="n">
        <x:f>F581*'Inputs &amp; Guide'!$B$4*XLOOKUP(D581,'Reference Tables'!$A$4:$A$23,'Reference Tables'!$C$4:$C$23,0.75)</x:f>
        <x:v>131.62389659787</x:v>
      </x:c>
      <x:c r="J581" s="102" t="n">
        <x:f>XLOOKUP(C581,'Reference Tables'!$E$4:$E$12,'Reference Tables'!$F$4:$F$12,0.05)</x:f>
        <x:v>0.09</x:v>
      </x:c>
      <x:c r="K581" s="103" t="n">
        <x:f>MIN(I581,F581*J581)</x:f>
        <x:v>71.88198236534161</x:v>
      </x:c>
      <x:c r="L581" s="103" t="n">
        <x:f>'Inputs &amp; Guide'!$B$5</x:f>
        <x:v>15</x:v>
      </x:c>
      <x:c r="M581" s="103" t="n">
        <x:f>I581*'Inputs &amp; Guide'!$B$6</x:f>
        <x:v>72.3931431288285</x:v>
      </x:c>
      <x:c r="N581" s="103" t="n">
        <x:f>MAX(0,MIN(K581-L581,M581))</x:f>
        <x:v>56.881982365341614</x:v>
      </x:c>
      <x:c r="O581" s="103" t="n">
        <x:f>MAX(0,N581-'Inputs &amp; Guide'!$B$7)</x:f>
        <x:v>0</x:v>
      </x:c>
      <x:c r="P581" s="103" t="n">
        <x:f>N581-O581</x:f>
        <x:v>56.881982365341614</x:v>
      </x:c>
      <x:c r="Q581" s="103" t="n">
        <x:f>I581*'Inputs &amp; Guide'!$B$8</x:f>
        <x:v>2.3692301387616594</x:v>
      </x:c>
      <x:c r="R581" s="104" t="n">
        <x:f>IFERROR(P581/Q581,0)</x:f>
        <x:v>24.008635309304516</x:v>
      </x:c>
      <x:c r="S581" s="105" t="n">
        <x:f>ROUND(E581*XLOOKUP(C581,'Reference Tables'!$E$4:$E$12,'Reference Tables'!$G$4:$G$12,1),1)</x:f>
        <x:v>9.9</x:v>
      </x:c>
      <x:c r="T581" s="106" t="str">
        <x:f>IF(R581&gt;='Inputs &amp; Guide'!$B$9,"HIGH",IF(R581&gt;=0.45,"WATCH","NORMAL"))</x:f>
        <x:v>HIGH</x:v>
      </x:c>
    </x:row>
    <x:row r="582">
      <x:c r="A582" s="95" t="n">
        <x:v>4625</x:v>
      </x:c>
      <x:c r="B582" s="96" t="n">
        <x:v>45484.4375</x:v>
      </x:c>
      <x:c r="C582" s="97" t="str">
        <x:v>Tornado</x:v>
      </x:c>
      <x:c r="D582" s="97" t="str">
        <x:v>Japan</x:v>
      </x:c>
      <x:c r="E582" s="98" t="n">
        <x:v>1.6708935374023888</x:v>
      </x:c>
      <x:c r="F582" s="99" t="n">
        <x:v>902.117128635665</x:v>
      </x:c>
      <x:c r="G582" s="100" t="str">
        <x:f>XLOOKUP(D582,'Reference Tables'!$A$4:$A$23,'Reference Tables'!$B$4:$B$23,"Other")</x:f>
        <x:v>Asia Pacific</x:v>
      </x:c>
      <x:c r="H582" s="100" t="str">
        <x:f>VLOOKUP(G582,'Reference Tables'!$I$4:$J$9,2,FALSE)</x:f>
        <x:v>High</x:v>
      </x:c>
      <x:c r="I582" s="101" t="n">
        <x:f>F582*'Inputs &amp; Guide'!$B$4*XLOOKUP(D582,'Reference Tables'!$A$4:$A$23,'Reference Tables'!$C$4:$C$23,0.75)</x:f>
        <x:v>170.31971388641355</x:v>
      </x:c>
      <x:c r="J582" s="102" t="n">
        <x:f>XLOOKUP(C582,'Reference Tables'!$E$4:$E$12,'Reference Tables'!$F$4:$F$12,0.05)</x:f>
        <x:v>0.09</x:v>
      </x:c>
      <x:c r="K582" s="103" t="n">
        <x:f>MIN(I582,F582*J582)</x:f>
        <x:v>81.19054157720986</x:v>
      </x:c>
      <x:c r="L582" s="103" t="n">
        <x:f>'Inputs &amp; Guide'!$B$5</x:f>
        <x:v>15</x:v>
      </x:c>
      <x:c r="M582" s="103" t="n">
        <x:f>I582*'Inputs &amp; Guide'!$B$6</x:f>
        <x:v>93.67584263752747</x:v>
      </x:c>
      <x:c r="N582" s="103" t="n">
        <x:f>MAX(0,MIN(K582-L582,M582))</x:f>
        <x:v>66.19054157720986</x:v>
      </x:c>
      <x:c r="O582" s="103" t="n">
        <x:f>MAX(0,N582-'Inputs &amp; Guide'!$B$7)</x:f>
        <x:v>6.190541577209856</x:v>
      </x:c>
      <x:c r="P582" s="103" t="n">
        <x:f>N582-O582</x:f>
        <x:v>60</x:v>
      </x:c>
      <x:c r="Q582" s="103" t="n">
        <x:f>I582*'Inputs &amp; Guide'!$B$8</x:f>
        <x:v>3.065754849955444</x:v>
      </x:c>
      <x:c r="R582" s="104" t="n">
        <x:f>IFERROR(P582/Q582,0)</x:f>
        <x:v>19.571036477646608</x:v>
      </x:c>
      <x:c r="S582" s="105" t="n">
        <x:f>ROUND(E582*XLOOKUP(C582,'Reference Tables'!$E$4:$E$12,'Reference Tables'!$G$4:$G$12,1),1)</x:f>
        <x:v>1.8</x:v>
      </x:c>
      <x:c r="T582" s="106" t="str">
        <x:f>IF(R582&gt;='Inputs &amp; Guide'!$B$9,"HIGH",IF(R582&gt;=0.45,"WATCH","NORMAL"))</x:f>
        <x:v>HIGH</x:v>
      </x:c>
    </x:row>
    <x:row r="583">
      <x:c r="A583" s="95" t="n">
        <x:v>4633</x:v>
      </x:c>
      <x:c r="B583" s="96" t="n">
        <x:v>45485</x:v>
      </x:c>
      <x:c r="C583" s="97" t="str">
        <x:v>Wildfire</x:v>
      </x:c>
      <x:c r="D583" s="97" t="str">
        <x:v>China</x:v>
      </x:c>
      <x:c r="E583" s="98" t="n">
        <x:v>1.822952421722762</x:v>
      </x:c>
      <x:c r="F583" s="99" t="n">
        <x:v>423.3201055485308</x:v>
      </x:c>
      <x:c r="G583" s="100" t="str">
        <x:f>XLOOKUP(D583,'Reference Tables'!$A$4:$A$23,'Reference Tables'!$B$4:$B$23,"Other")</x:f>
        <x:v>Asia Pacific</x:v>
      </x:c>
      <x:c r="H583" s="100" t="str">
        <x:f>VLOOKUP(G583,'Reference Tables'!$I$4:$J$9,2,FALSE)</x:f>
        <x:v>High</x:v>
      </x:c>
      <x:c r="I583" s="101" t="n">
        <x:f>F583*'Inputs &amp; Guide'!$B$4*XLOOKUP(D583,'Reference Tables'!$A$4:$A$23,'Reference Tables'!$C$4:$C$23,0.75)</x:f>
        <x:v>73.14971423878613</x:v>
      </x:c>
      <x:c r="J583" s="102" t="n">
        <x:f>XLOOKUP(C583,'Reference Tables'!$E$4:$E$12,'Reference Tables'!$F$4:$F$12,0.05)</x:f>
        <x:v>0.1</x:v>
      </x:c>
      <x:c r="K583" s="103" t="n">
        <x:f>MIN(I583,F583*J583)</x:f>
        <x:v>42.332010554853085</x:v>
      </x:c>
      <x:c r="L583" s="103" t="n">
        <x:f>'Inputs &amp; Guide'!$B$5</x:f>
        <x:v>15</x:v>
      </x:c>
      <x:c r="M583" s="103" t="n">
        <x:f>I583*'Inputs &amp; Guide'!$B$6</x:f>
        <x:v>40.232342831332375</x:v>
      </x:c>
      <x:c r="N583" s="103" t="n">
        <x:f>MAX(0,MIN(K583-L583,M583))</x:f>
        <x:v>27.332010554853085</x:v>
      </x:c>
      <x:c r="O583" s="103" t="n">
        <x:f>MAX(0,N583-'Inputs &amp; Guide'!$B$7)</x:f>
        <x:v>0</x:v>
      </x:c>
      <x:c r="P583" s="103" t="n">
        <x:f>N583-O583</x:f>
        <x:v>27.332010554853085</x:v>
      </x:c>
      <x:c r="Q583" s="103" t="n">
        <x:f>I583*'Inputs &amp; Guide'!$B$8</x:f>
        <x:v>1.3166948562981502</x:v>
      </x:c>
      <x:c r="R583" s="104" t="n">
        <x:f>IFERROR(P583/Q583,0)</x:f>
        <x:v>20.75804460244969</x:v>
      </x:c>
      <x:c r="S583" s="105" t="n">
        <x:f>ROUND(E583*XLOOKUP(C583,'Reference Tables'!$E$4:$E$12,'Reference Tables'!$G$4:$G$12,1),1)</x:f>
        <x:v>2.1</x:v>
      </x:c>
      <x:c r="T583" s="106" t="str">
        <x:f>IF(R583&gt;='Inputs &amp; Guide'!$B$9,"HIGH",IF(R583&gt;=0.45,"WATCH","NORMAL"))</x:f>
        <x:v>HIGH</x:v>
      </x:c>
    </x:row>
    <x:row r="584">
      <x:c r="A584" s="95" t="n">
        <x:v>4641</x:v>
      </x:c>
      <x:c r="B584" s="96" t="n">
        <x:v>45485.104166666664</x:v>
      </x:c>
      <x:c r="C584" s="97" t="str">
        <x:v>Hurricane</x:v>
      </x:c>
      <x:c r="D584" s="97" t="str">
        <x:v>Brazil</x:v>
      </x:c>
      <x:c r="E584" s="98" t="n">
        <x:v>3.66570864381144</x:v>
      </x:c>
      <x:c r="F584" s="99" t="n">
        <x:v>74.09955418742828</x:v>
      </x:c>
      <x:c r="G584" s="100" t="str">
        <x:f>XLOOKUP(D584,'Reference Tables'!$A$4:$A$23,'Reference Tables'!$B$4:$B$23,"Other")</x:f>
        <x:v>Latin America</x:v>
      </x:c>
      <x:c r="H584" s="100" t="str">
        <x:f>VLOOKUP(G584,'Reference Tables'!$I$4:$J$9,2,FALSE)</x:f>
        <x:v>Moderate</x:v>
      </x:c>
      <x:c r="I584" s="101" t="n">
        <x:f>F584*'Inputs &amp; Guide'!$B$4*XLOOKUP(D584,'Reference Tables'!$A$4:$A$23,'Reference Tables'!$C$4:$C$23,0.75)</x:f>
        <x:v>9.72186150939059</x:v>
      </x:c>
      <x:c r="J584" s="102" t="n">
        <x:f>XLOOKUP(C584,'Reference Tables'!$E$4:$E$12,'Reference Tables'!$F$4:$F$12,0.05)</x:f>
        <x:v>0.18</x:v>
      </x:c>
      <x:c r="K584" s="103" t="n">
        <x:f>MIN(I584,F584*J584)</x:f>
        <x:v>9.72186150939059</x:v>
      </x:c>
      <x:c r="L584" s="103" t="n">
        <x:f>'Inputs &amp; Guide'!$B$5</x:f>
        <x:v>15</x:v>
      </x:c>
      <x:c r="M584" s="103" t="n">
        <x:f>I584*'Inputs &amp; Guide'!$B$6</x:f>
        <x:v>5.347023830164825</x:v>
      </x:c>
      <x:c r="N584" s="103" t="n">
        <x:f>MAX(0,MIN(K584-L584,M584))</x:f>
        <x:v>0</x:v>
      </x:c>
      <x:c r="O584" s="103" t="n">
        <x:f>MAX(0,N584-'Inputs &amp; Guide'!$B$7)</x:f>
        <x:v>0</x:v>
      </x:c>
      <x:c r="P584" s="103" t="n">
        <x:f>N584-O584</x:f>
        <x:v>0</x:v>
      </x:c>
      <x:c r="Q584" s="103" t="n">
        <x:f>I584*'Inputs &amp; Guide'!$B$8</x:f>
        <x:v>0.17499350716903062</x:v>
      </x:c>
      <x:c r="R584" s="104" t="n">
        <x:f>IFERROR(P584/Q584,0)</x:f>
        <x:v>0</x:v>
      </x:c>
      <x:c r="S584" s="105" t="n">
        <x:f>ROUND(E584*XLOOKUP(C584,'Reference Tables'!$E$4:$E$12,'Reference Tables'!$G$4:$G$12,1),1)</x:f>
        <x:v>5.1</x:v>
      </x:c>
      <x:c r="T584" s="106" t="str">
        <x:f>IF(R584&gt;='Inputs &amp; Guide'!$B$9,"HIGH",IF(R584&gt;=0.45,"WATCH","NORMAL"))</x:f>
        <x:v>NORMAL</x:v>
      </x:c>
    </x:row>
    <x:row r="585">
      <x:c r="A585" s="95" t="n">
        <x:v>4649</x:v>
      </x:c>
      <x:c r="B585" s="96" t="n">
        <x:v>45485.4375</x:v>
      </x:c>
      <x:c r="C585" s="97" t="str">
        <x:v>Tornado</x:v>
      </x:c>
      <x:c r="D585" s="97" t="str">
        <x:v>Japan</x:v>
      </x:c>
      <x:c r="E585" s="98" t="n">
        <x:v>8.224722271778816</x:v>
      </x:c>
      <x:c r="F585" s="99" t="n">
        <x:v>829.6499603248013</x:v>
      </x:c>
      <x:c r="G585" s="100" t="str">
        <x:f>XLOOKUP(D585,'Reference Tables'!$A$4:$A$23,'Reference Tables'!$B$4:$B$23,"Other")</x:f>
        <x:v>Asia Pacific</x:v>
      </x:c>
      <x:c r="H585" s="100" t="str">
        <x:f>VLOOKUP(G585,'Reference Tables'!$I$4:$J$9,2,FALSE)</x:f>
        <x:v>High</x:v>
      </x:c>
      <x:c r="I585" s="101" t="n">
        <x:f>F585*'Inputs &amp; Guide'!$B$4*XLOOKUP(D585,'Reference Tables'!$A$4:$A$23,'Reference Tables'!$C$4:$C$23,0.75)</x:f>
        <x:v>156.6379125093225</x:v>
      </x:c>
      <x:c r="J585" s="102" t="n">
        <x:f>XLOOKUP(C585,'Reference Tables'!$E$4:$E$12,'Reference Tables'!$F$4:$F$12,0.05)</x:f>
        <x:v>0.09</x:v>
      </x:c>
      <x:c r="K585" s="103" t="n">
        <x:f>MIN(I585,F585*J585)</x:f>
        <x:v>74.66849642923212</x:v>
      </x:c>
      <x:c r="L585" s="103" t="n">
        <x:f>'Inputs &amp; Guide'!$B$5</x:f>
        <x:v>15</x:v>
      </x:c>
      <x:c r="M585" s="103" t="n">
        <x:f>I585*'Inputs &amp; Guide'!$B$6</x:f>
        <x:v>86.15085188012738</x:v>
      </x:c>
      <x:c r="N585" s="103" t="n">
        <x:f>MAX(0,MIN(K585-L585,M585))</x:f>
        <x:v>59.66849642923212</x:v>
      </x:c>
      <x:c r="O585" s="103" t="n">
        <x:f>MAX(0,N585-'Inputs &amp; Guide'!$B$7)</x:f>
        <x:v>0</x:v>
      </x:c>
      <x:c r="P585" s="103" t="n">
        <x:f>N585-O585</x:f>
        <x:v>59.66849642923212</x:v>
      </x:c>
      <x:c r="Q585" s="103" t="n">
        <x:f>I585*'Inputs &amp; Guide'!$B$8</x:f>
        <x:v>2.819482425167805</x:v>
      </x:c>
      <x:c r="R585" s="104" t="n">
        <x:f>IFERROR(P585/Q585,0)</x:f>
        <x:v>21.162925470507545</x:v>
      </x:c>
      <x:c r="S585" s="105" t="n">
        <x:f>ROUND(E585*XLOOKUP(C585,'Reference Tables'!$E$4:$E$12,'Reference Tables'!$G$4:$G$12,1),1)</x:f>
        <x:v>8.6</x:v>
      </x:c>
      <x:c r="T585" s="106" t="str">
        <x:f>IF(R585&gt;='Inputs &amp; Guide'!$B$9,"HIGH",IF(R585&gt;=0.45,"WATCH","NORMAL"))</x:f>
        <x:v>HIGH</x:v>
      </x:c>
    </x:row>
    <x:row r="586">
      <x:c r="A586" s="95" t="n">
        <x:v>4657</x:v>
      </x:c>
      <x:c r="B586" s="96" t="n">
        <x:v>45486</x:v>
      </x:c>
      <x:c r="C586" s="97" t="str">
        <x:v>Tornado</x:v>
      </x:c>
      <x:c r="D586" s="97" t="str">
        <x:v>India</x:v>
      </x:c>
      <x:c r="E586" s="98" t="n">
        <x:v>1.187743581763013</x:v>
      </x:c>
      <x:c r="F586" s="99" t="n">
        <x:v>693.7027451481072</x:v>
      </x:c>
      <x:c r="G586" s="100" t="str">
        <x:f>XLOOKUP(D586,'Reference Tables'!$A$4:$A$23,'Reference Tables'!$B$4:$B$23,"Other")</x:f>
        <x:v>Asia Pacific</x:v>
      </x:c>
      <x:c r="H586" s="100" t="str">
        <x:f>VLOOKUP(G586,'Reference Tables'!$I$4:$J$9,2,FALSE)</x:f>
        <x:v>High</x:v>
      </x:c>
      <x:c r="I586" s="101" t="n">
        <x:f>F586*'Inputs &amp; Guide'!$B$4*XLOOKUP(D586,'Reference Tables'!$A$4:$A$23,'Reference Tables'!$C$4:$C$23,0.75)</x:f>
        <x:v>101.0031196935644</x:v>
      </x:c>
      <x:c r="J586" s="102" t="n">
        <x:f>XLOOKUP(C586,'Reference Tables'!$E$4:$E$12,'Reference Tables'!$F$4:$F$12,0.05)</x:f>
        <x:v>0.09</x:v>
      </x:c>
      <x:c r="K586" s="103" t="n">
        <x:f>MIN(I586,F586*J586)</x:f>
        <x:v>62.433247063329645</x:v>
      </x:c>
      <x:c r="L586" s="103" t="n">
        <x:f>'Inputs &amp; Guide'!$B$5</x:f>
        <x:v>15</x:v>
      </x:c>
      <x:c r="M586" s="103" t="n">
        <x:f>I586*'Inputs &amp; Guide'!$B$6</x:f>
        <x:v>55.55171583146043</x:v>
      </x:c>
      <x:c r="N586" s="103" t="n">
        <x:f>MAX(0,MIN(K586-L586,M586))</x:f>
        <x:v>47.433247063329645</x:v>
      </x:c>
      <x:c r="O586" s="103" t="n">
        <x:f>MAX(0,N586-'Inputs &amp; Guide'!$B$7)</x:f>
        <x:v>0</x:v>
      </x:c>
      <x:c r="P586" s="103" t="n">
        <x:f>N586-O586</x:f>
        <x:v>47.433247063329645</x:v>
      </x:c>
      <x:c r="Q586" s="103" t="n">
        <x:f>I586*'Inputs &amp; Guide'!$B$8</x:f>
        <x:v>1.8180561544841591</x:v>
      </x:c>
      <x:c r="R586" s="104" t="n">
        <x:f>IFERROR(P586/Q586,0)</x:f>
        <x:v>26.090089102219167</x:v>
      </x:c>
      <x:c r="S586" s="105" t="n">
        <x:f>ROUND(E586*XLOOKUP(C586,'Reference Tables'!$E$4:$E$12,'Reference Tables'!$G$4:$G$12,1),1)</x:f>
        <x:v>1.2</x:v>
      </x:c>
      <x:c r="T586" s="106" t="str">
        <x:f>IF(R586&gt;='Inputs &amp; Guide'!$B$9,"HIGH",IF(R586&gt;=0.45,"WATCH","NORMAL"))</x:f>
        <x:v>HIGH</x:v>
      </x:c>
    </x:row>
    <x:row r="587">
      <x:c r="A587" s="95" t="n">
        <x:v>4665</x:v>
      </x:c>
      <x:c r="B587" s="96" t="n">
        <x:v>45486.104166666664</x:v>
      </x:c>
      <x:c r="C587" s="97" t="str">
        <x:v>Tornado</x:v>
      </x:c>
      <x:c r="D587" s="97" t="str">
        <x:v>Indonesia</x:v>
      </x:c>
      <x:c r="E587" s="98" t="n">
        <x:v>3.2131347812335753</x:v>
      </x:c>
      <x:c r="F587" s="99" t="n">
        <x:v>17.487387047297997</x:v>
      </x:c>
      <x:c r="G587" s="100" t="str">
        <x:f>XLOOKUP(D587,'Reference Tables'!$A$4:$A$23,'Reference Tables'!$B$4:$B$23,"Other")</x:f>
        <x:v>Asia Pacific</x:v>
      </x:c>
      <x:c r="H587" s="100" t="str">
        <x:f>VLOOKUP(G587,'Reference Tables'!$I$4:$J$9,2,FALSE)</x:f>
        <x:v>High</x:v>
      </x:c>
      <x:c r="I587" s="101" t="n">
        <x:f>F587*'Inputs &amp; Guide'!$B$4*XLOOKUP(D587,'Reference Tables'!$A$4:$A$23,'Reference Tables'!$C$4:$C$23,0.75)</x:f>
        <x:v>2.88192138539471</x:v>
      </x:c>
      <x:c r="J587" s="102" t="n">
        <x:f>XLOOKUP(C587,'Reference Tables'!$E$4:$E$12,'Reference Tables'!$F$4:$F$12,0.05)</x:f>
        <x:v>0.09</x:v>
      </x:c>
      <x:c r="K587" s="103" t="n">
        <x:f>MIN(I587,F587*J587)</x:f>
        <x:v>1.5738648342568196</x:v>
      </x:c>
      <x:c r="L587" s="103" t="n">
        <x:f>'Inputs &amp; Guide'!$B$5</x:f>
        <x:v>15</x:v>
      </x:c>
      <x:c r="M587" s="103" t="n">
        <x:f>I587*'Inputs &amp; Guide'!$B$6</x:f>
        <x:v>1.5850567619670908</x:v>
      </x:c>
      <x:c r="N587" s="103" t="n">
        <x:f>MAX(0,MIN(K587-L587,M587))</x:f>
        <x:v>0</x:v>
      </x:c>
      <x:c r="O587" s="103" t="n">
        <x:f>MAX(0,N587-'Inputs &amp; Guide'!$B$7)</x:f>
        <x:v>0</x:v>
      </x:c>
      <x:c r="P587" s="103" t="n">
        <x:f>N587-O587</x:f>
        <x:v>0</x:v>
      </x:c>
      <x:c r="Q587" s="103" t="n">
        <x:f>I587*'Inputs &amp; Guide'!$B$8</x:f>
        <x:v>0.05187458493710478</x:v>
      </x:c>
      <x:c r="R587" s="104" t="n">
        <x:f>IFERROR(P587/Q587,0)</x:f>
        <x:v>0</x:v>
      </x:c>
      <x:c r="S587" s="105" t="n">
        <x:f>ROUND(E587*XLOOKUP(C587,'Reference Tables'!$E$4:$E$12,'Reference Tables'!$G$4:$G$12,1),1)</x:f>
        <x:v>3.4</x:v>
      </x:c>
      <x:c r="T587" s="106" t="str">
        <x:f>IF(R587&gt;='Inputs &amp; Guide'!$B$9,"HIGH",IF(R587&gt;=0.45,"WATCH","NORMAL"))</x:f>
        <x:v>NORMAL</x:v>
      </x:c>
    </x:row>
    <x:row r="588">
      <x:c r="A588" s="95" t="n">
        <x:v>4673</x:v>
      </x:c>
      <x:c r="B588" s="96" t="n">
        <x:v>45486.4375</x:v>
      </x:c>
      <x:c r="C588" s="97" t="str">
        <x:v>Hurricane</x:v>
      </x:c>
      <x:c r="D588" s="97" t="str">
        <x:v>Japan</x:v>
      </x:c>
      <x:c r="E588" s="98" t="n">
        <x:v>4.7093972236061665</x:v>
      </x:c>
      <x:c r="F588" s="99" t="n">
        <x:v>824.0181984531777</x:v>
      </x:c>
      <x:c r="G588" s="100" t="str">
        <x:f>XLOOKUP(D588,'Reference Tables'!$A$4:$A$23,'Reference Tables'!$B$4:$B$23,"Other")</x:f>
        <x:v>Asia Pacific</x:v>
      </x:c>
      <x:c r="H588" s="100" t="str">
        <x:f>VLOOKUP(G588,'Reference Tables'!$I$4:$J$9,2,FALSE)</x:f>
        <x:v>High</x:v>
      </x:c>
      <x:c r="I588" s="101" t="n">
        <x:f>F588*'Inputs &amp; Guide'!$B$4*XLOOKUP(D588,'Reference Tables'!$A$4:$A$23,'Reference Tables'!$C$4:$C$23,0.75)</x:f>
        <x:v>155.57463586795993</x:v>
      </x:c>
      <x:c r="J588" s="102" t="n">
        <x:f>XLOOKUP(C588,'Reference Tables'!$E$4:$E$12,'Reference Tables'!$F$4:$F$12,0.05)</x:f>
        <x:v>0.18</x:v>
      </x:c>
      <x:c r="K588" s="103" t="n">
        <x:f>MIN(I588,F588*J588)</x:f>
        <x:v>148.32327572157197</x:v>
      </x:c>
      <x:c r="L588" s="103" t="n">
        <x:f>'Inputs &amp; Guide'!$B$5</x:f>
        <x:v>15</x:v>
      </x:c>
      <x:c r="M588" s="103" t="n">
        <x:f>I588*'Inputs &amp; Guide'!$B$6</x:f>
        <x:v>85.56604972737797</x:v>
      </x:c>
      <x:c r="N588" s="103" t="n">
        <x:f>MAX(0,MIN(K588-L588,M588))</x:f>
        <x:v>85.56604972737797</x:v>
      </x:c>
      <x:c r="O588" s="103" t="n">
        <x:f>MAX(0,N588-'Inputs &amp; Guide'!$B$7)</x:f>
        <x:v>25.566049727377973</x:v>
      </x:c>
      <x:c r="P588" s="103" t="n">
        <x:f>N588-O588</x:f>
        <x:v>60</x:v>
      </x:c>
      <x:c r="Q588" s="103" t="n">
        <x:f>I588*'Inputs &amp; Guide'!$B$8</x:f>
        <x:v>2.8003434456232785</x:v>
      </x:c>
      <x:c r="R588" s="104" t="n">
        <x:f>IFERROR(P588/Q588,0)</x:f>
        <x:v>21.42594334054824</x:v>
      </x:c>
      <x:c r="S588" s="105" t="n">
        <x:f>ROUND(E588*XLOOKUP(C588,'Reference Tables'!$E$4:$E$12,'Reference Tables'!$G$4:$G$12,1),1)</x:f>
        <x:v>6.6</x:v>
      </x:c>
      <x:c r="T588" s="106" t="str">
        <x:f>IF(R588&gt;='Inputs &amp; Guide'!$B$9,"HIGH",IF(R588&gt;=0.45,"WATCH","NORMAL"))</x:f>
        <x:v>HIGH</x:v>
      </x:c>
    </x:row>
    <x:row r="589">
      <x:c r="A589" s="95" t="n">
        <x:v>4681</x:v>
      </x:c>
      <x:c r="B589" s="96" t="n">
        <x:v>45487</x:v>
      </x:c>
      <x:c r="C589" s="97" t="str">
        <x:v>Tornado</x:v>
      </x:c>
      <x:c r="D589" s="97" t="str">
        <x:v>Indonesia</x:v>
      </x:c>
      <x:c r="E589" s="98" t="n">
        <x:v>4.757156384325652</x:v>
      </x:c>
      <x:c r="F589" s="99" t="n">
        <x:v>731.8358203329267</x:v>
      </x:c>
      <x:c r="G589" s="100" t="str">
        <x:f>XLOOKUP(D589,'Reference Tables'!$A$4:$A$23,'Reference Tables'!$B$4:$B$23,"Other")</x:f>
        <x:v>Asia Pacific</x:v>
      </x:c>
      <x:c r="H589" s="100" t="str">
        <x:f>VLOOKUP(G589,'Reference Tables'!$I$4:$J$9,2,FALSE)</x:f>
        <x:v>High</x:v>
      </x:c>
      <x:c r="I589" s="101" t="n">
        <x:f>F589*'Inputs &amp; Guide'!$B$4*XLOOKUP(D589,'Reference Tables'!$A$4:$A$23,'Reference Tables'!$C$4:$C$23,0.75)</x:f>
        <x:v>120.60654319086632</x:v>
      </x:c>
      <x:c r="J589" s="102" t="n">
        <x:f>XLOOKUP(C589,'Reference Tables'!$E$4:$E$12,'Reference Tables'!$F$4:$F$12,0.05)</x:f>
        <x:v>0.09</x:v>
      </x:c>
      <x:c r="K589" s="103" t="n">
        <x:f>MIN(I589,F589*J589)</x:f>
        <x:v>65.8652238299634</x:v>
      </x:c>
      <x:c r="L589" s="103" t="n">
        <x:f>'Inputs &amp; Guide'!$B$5</x:f>
        <x:v>15</x:v>
      </x:c>
      <x:c r="M589" s="103" t="n">
        <x:f>I589*'Inputs &amp; Guide'!$B$6</x:f>
        <x:v>66.33359875497648</x:v>
      </x:c>
      <x:c r="N589" s="103" t="n">
        <x:f>MAX(0,MIN(K589-L589,M589))</x:f>
        <x:v>50.8652238299634</x:v>
      </x:c>
      <x:c r="O589" s="103" t="n">
        <x:f>MAX(0,N589-'Inputs &amp; Guide'!$B$7)</x:f>
        <x:v>0</x:v>
      </x:c>
      <x:c r="P589" s="103" t="n">
        <x:f>N589-O589</x:f>
        <x:v>50.8652238299634</x:v>
      </x:c>
      <x:c r="Q589" s="103" t="n">
        <x:f>I589*'Inputs &amp; Guide'!$B$8</x:f>
        <x:v>2.1709177774355934</x:v>
      </x:c>
      <x:c r="R589" s="104" t="n">
        <x:f>IFERROR(P589/Q589,0)</x:f>
        <x:v>23.43028573382829</x:v>
      </x:c>
      <x:c r="S589" s="105" t="n">
        <x:f>ROUND(E589*XLOOKUP(C589,'Reference Tables'!$E$4:$E$12,'Reference Tables'!$G$4:$G$12,1),1)</x:f>
        <x:v>5</x:v>
      </x:c>
      <x:c r="T589" s="106" t="str">
        <x:f>IF(R589&gt;='Inputs &amp; Guide'!$B$9,"HIGH",IF(R589&gt;=0.45,"WATCH","NORMAL"))</x:f>
        <x:v>HIGH</x:v>
      </x:c>
    </x:row>
    <x:row r="590">
      <x:c r="A590" s="95" t="n">
        <x:v>4689</x:v>
      </x:c>
      <x:c r="B590" s="96" t="n">
        <x:v>45487.104166666664</x:v>
      </x:c>
      <x:c r="C590" s="97" t="str">
        <x:v>Hurricane</x:v>
      </x:c>
      <x:c r="D590" s="97" t="str">
        <x:v>China</x:v>
      </x:c>
      <x:c r="E590" s="98" t="n">
        <x:v>8.317128108378213</x:v>
      </x:c>
      <x:c r="F590" s="99" t="n">
        <x:v>197.06542182494852</x:v>
      </x:c>
      <x:c r="G590" s="100" t="str">
        <x:f>XLOOKUP(D590,'Reference Tables'!$A$4:$A$23,'Reference Tables'!$B$4:$B$23,"Other")</x:f>
        <x:v>Asia Pacific</x:v>
      </x:c>
      <x:c r="H590" s="100" t="str">
        <x:f>VLOOKUP(G590,'Reference Tables'!$I$4:$J$9,2,FALSE)</x:f>
        <x:v>High</x:v>
      </x:c>
      <x:c r="I590" s="101" t="n">
        <x:f>F590*'Inputs &amp; Guide'!$B$4*XLOOKUP(D590,'Reference Tables'!$A$4:$A$23,'Reference Tables'!$C$4:$C$23,0.75)</x:f>
        <x:v>34.052904891351105</x:v>
      </x:c>
      <x:c r="J590" s="102" t="n">
        <x:f>XLOOKUP(C590,'Reference Tables'!$E$4:$E$12,'Reference Tables'!$F$4:$F$12,0.05)</x:f>
        <x:v>0.18</x:v>
      </x:c>
      <x:c r="K590" s="103" t="n">
        <x:f>MIN(I590,F590*J590)</x:f>
        <x:v>34.052904891351105</x:v>
      </x:c>
      <x:c r="L590" s="103" t="n">
        <x:f>'Inputs &amp; Guide'!$B$5</x:f>
        <x:v>15</x:v>
      </x:c>
      <x:c r="M590" s="103" t="n">
        <x:f>I590*'Inputs &amp; Guide'!$B$6</x:f>
        <x:v>18.72909769024311</x:v>
      </x:c>
      <x:c r="N590" s="103" t="n">
        <x:f>MAX(0,MIN(K590-L590,M590))</x:f>
        <x:v>18.72909769024311</x:v>
      </x:c>
      <x:c r="O590" s="103" t="n">
        <x:f>MAX(0,N590-'Inputs &amp; Guide'!$B$7)</x:f>
        <x:v>0</x:v>
      </x:c>
      <x:c r="P590" s="103" t="n">
        <x:f>N590-O590</x:f>
        <x:v>18.72909769024311</x:v>
      </x:c>
      <x:c r="Q590" s="103" t="n">
        <x:f>I590*'Inputs &amp; Guide'!$B$8</x:f>
        <x:v>0.6129522880443199</x:v>
      </x:c>
      <x:c r="R590" s="104" t="n">
        <x:f>IFERROR(P590/Q590,0)</x:f>
        <x:v>30.555555555555557</x:v>
      </x:c>
      <x:c r="S590" s="105" t="n">
        <x:f>ROUND(E590*XLOOKUP(C590,'Reference Tables'!$E$4:$E$12,'Reference Tables'!$G$4:$G$12,1),1)</x:f>
        <x:v>11.6</x:v>
      </x:c>
      <x:c r="T590" s="106" t="str">
        <x:f>IF(R590&gt;='Inputs &amp; Guide'!$B$9,"HIGH",IF(R590&gt;=0.45,"WATCH","NORMAL"))</x:f>
        <x:v>HIGH</x:v>
      </x:c>
    </x:row>
    <x:row r="591">
      <x:c r="A591" s="95" t="n">
        <x:v>4697</x:v>
      </x:c>
      <x:c r="B591" s="96" t="n">
        <x:v>45487.4375</x:v>
      </x:c>
      <x:c r="C591" s="97" t="str">
        <x:v>Hurricane</x:v>
      </x:c>
      <x:c r="D591" s="97" t="str">
        <x:v>USA</x:v>
      </x:c>
      <x:c r="E591" s="98" t="n">
        <x:v>3.8210628091242613</x:v>
      </x:c>
      <x:c r="F591" s="99" t="n">
        <x:v>420.8048335760244</x:v>
      </x:c>
      <x:c r="G591" s="100" t="str">
        <x:f>XLOOKUP(D591,'Reference Tables'!$A$4:$A$23,'Reference Tables'!$B$4:$B$23,"Other")</x:f>
        <x:v>Other</x:v>
      </x:c>
      <x:c r="H591" s="100" t="str">
        <x:f>VLOOKUP(G591,'Reference Tables'!$I$4:$J$9,2,FALSE)</x:f>
        <x:v>Moderate</x:v>
      </x:c>
      <x:c r="I591" s="101" t="n">
        <x:f>F591*'Inputs &amp; Guide'!$B$4*XLOOKUP(D591,'Reference Tables'!$A$4:$A$23,'Reference Tables'!$C$4:$C$23,0.75)</x:f>
        <x:v>50.49658002912293</x:v>
      </x:c>
      <x:c r="J591" s="102" t="n">
        <x:f>XLOOKUP(C591,'Reference Tables'!$E$4:$E$12,'Reference Tables'!$F$4:$F$12,0.05)</x:f>
        <x:v>0.18</x:v>
      </x:c>
      <x:c r="K591" s="103" t="n">
        <x:f>MIN(I591,F591*J591)</x:f>
        <x:v>50.49658002912293</x:v>
      </x:c>
      <x:c r="L591" s="103" t="n">
        <x:f>'Inputs &amp; Guide'!$B$5</x:f>
        <x:v>15</x:v>
      </x:c>
      <x:c r="M591" s="103" t="n">
        <x:f>I591*'Inputs &amp; Guide'!$B$6</x:f>
        <x:v>27.773119016017613</x:v>
      </x:c>
      <x:c r="N591" s="103" t="n">
        <x:f>MAX(0,MIN(K591-L591,M591))</x:f>
        <x:v>27.773119016017613</x:v>
      </x:c>
      <x:c r="O591" s="103" t="n">
        <x:f>MAX(0,N591-'Inputs &amp; Guide'!$B$7)</x:f>
        <x:v>0</x:v>
      </x:c>
      <x:c r="P591" s="103" t="n">
        <x:f>N591-O591</x:f>
        <x:v>27.773119016017613</x:v>
      </x:c>
      <x:c r="Q591" s="103" t="n">
        <x:f>I591*'Inputs &amp; Guide'!$B$8</x:f>
        <x:v>0.9089384405242127</x:v>
      </x:c>
      <x:c r="R591" s="104" t="n">
        <x:f>IFERROR(P591/Q591,0)</x:f>
        <x:v>30.55555555555556</x:v>
      </x:c>
      <x:c r="S591" s="105" t="n">
        <x:f>ROUND(E591*XLOOKUP(C591,'Reference Tables'!$E$4:$E$12,'Reference Tables'!$G$4:$G$12,1),1)</x:f>
        <x:v>5.3</x:v>
      </x:c>
      <x:c r="T591" s="106" t="str">
        <x:f>IF(R591&gt;='Inputs &amp; Guide'!$B$9,"HIGH",IF(R591&gt;=0.45,"WATCH","NORMAL"))</x:f>
        <x:v>HIGH</x:v>
      </x:c>
    </x:row>
    <x:row r="592">
      <x:c r="A592" s="95" t="n">
        <x:v>4705</x:v>
      </x:c>
      <x:c r="B592" s="96" t="n">
        <x:v>45488</x:v>
      </x:c>
      <x:c r="C592" s="97" t="str">
        <x:v>Flood</x:v>
      </x:c>
      <x:c r="D592" s="97" t="str">
        <x:v>China</x:v>
      </x:c>
      <x:c r="E592" s="98" t="n">
        <x:v>6.477949390746705</x:v>
      </x:c>
      <x:c r="F592" s="99" t="n">
        <x:v>300.71209966658694</x:v>
      </x:c>
      <x:c r="G592" s="100" t="str">
        <x:f>XLOOKUP(D592,'Reference Tables'!$A$4:$A$23,'Reference Tables'!$B$4:$B$23,"Other")</x:f>
        <x:v>Asia Pacific</x:v>
      </x:c>
      <x:c r="H592" s="100" t="str">
        <x:f>VLOOKUP(G592,'Reference Tables'!$I$4:$J$9,2,FALSE)</x:f>
        <x:v>High</x:v>
      </x:c>
      <x:c r="I592" s="101" t="n">
        <x:f>F592*'Inputs &amp; Guide'!$B$4*XLOOKUP(D592,'Reference Tables'!$A$4:$A$23,'Reference Tables'!$C$4:$C$23,0.75)</x:f>
        <x:v>51.96305082238623</x:v>
      </x:c>
      <x:c r="J592" s="102" t="n">
        <x:f>XLOOKUP(C592,'Reference Tables'!$E$4:$E$12,'Reference Tables'!$F$4:$F$12,0.05)</x:f>
        <x:v>0.12</x:v>
      </x:c>
      <x:c r="K592" s="103" t="n">
        <x:f>MIN(I592,F592*J592)</x:f>
        <x:v>36.08545195999043</x:v>
      </x:c>
      <x:c r="L592" s="103" t="n">
        <x:f>'Inputs &amp; Guide'!$B$5</x:f>
        <x:v>15</x:v>
      </x:c>
      <x:c r="M592" s="103" t="n">
        <x:f>I592*'Inputs &amp; Guide'!$B$6</x:f>
        <x:v>28.57967795231243</x:v>
      </x:c>
      <x:c r="N592" s="103" t="n">
        <x:f>MAX(0,MIN(K592-L592,M592))</x:f>
        <x:v>21.08545195999043</x:v>
      </x:c>
      <x:c r="O592" s="103" t="n">
        <x:f>MAX(0,N592-'Inputs &amp; Guide'!$B$7)</x:f>
        <x:v>0</x:v>
      </x:c>
      <x:c r="P592" s="103" t="n">
        <x:f>N592-O592</x:f>
        <x:v>21.08545195999043</x:v>
      </x:c>
      <x:c r="Q592" s="103" t="n">
        <x:f>I592*'Inputs &amp; Guide'!$B$8</x:f>
        <x:v>0.935334914802952</x:v>
      </x:c>
      <x:c r="R592" s="104" t="n">
        <x:f>IFERROR(P592/Q592,0)</x:f>
        <x:v>22.543210593643373</x:v>
      </x:c>
      <x:c r="S592" s="105" t="n">
        <x:f>ROUND(E592*XLOOKUP(C592,'Reference Tables'!$E$4:$E$12,'Reference Tables'!$G$4:$G$12,1),1)</x:f>
        <x:v>8.1</x:v>
      </x:c>
      <x:c r="T592" s="106" t="str">
        <x:f>IF(R592&gt;='Inputs &amp; Guide'!$B$9,"HIGH",IF(R592&gt;=0.45,"WATCH","NORMAL"))</x:f>
        <x:v>HIGH</x:v>
      </x:c>
    </x:row>
    <x:row r="593">
      <x:c r="A593" s="95" t="n">
        <x:v>4713</x:v>
      </x:c>
      <x:c r="B593" s="96" t="n">
        <x:v>45488.104166666664</x:v>
      </x:c>
      <x:c r="C593" s="97" t="str">
        <x:v>Hurricane</x:v>
      </x:c>
      <x:c r="D593" s="97" t="str">
        <x:v>China</x:v>
      </x:c>
      <x:c r="E593" s="98" t="n">
        <x:v>2.561701584951406</x:v>
      </x:c>
      <x:c r="F593" s="99" t="n">
        <x:v>69.00510844558777</x:v>
      </x:c>
      <x:c r="G593" s="100" t="str">
        <x:f>XLOOKUP(D593,'Reference Tables'!$A$4:$A$23,'Reference Tables'!$B$4:$B$23,"Other")</x:f>
        <x:v>Asia Pacific</x:v>
      </x:c>
      <x:c r="H593" s="100" t="str">
        <x:f>VLOOKUP(G593,'Reference Tables'!$I$4:$J$9,2,FALSE)</x:f>
        <x:v>High</x:v>
      </x:c>
      <x:c r="I593" s="101" t="n">
        <x:f>F593*'Inputs &amp; Guide'!$B$4*XLOOKUP(D593,'Reference Tables'!$A$4:$A$23,'Reference Tables'!$C$4:$C$23,0.75)</x:f>
        <x:v>11.924082739397567</x:v>
      </x:c>
      <x:c r="J593" s="102" t="n">
        <x:f>XLOOKUP(C593,'Reference Tables'!$E$4:$E$12,'Reference Tables'!$F$4:$F$12,0.05)</x:f>
        <x:v>0.18</x:v>
      </x:c>
      <x:c r="K593" s="103" t="n">
        <x:f>MIN(I593,F593*J593)</x:f>
        <x:v>11.924082739397567</x:v>
      </x:c>
      <x:c r="L593" s="103" t="n">
        <x:f>'Inputs &amp; Guide'!$B$5</x:f>
        <x:v>15</x:v>
      </x:c>
      <x:c r="M593" s="103" t="n">
        <x:f>I593*'Inputs &amp; Guide'!$B$6</x:f>
        <x:v>6.558245506668663</x:v>
      </x:c>
      <x:c r="N593" s="103" t="n">
        <x:f>MAX(0,MIN(K593-L593,M593))</x:f>
        <x:v>0</x:v>
      </x:c>
      <x:c r="O593" s="103" t="n">
        <x:f>MAX(0,N593-'Inputs &amp; Guide'!$B$7)</x:f>
        <x:v>0</x:v>
      </x:c>
      <x:c r="P593" s="103" t="n">
        <x:f>N593-O593</x:f>
        <x:v>0</x:v>
      </x:c>
      <x:c r="Q593" s="103" t="n">
        <x:f>I593*'Inputs &amp; Guide'!$B$8</x:f>
        <x:v>0.2146334893091562</x:v>
      </x:c>
      <x:c r="R593" s="104" t="n">
        <x:f>IFERROR(P593/Q593,0)</x:f>
        <x:v>0</x:v>
      </x:c>
      <x:c r="S593" s="105" t="n">
        <x:f>ROUND(E593*XLOOKUP(C593,'Reference Tables'!$E$4:$E$12,'Reference Tables'!$G$4:$G$12,1),1)</x:f>
        <x:v>3.6</x:v>
      </x:c>
      <x:c r="T593" s="106" t="str">
        <x:f>IF(R593&gt;='Inputs &amp; Guide'!$B$9,"HIGH",IF(R593&gt;=0.45,"WATCH","NORMAL"))</x:f>
        <x:v>NORMAL</x:v>
      </x:c>
    </x:row>
    <x:row r="594">
      <x:c r="A594" s="95" t="n">
        <x:v>4721</x:v>
      </x:c>
      <x:c r="B594" s="96" t="n">
        <x:v>45488.4375</x:v>
      </x:c>
      <x:c r="C594" s="97" t="str">
        <x:v>Hurricane</x:v>
      </x:c>
      <x:c r="D594" s="97" t="str">
        <x:v>India</x:v>
      </x:c>
      <x:c r="E594" s="98" t="n">
        <x:v>9.21326532354069</x:v>
      </x:c>
      <x:c r="F594" s="99" t="n">
        <x:v>6.100948762917892</x:v>
      </x:c>
      <x:c r="G594" s="100" t="str">
        <x:f>XLOOKUP(D594,'Reference Tables'!$A$4:$A$23,'Reference Tables'!$B$4:$B$23,"Other")</x:f>
        <x:v>Asia Pacific</x:v>
      </x:c>
      <x:c r="H594" s="100" t="str">
        <x:f>VLOOKUP(G594,'Reference Tables'!$I$4:$J$9,2,FALSE)</x:f>
        <x:v>High</x:v>
      </x:c>
      <x:c r="I594" s="101" t="n">
        <x:f>F594*'Inputs &amp; Guide'!$B$4*XLOOKUP(D594,'Reference Tables'!$A$4:$A$23,'Reference Tables'!$C$4:$C$23,0.75)</x:f>
        <x:v>0.8882981398808452</x:v>
      </x:c>
      <x:c r="J594" s="102" t="n">
        <x:f>XLOOKUP(C594,'Reference Tables'!$E$4:$E$12,'Reference Tables'!$F$4:$F$12,0.05)</x:f>
        <x:v>0.18</x:v>
      </x:c>
      <x:c r="K594" s="103" t="n">
        <x:f>MIN(I594,F594*J594)</x:f>
        <x:v>0.8882981398808452</x:v>
      </x:c>
      <x:c r="L594" s="103" t="n">
        <x:f>'Inputs &amp; Guide'!$B$5</x:f>
        <x:v>15</x:v>
      </x:c>
      <x:c r="M594" s="103" t="n">
        <x:f>I594*'Inputs &amp; Guide'!$B$6</x:f>
        <x:v>0.4885639769344649</x:v>
      </x:c>
      <x:c r="N594" s="103" t="n">
        <x:f>MAX(0,MIN(K594-L594,M594))</x:f>
        <x:v>0</x:v>
      </x:c>
      <x:c r="O594" s="103" t="n">
        <x:f>MAX(0,N594-'Inputs &amp; Guide'!$B$7)</x:f>
        <x:v>0</x:v>
      </x:c>
      <x:c r="P594" s="103" t="n">
        <x:f>N594-O594</x:f>
        <x:v>0</x:v>
      </x:c>
      <x:c r="Q594" s="103" t="n">
        <x:f>I594*'Inputs &amp; Guide'!$B$8</x:f>
        <x:v>0.01598936651785521</x:v>
      </x:c>
      <x:c r="R594" s="104" t="n">
        <x:f>IFERROR(P594/Q594,0)</x:f>
        <x:v>0</x:v>
      </x:c>
      <x:c r="S594" s="105" t="n">
        <x:f>ROUND(E594*XLOOKUP(C594,'Reference Tables'!$E$4:$E$12,'Reference Tables'!$G$4:$G$12,1),1)</x:f>
        <x:v>12.9</x:v>
      </x:c>
      <x:c r="T594" s="106" t="str">
        <x:f>IF(R594&gt;='Inputs &amp; Guide'!$B$9,"HIGH",IF(R594&gt;=0.45,"WATCH","NORMAL"))</x:f>
        <x:v>NORMAL</x:v>
      </x:c>
    </x:row>
    <x:row r="595">
      <x:c r="A595" s="95" t="n">
        <x:v>4729</x:v>
      </x:c>
      <x:c r="B595" s="96" t="n">
        <x:v>45489</x:v>
      </x:c>
      <x:c r="C595" s="97" t="str">
        <x:v>Tornado</x:v>
      </x:c>
      <x:c r="D595" s="97" t="str">
        <x:v>Japan</x:v>
      </x:c>
      <x:c r="E595" s="98" t="n">
        <x:v>6.001166672668101</x:v>
      </x:c>
      <x:c r="F595" s="99" t="n">
        <x:v>237.43408002183364</x:v>
      </x:c>
      <x:c r="G595" s="100" t="str">
        <x:f>XLOOKUP(D595,'Reference Tables'!$A$4:$A$23,'Reference Tables'!$B$4:$B$23,"Other")</x:f>
        <x:v>Asia Pacific</x:v>
      </x:c>
      <x:c r="H595" s="100" t="str">
        <x:f>VLOOKUP(G595,'Reference Tables'!$I$4:$J$9,2,FALSE)</x:f>
        <x:v>High</x:v>
      </x:c>
      <x:c r="I595" s="101" t="n">
        <x:f>F595*'Inputs &amp; Guide'!$B$4*XLOOKUP(D595,'Reference Tables'!$A$4:$A$23,'Reference Tables'!$C$4:$C$23,0.75)</x:f>
        <x:v>44.827554308122195</x:v>
      </x:c>
      <x:c r="J595" s="102" t="n">
        <x:f>XLOOKUP(C595,'Reference Tables'!$E$4:$E$12,'Reference Tables'!$F$4:$F$12,0.05)</x:f>
        <x:v>0.09</x:v>
      </x:c>
      <x:c r="K595" s="103" t="n">
        <x:f>MIN(I595,F595*J595)</x:f>
        <x:v>21.369067201965027</x:v>
      </x:c>
      <x:c r="L595" s="103" t="n">
        <x:f>'Inputs &amp; Guide'!$B$5</x:f>
        <x:v>15</x:v>
      </x:c>
      <x:c r="M595" s="103" t="n">
        <x:f>I595*'Inputs &amp; Guide'!$B$6</x:f>
        <x:v>24.65515486946721</x:v>
      </x:c>
      <x:c r="N595" s="103" t="n">
        <x:f>MAX(0,MIN(K595-L595,M595))</x:f>
        <x:v>6.369067201965027</x:v>
      </x:c>
      <x:c r="O595" s="103" t="n">
        <x:f>MAX(0,N595-'Inputs &amp; Guide'!$B$7)</x:f>
        <x:v>0</x:v>
      </x:c>
      <x:c r="P595" s="103" t="n">
        <x:f>N595-O595</x:f>
        <x:v>6.369067201965027</x:v>
      </x:c>
      <x:c r="Q595" s="103" t="n">
        <x:f>I595*'Inputs &amp; Guide'!$B$8</x:f>
        <x:v>0.8068959775461995</x:v>
      </x:c>
      <x:c r="R595" s="104" t="n">
        <x:f>IFERROR(P595/Q595,0)</x:f>
        <x:v>7.893294029465355</x:v>
      </x:c>
      <x:c r="S595" s="105" t="n">
        <x:f>ROUND(E595*XLOOKUP(C595,'Reference Tables'!$E$4:$E$12,'Reference Tables'!$G$4:$G$12,1),1)</x:f>
        <x:v>6.3</x:v>
      </x:c>
      <x:c r="T595" s="106" t="str">
        <x:f>IF(R595&gt;='Inputs &amp; Guide'!$B$9,"HIGH",IF(R595&gt;=0.45,"WATCH","NORMAL"))</x:f>
        <x:v>HIGH</x:v>
      </x:c>
    </x:row>
    <x:row r="596">
      <x:c r="A596" s="95" t="n">
        <x:v>4737</x:v>
      </x:c>
      <x:c r="B596" s="96" t="n">
        <x:v>45489.104166666664</x:v>
      </x:c>
      <x:c r="C596" s="97" t="str">
        <x:v>Flood</x:v>
      </x:c>
      <x:c r="D596" s="97" t="str">
        <x:v>India</x:v>
      </x:c>
      <x:c r="E596" s="98" t="n">
        <x:v>9.821207517026327</x:v>
      </x:c>
      <x:c r="F596" s="99" t="n">
        <x:v>86.16876770215708</x:v>
      </x:c>
      <x:c r="G596" s="100" t="str">
        <x:f>XLOOKUP(D596,'Reference Tables'!$A$4:$A$23,'Reference Tables'!$B$4:$B$23,"Other")</x:f>
        <x:v>Asia Pacific</x:v>
      </x:c>
      <x:c r="H596" s="100" t="str">
        <x:f>VLOOKUP(G596,'Reference Tables'!$I$4:$J$9,2,FALSE)</x:f>
        <x:v>High</x:v>
      </x:c>
      <x:c r="I596" s="101" t="n">
        <x:f>F596*'Inputs &amp; Guide'!$B$4*XLOOKUP(D596,'Reference Tables'!$A$4:$A$23,'Reference Tables'!$C$4:$C$23,0.75)</x:f>
        <x:v>12.546172577434072</x:v>
      </x:c>
      <x:c r="J596" s="102" t="n">
        <x:f>XLOOKUP(C596,'Reference Tables'!$E$4:$E$12,'Reference Tables'!$F$4:$F$12,0.05)</x:f>
        <x:v>0.12</x:v>
      </x:c>
      <x:c r="K596" s="103" t="n">
        <x:f>MIN(I596,F596*J596)</x:f>
        <x:v>10.34025212425885</x:v>
      </x:c>
      <x:c r="L596" s="103" t="n">
        <x:f>'Inputs &amp; Guide'!$B$5</x:f>
        <x:v>15</x:v>
      </x:c>
      <x:c r="M596" s="103" t="n">
        <x:f>I596*'Inputs &amp; Guide'!$B$6</x:f>
        <x:v>6.9003949175887405</x:v>
      </x:c>
      <x:c r="N596" s="103" t="n">
        <x:f>MAX(0,MIN(K596-L596,M596))</x:f>
        <x:v>0</x:v>
      </x:c>
      <x:c r="O596" s="103" t="n">
        <x:f>MAX(0,N596-'Inputs &amp; Guide'!$B$7)</x:f>
        <x:v>0</x:v>
      </x:c>
      <x:c r="P596" s="103" t="n">
        <x:f>N596-O596</x:f>
        <x:v>0</x:v>
      </x:c>
      <x:c r="Q596" s="103" t="n">
        <x:f>I596*'Inputs &amp; Guide'!$B$8</x:f>
        <x:v>0.2258311063938133</x:v>
      </x:c>
      <x:c r="R596" s="104" t="n">
        <x:f>IFERROR(P596/Q596,0)</x:f>
        <x:v>0</x:v>
      </x:c>
      <x:c r="S596" s="105" t="n">
        <x:f>ROUND(E596*XLOOKUP(C596,'Reference Tables'!$E$4:$E$12,'Reference Tables'!$G$4:$G$12,1),1)</x:f>
        <x:v>12.3</x:v>
      </x:c>
      <x:c r="T596" s="106" t="str">
        <x:f>IF(R596&gt;='Inputs &amp; Guide'!$B$9,"HIGH",IF(R596&gt;=0.45,"WATCH","NORMAL"))</x:f>
        <x:v>NORMAL</x:v>
      </x:c>
    </x:row>
    <x:row r="597">
      <x:c r="A597" s="95" t="n">
        <x:v>4745</x:v>
      </x:c>
      <x:c r="B597" s="96" t="n">
        <x:v>45489.4375</x:v>
      </x:c>
      <x:c r="C597" s="97" t="str">
        <x:v>Flood</x:v>
      </x:c>
      <x:c r="D597" s="97" t="str">
        <x:v>Indonesia</x:v>
      </x:c>
      <x:c r="E597" s="98" t="n">
        <x:v>6.93428657979561</x:v>
      </x:c>
      <x:c r="F597" s="99" t="n">
        <x:v>459.1886964616556</x:v>
      </x:c>
      <x:c r="G597" s="100" t="str">
        <x:f>XLOOKUP(D597,'Reference Tables'!$A$4:$A$23,'Reference Tables'!$B$4:$B$23,"Other")</x:f>
        <x:v>Asia Pacific</x:v>
      </x:c>
      <x:c r="H597" s="100" t="str">
        <x:f>VLOOKUP(G597,'Reference Tables'!$I$4:$J$9,2,FALSE)</x:f>
        <x:v>High</x:v>
      </x:c>
      <x:c r="I597" s="101" t="n">
        <x:f>F597*'Inputs &amp; Guide'!$B$4*XLOOKUP(D597,'Reference Tables'!$A$4:$A$23,'Reference Tables'!$C$4:$C$23,0.75)</x:f>
        <x:v>75.67429717688084</x:v>
      </x:c>
      <x:c r="J597" s="102" t="n">
        <x:f>XLOOKUP(C597,'Reference Tables'!$E$4:$E$12,'Reference Tables'!$F$4:$F$12,0.05)</x:f>
        <x:v>0.12</x:v>
      </x:c>
      <x:c r="K597" s="103" t="n">
        <x:f>MIN(I597,F597*J597)</x:f>
        <x:v>55.102643575398666</x:v>
      </x:c>
      <x:c r="L597" s="103" t="n">
        <x:f>'Inputs &amp; Guide'!$B$5</x:f>
        <x:v>15</x:v>
      </x:c>
      <x:c r="M597" s="103" t="n">
        <x:f>I597*'Inputs &amp; Guide'!$B$6</x:f>
        <x:v>41.620863447284464</x:v>
      </x:c>
      <x:c r="N597" s="103" t="n">
        <x:f>MAX(0,MIN(K597-L597,M597))</x:f>
        <x:v>40.102643575398666</x:v>
      </x:c>
      <x:c r="O597" s="103" t="n">
        <x:f>MAX(0,N597-'Inputs &amp; Guide'!$B$7)</x:f>
        <x:v>0</x:v>
      </x:c>
      <x:c r="P597" s="103" t="n">
        <x:f>N597-O597</x:f>
        <x:v>40.102643575398666</x:v>
      </x:c>
      <x:c r="Q597" s="103" t="n">
        <x:f>I597*'Inputs &amp; Guide'!$B$8</x:f>
        <x:v>1.362137349183855</x:v>
      </x:c>
      <x:c r="R597" s="104" t="n">
        <x:f>IFERROR(P597/Q597,0)</x:f>
        <x:v>29.44096907659625</x:v>
      </x:c>
      <x:c r="S597" s="105" t="n">
        <x:f>ROUND(E597*XLOOKUP(C597,'Reference Tables'!$E$4:$E$12,'Reference Tables'!$G$4:$G$12,1),1)</x:f>
        <x:v>8.7</x:v>
      </x:c>
      <x:c r="T597" s="106" t="str">
        <x:f>IF(R597&gt;='Inputs &amp; Guide'!$B$9,"HIGH",IF(R597&gt;=0.45,"WATCH","NORMAL"))</x:f>
        <x:v>HIGH</x:v>
      </x:c>
    </x:row>
    <x:row r="598">
      <x:c r="A598" s="95" t="n">
        <x:v>4753</x:v>
      </x:c>
      <x:c r="B598" s="96" t="n">
        <x:v>45490</x:v>
      </x:c>
      <x:c r="C598" s="97" t="str">
        <x:v>Flood</x:v>
      </x:c>
      <x:c r="D598" s="97" t="str">
        <x:v>Indonesia</x:v>
      </x:c>
      <x:c r="E598" s="98" t="n">
        <x:v>5.69612628605212</x:v>
      </x:c>
      <x:c r="F598" s="99" t="n">
        <x:v>85.79214933916289</x:v>
      </x:c>
      <x:c r="G598" s="100" t="str">
        <x:f>XLOOKUP(D598,'Reference Tables'!$A$4:$A$23,'Reference Tables'!$B$4:$B$23,"Other")</x:f>
        <x:v>Asia Pacific</x:v>
      </x:c>
      <x:c r="H598" s="100" t="str">
        <x:f>VLOOKUP(G598,'Reference Tables'!$I$4:$J$9,2,FALSE)</x:f>
        <x:v>High</x:v>
      </x:c>
      <x:c r="I598" s="101" t="n">
        <x:f>F598*'Inputs &amp; Guide'!$B$4*XLOOKUP(D598,'Reference Tables'!$A$4:$A$23,'Reference Tables'!$C$4:$C$23,0.75)</x:f>
        <x:v>14.138546211094045</x:v>
      </x:c>
      <x:c r="J598" s="102" t="n">
        <x:f>XLOOKUP(C598,'Reference Tables'!$E$4:$E$12,'Reference Tables'!$F$4:$F$12,0.05)</x:f>
        <x:v>0.12</x:v>
      </x:c>
      <x:c r="K598" s="103" t="n">
        <x:f>MIN(I598,F598*J598)</x:f>
        <x:v>10.295057920699547</x:v>
      </x:c>
      <x:c r="L598" s="103" t="n">
        <x:f>'Inputs &amp; Guide'!$B$5</x:f>
        <x:v>15</x:v>
      </x:c>
      <x:c r="M598" s="103" t="n">
        <x:f>I598*'Inputs &amp; Guide'!$B$6</x:f>
        <x:v>7.776200416101726</x:v>
      </x:c>
      <x:c r="N598" s="103" t="n">
        <x:f>MAX(0,MIN(K598-L598,M598))</x:f>
        <x:v>0</x:v>
      </x:c>
      <x:c r="O598" s="103" t="n">
        <x:f>MAX(0,N598-'Inputs &amp; Guide'!$B$7)</x:f>
        <x:v>0</x:v>
      </x:c>
      <x:c r="P598" s="103" t="n">
        <x:f>N598-O598</x:f>
        <x:v>0</x:v>
      </x:c>
      <x:c r="Q598" s="103" t="n">
        <x:f>I598*'Inputs &amp; Guide'!$B$8</x:f>
        <x:v>0.2544938317996928</x:v>
      </x:c>
      <x:c r="R598" s="104" t="n">
        <x:f>IFERROR(P598/Q598,0)</x:f>
        <x:v>0</x:v>
      </x:c>
      <x:c r="S598" s="105" t="n">
        <x:f>ROUND(E598*XLOOKUP(C598,'Reference Tables'!$E$4:$E$12,'Reference Tables'!$G$4:$G$12,1),1)</x:f>
        <x:v>7.1</x:v>
      </x:c>
      <x:c r="T598" s="106" t="str">
        <x:f>IF(R598&gt;='Inputs &amp; Guide'!$B$9,"HIGH",IF(R598&gt;=0.45,"WATCH","NORMAL"))</x:f>
        <x:v>NORMAL</x:v>
      </x:c>
    </x:row>
    <x:row r="599">
      <x:c r="A599" s="95" t="n">
        <x:v>4761</x:v>
      </x:c>
      <x:c r="B599" s="96" t="n">
        <x:v>45490.104166666664</x:v>
      </x:c>
      <x:c r="C599" s="97" t="str">
        <x:v>Hurricane</x:v>
      </x:c>
      <x:c r="D599" s="97" t="str">
        <x:v>Japan</x:v>
      </x:c>
      <x:c r="E599" s="98" t="n">
        <x:v>9.698686824111496</x:v>
      </x:c>
      <x:c r="F599" s="99" t="n">
        <x:v>59.291882251835936</x:v>
      </x:c>
      <x:c r="G599" s="100" t="str">
        <x:f>XLOOKUP(D599,'Reference Tables'!$A$4:$A$23,'Reference Tables'!$B$4:$B$23,"Other")</x:f>
        <x:v>Asia Pacific</x:v>
      </x:c>
      <x:c r="H599" s="100" t="str">
        <x:f>VLOOKUP(G599,'Reference Tables'!$I$4:$J$9,2,FALSE)</x:f>
        <x:v>High</x:v>
      </x:c>
      <x:c r="I599" s="101" t="n">
        <x:f>F599*'Inputs &amp; Guide'!$B$4*XLOOKUP(D599,'Reference Tables'!$A$4:$A$23,'Reference Tables'!$C$4:$C$23,0.75)</x:f>
        <x:v>11.194307369146625</x:v>
      </x:c>
      <x:c r="J599" s="102" t="n">
        <x:f>XLOOKUP(C599,'Reference Tables'!$E$4:$E$12,'Reference Tables'!$F$4:$F$12,0.05)</x:f>
        <x:v>0.18</x:v>
      </x:c>
      <x:c r="K599" s="103" t="n">
        <x:f>MIN(I599,F599*J599)</x:f>
        <x:v>10.672538805330468</x:v>
      </x:c>
      <x:c r="L599" s="103" t="n">
        <x:f>'Inputs &amp; Guide'!$B$5</x:f>
        <x:v>15</x:v>
      </x:c>
      <x:c r="M599" s="103" t="n">
        <x:f>I599*'Inputs &amp; Guide'!$B$6</x:f>
        <x:v>6.156869053030644</x:v>
      </x:c>
      <x:c r="N599" s="103" t="n">
        <x:f>MAX(0,MIN(K599-L599,M599))</x:f>
        <x:v>0</x:v>
      </x:c>
      <x:c r="O599" s="103" t="n">
        <x:f>MAX(0,N599-'Inputs &amp; Guide'!$B$7)</x:f>
        <x:v>0</x:v>
      </x:c>
      <x:c r="P599" s="103" t="n">
        <x:f>N599-O599</x:f>
        <x:v>0</x:v>
      </x:c>
      <x:c r="Q599" s="103" t="n">
        <x:f>I599*'Inputs &amp; Guide'!$B$8</x:f>
        <x:v>0.20149753264463924</x:v>
      </x:c>
      <x:c r="R599" s="104" t="n">
        <x:f>IFERROR(P599/Q599,0)</x:f>
        <x:v>0</x:v>
      </x:c>
      <x:c r="S599" s="105" t="n">
        <x:f>ROUND(E599*XLOOKUP(C599,'Reference Tables'!$E$4:$E$12,'Reference Tables'!$G$4:$G$12,1),1)</x:f>
        <x:v>13.6</x:v>
      </x:c>
      <x:c r="T599" s="106" t="str">
        <x:f>IF(R599&gt;='Inputs &amp; Guide'!$B$9,"HIGH",IF(R599&gt;=0.45,"WATCH","NORMAL"))</x:f>
        <x:v>NORMAL</x:v>
      </x:c>
    </x:row>
    <x:row r="600">
      <x:c r="A600" s="95" t="n">
        <x:v>4769</x:v>
      </x:c>
      <x:c r="B600" s="96" t="n">
        <x:v>45490.4375</x:v>
      </x:c>
      <x:c r="C600" s="97" t="str">
        <x:v>Tornado</x:v>
      </x:c>
      <x:c r="D600" s="97" t="str">
        <x:v>Japan</x:v>
      </x:c>
      <x:c r="E600" s="98" t="n">
        <x:v>7.687444455793413</x:v>
      </x:c>
      <x:c r="F600" s="99" t="n">
        <x:v>656.2511680270093</x:v>
      </x:c>
      <x:c r="G600" s="100" t="str">
        <x:f>XLOOKUP(D600,'Reference Tables'!$A$4:$A$23,'Reference Tables'!$B$4:$B$23,"Other")</x:f>
        <x:v>Asia Pacific</x:v>
      </x:c>
      <x:c r="H600" s="100" t="str">
        <x:f>VLOOKUP(G600,'Reference Tables'!$I$4:$J$9,2,FALSE)</x:f>
        <x:v>High</x:v>
      </x:c>
      <x:c r="I600" s="101" t="n">
        <x:f>F600*'Inputs &amp; Guide'!$B$4*XLOOKUP(D600,'Reference Tables'!$A$4:$A$23,'Reference Tables'!$C$4:$C$23,0.75)</x:f>
        <x:v>123.90022052349934</x:v>
      </x:c>
      <x:c r="J600" s="102" t="n">
        <x:f>XLOOKUP(C600,'Reference Tables'!$E$4:$E$12,'Reference Tables'!$F$4:$F$12,0.05)</x:f>
        <x:v>0.09</x:v>
      </x:c>
      <x:c r="K600" s="103" t="n">
        <x:f>MIN(I600,F600*J600)</x:f>
        <x:v>59.06260512243083</x:v>
      </x:c>
      <x:c r="L600" s="103" t="n">
        <x:f>'Inputs &amp; Guide'!$B$5</x:f>
        <x:v>15</x:v>
      </x:c>
      <x:c r="M600" s="103" t="n">
        <x:f>I600*'Inputs &amp; Guide'!$B$6</x:f>
        <x:v>68.14512128792464</x:v>
      </x:c>
      <x:c r="N600" s="103" t="n">
        <x:f>MAX(0,MIN(K600-L600,M600))</x:f>
        <x:v>44.06260512243083</x:v>
      </x:c>
      <x:c r="O600" s="103" t="n">
        <x:f>MAX(0,N600-'Inputs &amp; Guide'!$B$7)</x:f>
        <x:v>0</x:v>
      </x:c>
      <x:c r="P600" s="103" t="n">
        <x:f>N600-O600</x:f>
        <x:v>44.06260512243083</x:v>
      </x:c>
      <x:c r="Q600" s="103" t="n">
        <x:f>I600*'Inputs &amp; Guide'!$B$8</x:f>
        <x:v>2.230203969422988</x:v>
      </x:c>
      <x:c r="R600" s="104" t="n">
        <x:f>IFERROR(P600/Q600,0)</x:f>
        <x:v>19.757208634971168</x:v>
      </x:c>
      <x:c r="S600" s="105" t="n">
        <x:f>ROUND(E600*XLOOKUP(C600,'Reference Tables'!$E$4:$E$12,'Reference Tables'!$G$4:$G$12,1),1)</x:f>
        <x:v>8.1</x:v>
      </x:c>
      <x:c r="T600" s="106" t="str">
        <x:f>IF(R600&gt;='Inputs &amp; Guide'!$B$9,"HIGH",IF(R600&gt;=0.45,"WATCH","NORMAL"))</x:f>
        <x:v>HIGH</x:v>
      </x:c>
    </x:row>
    <x:row r="601">
      <x:c r="A601" s="95" t="n">
        <x:v>4777</x:v>
      </x:c>
      <x:c r="B601" s="96" t="n">
        <x:v>45491</x:v>
      </x:c>
      <x:c r="C601" s="97" t="str">
        <x:v>Wildfire</x:v>
      </x:c>
      <x:c r="D601" s="97" t="str">
        <x:v>India</x:v>
      </x:c>
      <x:c r="E601" s="98" t="n">
        <x:v>5.096281413917927</x:v>
      </x:c>
      <x:c r="F601" s="99" t="n">
        <x:v>5.246115366222743</x:v>
      </x:c>
      <x:c r="G601" s="100" t="str">
        <x:f>XLOOKUP(D601,'Reference Tables'!$A$4:$A$23,'Reference Tables'!$B$4:$B$23,"Other")</x:f>
        <x:v>Asia Pacific</x:v>
      </x:c>
      <x:c r="H601" s="100" t="str">
        <x:f>VLOOKUP(G601,'Reference Tables'!$I$4:$J$9,2,FALSE)</x:f>
        <x:v>High</x:v>
      </x:c>
      <x:c r="I601" s="101" t="n">
        <x:f>F601*'Inputs &amp; Guide'!$B$4*XLOOKUP(D601,'Reference Tables'!$A$4:$A$23,'Reference Tables'!$C$4:$C$23,0.75)</x:f>
        <x:v>0.7638343973220315</x:v>
      </x:c>
      <x:c r="J601" s="102" t="n">
        <x:f>XLOOKUP(C601,'Reference Tables'!$E$4:$E$12,'Reference Tables'!$F$4:$F$12,0.05)</x:f>
        <x:v>0.1</x:v>
      </x:c>
      <x:c r="K601" s="103" t="n">
        <x:f>MIN(I601,F601*J601)</x:f>
        <x:v>0.5246115366222743</x:v>
      </x:c>
      <x:c r="L601" s="103" t="n">
        <x:f>'Inputs &amp; Guide'!$B$5</x:f>
        <x:v>15</x:v>
      </x:c>
      <x:c r="M601" s="103" t="n">
        <x:f>I601*'Inputs &amp; Guide'!$B$6</x:f>
        <x:v>0.42010891852711735</x:v>
      </x:c>
      <x:c r="N601" s="103" t="n">
        <x:f>MAX(0,MIN(K601-L601,M601))</x:f>
        <x:v>0</x:v>
      </x:c>
      <x:c r="O601" s="103" t="n">
        <x:f>MAX(0,N601-'Inputs &amp; Guide'!$B$7)</x:f>
        <x:v>0</x:v>
      </x:c>
      <x:c r="P601" s="103" t="n">
        <x:f>N601-O601</x:f>
        <x:v>0</x:v>
      </x:c>
      <x:c r="Q601" s="103" t="n">
        <x:f>I601*'Inputs &amp; Guide'!$B$8</x:f>
        <x:v>0.013749019151796566</x:v>
      </x:c>
      <x:c r="R601" s="104" t="n">
        <x:f>IFERROR(P601/Q601,0)</x:f>
        <x:v>0</x:v>
      </x:c>
      <x:c r="S601" s="105" t="n">
        <x:f>ROUND(E601*XLOOKUP(C601,'Reference Tables'!$E$4:$E$12,'Reference Tables'!$G$4:$G$12,1),1)</x:f>
        <x:v>5.9</x:v>
      </x:c>
      <x:c r="T601" s="106" t="str">
        <x:f>IF(R601&gt;='Inputs &amp; Guide'!$B$9,"HIGH",IF(R601&gt;=0.45,"WATCH","NORMAL"))</x:f>
        <x:v>NORMAL</x:v>
      </x:c>
    </x:row>
    <x:row r="602">
      <x:c r="A602" s="95" t="n">
        <x:v>4785</x:v>
      </x:c>
      <x:c r="B602" s="96" t="n">
        <x:v>45491.104166666664</x:v>
      </x:c>
      <x:c r="C602" s="97" t="str">
        <x:v>Earthquake</x:v>
      </x:c>
      <x:c r="D602" s="97" t="str">
        <x:v>India</x:v>
      </x:c>
      <x:c r="E602" s="98" t="n">
        <x:v>9.328412051654668</x:v>
      </x:c>
      <x:c r="F602" s="99" t="n">
        <x:v>333.26691889640057</x:v>
      </x:c>
      <x:c r="G602" s="100" t="str">
        <x:f>XLOOKUP(D602,'Reference Tables'!$A$4:$A$23,'Reference Tables'!$B$4:$B$23,"Other")</x:f>
        <x:v>Asia Pacific</x:v>
      </x:c>
      <x:c r="H602" s="100" t="str">
        <x:f>VLOOKUP(G602,'Reference Tables'!$I$4:$J$9,2,FALSE)</x:f>
        <x:v>High</x:v>
      </x:c>
      <x:c r="I602" s="101" t="n">
        <x:f>F602*'Inputs &amp; Guide'!$B$4*XLOOKUP(D602,'Reference Tables'!$A$4:$A$23,'Reference Tables'!$C$4:$C$23,0.75)</x:f>
        <x:v>48.52366339131593</x:v>
      </x:c>
      <x:c r="J602" s="102" t="n">
        <x:f>XLOOKUP(C602,'Reference Tables'!$E$4:$E$12,'Reference Tables'!$F$4:$F$12,0.05)</x:f>
        <x:v>0.14</x:v>
      </x:c>
      <x:c r="K602" s="103" t="n">
        <x:f>MIN(I602,F602*J602)</x:f>
        <x:v>46.657368645496085</x:v>
      </x:c>
      <x:c r="L602" s="103" t="n">
        <x:f>'Inputs &amp; Guide'!$B$5</x:f>
        <x:v>15</x:v>
      </x:c>
      <x:c r="M602" s="103" t="n">
        <x:f>I602*'Inputs &amp; Guide'!$B$6</x:f>
        <x:v>26.688014865223764</x:v>
      </x:c>
      <x:c r="N602" s="103" t="n">
        <x:f>MAX(0,MIN(K602-L602,M602))</x:f>
        <x:v>26.688014865223764</x:v>
      </x:c>
      <x:c r="O602" s="103" t="n">
        <x:f>MAX(0,N602-'Inputs &amp; Guide'!$B$7)</x:f>
        <x:v>0</x:v>
      </x:c>
      <x:c r="P602" s="103" t="n">
        <x:f>N602-O602</x:f>
        <x:v>26.688014865223764</x:v>
      </x:c>
      <x:c r="Q602" s="103" t="n">
        <x:f>I602*'Inputs &amp; Guide'!$B$8</x:f>
        <x:v>0.8734259410436866</x:v>
      </x:c>
      <x:c r="R602" s="104" t="n">
        <x:f>IFERROR(P602/Q602,0)</x:f>
        <x:v>30.55555555555556</x:v>
      </x:c>
      <x:c r="S602" s="105" t="n">
        <x:f>ROUND(E602*XLOOKUP(C602,'Reference Tables'!$E$4:$E$12,'Reference Tables'!$G$4:$G$12,1),1)</x:f>
        <x:v>14</x:v>
      </x:c>
      <x:c r="T602" s="106" t="str">
        <x:f>IF(R602&gt;='Inputs &amp; Guide'!$B$9,"HIGH",IF(R602&gt;=0.45,"WATCH","NORMAL"))</x:f>
        <x:v>HIGH</x:v>
      </x:c>
    </x:row>
    <x:row r="603">
      <x:c r="A603" s="95" t="n">
        <x:v>4793</x:v>
      </x:c>
      <x:c r="B603" s="96" t="n">
        <x:v>45491.4375</x:v>
      </x:c>
      <x:c r="C603" s="97" t="str">
        <x:v>Earthquake</x:v>
      </x:c>
      <x:c r="D603" s="97" t="str">
        <x:v>India</x:v>
      </x:c>
      <x:c r="E603" s="98" t="n">
        <x:v>2.8587699928733654</x:v>
      </x:c>
      <x:c r="F603" s="99" t="n">
        <x:v>544.1503709115176</x:v>
      </x:c>
      <x:c r="G603" s="100" t="str">
        <x:f>XLOOKUP(D603,'Reference Tables'!$A$4:$A$23,'Reference Tables'!$B$4:$B$23,"Other")</x:f>
        <x:v>Asia Pacific</x:v>
      </x:c>
      <x:c r="H603" s="100" t="str">
        <x:f>VLOOKUP(G603,'Reference Tables'!$I$4:$J$9,2,FALSE)</x:f>
        <x:v>High</x:v>
      </x:c>
      <x:c r="I603" s="101" t="n">
        <x:f>F603*'Inputs &amp; Guide'!$B$4*XLOOKUP(D603,'Reference Tables'!$A$4:$A$23,'Reference Tables'!$C$4:$C$23,0.75)</x:f>
        <x:v>79.22829400471697</x:v>
      </x:c>
      <x:c r="J603" s="102" t="n">
        <x:f>XLOOKUP(C603,'Reference Tables'!$E$4:$E$12,'Reference Tables'!$F$4:$F$12,0.05)</x:f>
        <x:v>0.14</x:v>
      </x:c>
      <x:c r="K603" s="103" t="n">
        <x:f>MIN(I603,F603*J603)</x:f>
        <x:v>76.18105192761247</x:v>
      </x:c>
      <x:c r="L603" s="103" t="n">
        <x:f>'Inputs &amp; Guide'!$B$5</x:f>
        <x:v>15</x:v>
      </x:c>
      <x:c r="M603" s="103" t="n">
        <x:f>I603*'Inputs &amp; Guide'!$B$6</x:f>
        <x:v>43.575561702594335</x:v>
      </x:c>
      <x:c r="N603" s="103" t="n">
        <x:f>MAX(0,MIN(K603-L603,M603))</x:f>
        <x:v>43.575561702594335</x:v>
      </x:c>
      <x:c r="O603" s="103" t="n">
        <x:f>MAX(0,N603-'Inputs &amp; Guide'!$B$7)</x:f>
        <x:v>0</x:v>
      </x:c>
      <x:c r="P603" s="103" t="n">
        <x:f>N603-O603</x:f>
        <x:v>43.575561702594335</x:v>
      </x:c>
      <x:c r="Q603" s="103" t="n">
        <x:f>I603*'Inputs &amp; Guide'!$B$8</x:f>
        <x:v>1.4261092920849054</x:v>
      </x:c>
      <x:c r="R603" s="104" t="n">
        <x:f>IFERROR(P603/Q603,0)</x:f>
        <x:v>30.555555555555557</x:v>
      </x:c>
      <x:c r="S603" s="105" t="n">
        <x:f>ROUND(E603*XLOOKUP(C603,'Reference Tables'!$E$4:$E$12,'Reference Tables'!$G$4:$G$12,1),1)</x:f>
        <x:v>4.3</x:v>
      </x:c>
      <x:c r="T603" s="106" t="str">
        <x:f>IF(R603&gt;='Inputs &amp; Guide'!$B$9,"HIGH",IF(R603&gt;=0.45,"WATCH","NORMAL"))</x:f>
        <x:v>HIGH</x:v>
      </x:c>
    </x:row>
    <x:row r="604">
      <x:c r="A604" s="95" t="n">
        <x:v>4801</x:v>
      </x:c>
      <x:c r="B604" s="96" t="n">
        <x:v>45492</x:v>
      </x:c>
      <x:c r="C604" s="97" t="str">
        <x:v>Wildfire</x:v>
      </x:c>
      <x:c r="D604" s="97" t="str">
        <x:v>India</x:v>
      </x:c>
      <x:c r="E604" s="98" t="n">
        <x:v>7.616230427845879</x:v>
      </x:c>
      <x:c r="F604" s="99" t="n">
        <x:v>436.9288362459366</x:v>
      </x:c>
      <x:c r="G604" s="100" t="str">
        <x:f>XLOOKUP(D604,'Reference Tables'!$A$4:$A$23,'Reference Tables'!$B$4:$B$23,"Other")</x:f>
        <x:v>Asia Pacific</x:v>
      </x:c>
      <x:c r="H604" s="100" t="str">
        <x:f>VLOOKUP(G604,'Reference Tables'!$I$4:$J$9,2,FALSE)</x:f>
        <x:v>High</x:v>
      </x:c>
      <x:c r="I604" s="101" t="n">
        <x:f>F604*'Inputs &amp; Guide'!$B$4*XLOOKUP(D604,'Reference Tables'!$A$4:$A$23,'Reference Tables'!$C$4:$C$23,0.75)</x:f>
        <x:v>63.61683855740838</x:v>
      </x:c>
      <x:c r="J604" s="102" t="n">
        <x:f>XLOOKUP(C604,'Reference Tables'!$E$4:$E$12,'Reference Tables'!$F$4:$F$12,0.05)</x:f>
        <x:v>0.1</x:v>
      </x:c>
      <x:c r="K604" s="103" t="n">
        <x:f>MIN(I604,F604*J604)</x:f>
        <x:v>43.69288362459366</x:v>
      </x:c>
      <x:c r="L604" s="103" t="n">
        <x:f>'Inputs &amp; Guide'!$B$5</x:f>
        <x:v>15</x:v>
      </x:c>
      <x:c r="M604" s="103" t="n">
        <x:f>I604*'Inputs &amp; Guide'!$B$6</x:f>
        <x:v>34.98926120657461</x:v>
      </x:c>
      <x:c r="N604" s="103" t="n">
        <x:f>MAX(0,MIN(K604-L604,M604))</x:f>
        <x:v>28.692883624593662</x:v>
      </x:c>
      <x:c r="O604" s="103" t="n">
        <x:f>MAX(0,N604-'Inputs &amp; Guide'!$B$7)</x:f>
        <x:v>0</x:v>
      </x:c>
      <x:c r="P604" s="103" t="n">
        <x:f>N604-O604</x:f>
        <x:v>28.692883624593662</x:v>
      </x:c>
      <x:c r="Q604" s="103" t="n">
        <x:f>I604*'Inputs &amp; Guide'!$B$8</x:f>
        <x:v>1.1451030940333506</x:v>
      </x:c>
      <x:c r="R604" s="104" t="n">
        <x:f>IFERROR(P604/Q604,0)</x:f>
        <x:v>25.057030911976554</x:v>
      </x:c>
      <x:c r="S604" s="105" t="n">
        <x:f>ROUND(E604*XLOOKUP(C604,'Reference Tables'!$E$4:$E$12,'Reference Tables'!$G$4:$G$12,1),1)</x:f>
        <x:v>8.8</x:v>
      </x:c>
      <x:c r="T604" s="106" t="str">
        <x:f>IF(R604&gt;='Inputs &amp; Guide'!$B$9,"HIGH",IF(R604&gt;=0.45,"WATCH","NORMAL"))</x:f>
        <x:v>HIGH</x:v>
      </x:c>
    </x:row>
    <x:row r="605">
      <x:c r="A605" s="95" t="n">
        <x:v>4809</x:v>
      </x:c>
      <x:c r="B605" s="96" t="n">
        <x:v>45492.104166666664</x:v>
      </x:c>
      <x:c r="C605" s="97" t="str">
        <x:v>Flood</x:v>
      </x:c>
      <x:c r="D605" s="97" t="str">
        <x:v>USA</x:v>
      </x:c>
      <x:c r="E605" s="98" t="n">
        <x:v>8.340639142913032</x:v>
      </x:c>
      <x:c r="F605" s="99" t="n">
        <x:v>568.3755054520241</x:v>
      </x:c>
      <x:c r="G605" s="100" t="str">
        <x:f>XLOOKUP(D605,'Reference Tables'!$A$4:$A$23,'Reference Tables'!$B$4:$B$23,"Other")</x:f>
        <x:v>Other</x:v>
      </x:c>
      <x:c r="H605" s="100" t="str">
        <x:f>VLOOKUP(G605,'Reference Tables'!$I$4:$J$9,2,FALSE)</x:f>
        <x:v>Moderate</x:v>
      </x:c>
      <x:c r="I605" s="101" t="n">
        <x:f>F605*'Inputs &amp; Guide'!$B$4*XLOOKUP(D605,'Reference Tables'!$A$4:$A$23,'Reference Tables'!$C$4:$C$23,0.75)</x:f>
        <x:v>68.20506065424289</x:v>
      </x:c>
      <x:c r="J605" s="102" t="n">
        <x:f>XLOOKUP(C605,'Reference Tables'!$E$4:$E$12,'Reference Tables'!$F$4:$F$12,0.05)</x:f>
        <x:v>0.12</x:v>
      </x:c>
      <x:c r="K605" s="103" t="n">
        <x:f>MIN(I605,F605*J605)</x:f>
        <x:v>68.20506065424289</x:v>
      </x:c>
      <x:c r="L605" s="103" t="n">
        <x:f>'Inputs &amp; Guide'!$B$5</x:f>
        <x:v>15</x:v>
      </x:c>
      <x:c r="M605" s="103" t="n">
        <x:f>I605*'Inputs &amp; Guide'!$B$6</x:f>
        <x:v>37.51278335983359</x:v>
      </x:c>
      <x:c r="N605" s="103" t="n">
        <x:f>MAX(0,MIN(K605-L605,M605))</x:f>
        <x:v>37.51278335983359</x:v>
      </x:c>
      <x:c r="O605" s="103" t="n">
        <x:f>MAX(0,N605-'Inputs &amp; Guide'!$B$7)</x:f>
        <x:v>0</x:v>
      </x:c>
      <x:c r="P605" s="103" t="n">
        <x:f>N605-O605</x:f>
        <x:v>37.51278335983359</x:v>
      </x:c>
      <x:c r="Q605" s="103" t="n">
        <x:f>I605*'Inputs &amp; Guide'!$B$8</x:f>
        <x:v>1.227691091776372</x:v>
      </x:c>
      <x:c r="R605" s="104" t="n">
        <x:f>IFERROR(P605/Q605,0)</x:f>
        <x:v>30.55555555555556</x:v>
      </x:c>
      <x:c r="S605" s="105" t="n">
        <x:f>ROUND(E605*XLOOKUP(C605,'Reference Tables'!$E$4:$E$12,'Reference Tables'!$G$4:$G$12,1),1)</x:f>
        <x:v>10.4</x:v>
      </x:c>
      <x:c r="T605" s="106" t="str">
        <x:f>IF(R605&gt;='Inputs &amp; Guide'!$B$9,"HIGH",IF(R605&gt;=0.45,"WATCH","NORMAL"))</x:f>
        <x:v>HIGH</x:v>
      </x:c>
    </x:row>
    <x:row r="606">
      <x:c r="A606" s="95" t="n">
        <x:v>4817</x:v>
      </x:c>
      <x:c r="B606" s="96" t="n">
        <x:v>45492.4375</x:v>
      </x:c>
      <x:c r="C606" s="97" t="str">
        <x:v>Flood</x:v>
      </x:c>
      <x:c r="D606" s="97" t="str">
        <x:v>Indonesia</x:v>
      </x:c>
      <x:c r="E606" s="98" t="n">
        <x:v>7.247625486501808</x:v>
      </x:c>
      <x:c r="F606" s="99" t="n">
        <x:v>616.2272579500583</x:v>
      </x:c>
      <x:c r="G606" s="100" t="str">
        <x:f>XLOOKUP(D606,'Reference Tables'!$A$4:$A$23,'Reference Tables'!$B$4:$B$23,"Other")</x:f>
        <x:v>Asia Pacific</x:v>
      </x:c>
      <x:c r="H606" s="100" t="str">
        <x:f>VLOOKUP(G606,'Reference Tables'!$I$4:$J$9,2,FALSE)</x:f>
        <x:v>High</x:v>
      </x:c>
      <x:c r="I606" s="101" t="n">
        <x:f>F606*'Inputs &amp; Guide'!$B$4*XLOOKUP(D606,'Reference Tables'!$A$4:$A$23,'Reference Tables'!$C$4:$C$23,0.75)</x:f>
        <x:v>101.55425211016961</x:v>
      </x:c>
      <x:c r="J606" s="102" t="n">
        <x:f>XLOOKUP(C606,'Reference Tables'!$E$4:$E$12,'Reference Tables'!$F$4:$F$12,0.05)</x:f>
        <x:v>0.12</x:v>
      </x:c>
      <x:c r="K606" s="103" t="n">
        <x:f>MIN(I606,F606*J606)</x:f>
        <x:v>73.947270954007</x:v>
      </x:c>
      <x:c r="L606" s="103" t="n">
        <x:f>'Inputs &amp; Guide'!$B$5</x:f>
        <x:v>15</x:v>
      </x:c>
      <x:c r="M606" s="103" t="n">
        <x:f>I606*'Inputs &amp; Guide'!$B$6</x:f>
        <x:v>55.854838660593295</x:v>
      </x:c>
      <x:c r="N606" s="103" t="n">
        <x:f>MAX(0,MIN(K606-L606,M606))</x:f>
        <x:v>55.854838660593295</x:v>
      </x:c>
      <x:c r="O606" s="103" t="n">
        <x:f>MAX(0,N606-'Inputs &amp; Guide'!$B$7)</x:f>
        <x:v>0</x:v>
      </x:c>
      <x:c r="P606" s="103" t="n">
        <x:f>N606-O606</x:f>
        <x:v>55.854838660593295</x:v>
      </x:c>
      <x:c r="Q606" s="103" t="n">
        <x:f>I606*'Inputs &amp; Guide'!$B$8</x:f>
        <x:v>1.8279765379830528</x:v>
      </x:c>
      <x:c r="R606" s="104" t="n">
        <x:f>IFERROR(P606/Q606,0)</x:f>
        <x:v>30.555555555555564</x:v>
      </x:c>
      <x:c r="S606" s="105" t="n">
        <x:f>ROUND(E606*XLOOKUP(C606,'Reference Tables'!$E$4:$E$12,'Reference Tables'!$G$4:$G$12,1),1)</x:f>
        <x:v>9.1</x:v>
      </x:c>
      <x:c r="T606" s="106" t="str">
        <x:f>IF(R606&gt;='Inputs &amp; Guide'!$B$9,"HIGH",IF(R606&gt;=0.45,"WATCH","NORMAL"))</x:f>
        <x:v>HIGH</x:v>
      </x:c>
    </x:row>
    <x:row r="607">
      <x:c r="A607" s="95" t="n">
        <x:v>4825</x:v>
      </x:c>
      <x:c r="B607" s="96" t="n">
        <x:v>45493</x:v>
      </x:c>
      <x:c r="C607" s="97" t="str">
        <x:v>Wildfire</x:v>
      </x:c>
      <x:c r="D607" s="97" t="str">
        <x:v>USA</x:v>
      </x:c>
      <x:c r="E607" s="98" t="n">
        <x:v>6.707562428801302</x:v>
      </x:c>
      <x:c r="F607" s="99" t="n">
        <x:v>190.82613122703867</x:v>
      </x:c>
      <x:c r="G607" s="100" t="str">
        <x:f>XLOOKUP(D607,'Reference Tables'!$A$4:$A$23,'Reference Tables'!$B$4:$B$23,"Other")</x:f>
        <x:v>Other</x:v>
      </x:c>
      <x:c r="H607" s="100" t="str">
        <x:f>VLOOKUP(G607,'Reference Tables'!$I$4:$J$9,2,FALSE)</x:f>
        <x:v>Moderate</x:v>
      </x:c>
      <x:c r="I607" s="101" t="n">
        <x:f>F607*'Inputs &amp; Guide'!$B$4*XLOOKUP(D607,'Reference Tables'!$A$4:$A$23,'Reference Tables'!$C$4:$C$23,0.75)</x:f>
        <x:v>22.899135747244642</x:v>
      </x:c>
      <x:c r="J607" s="102" t="n">
        <x:f>XLOOKUP(C607,'Reference Tables'!$E$4:$E$12,'Reference Tables'!$F$4:$F$12,0.05)</x:f>
        <x:v>0.1</x:v>
      </x:c>
      <x:c r="K607" s="103" t="n">
        <x:f>MIN(I607,F607*J607)</x:f>
        <x:v>19.08261312270387</x:v>
      </x:c>
      <x:c r="L607" s="103" t="n">
        <x:f>'Inputs &amp; Guide'!$B$5</x:f>
        <x:v>15</x:v>
      </x:c>
      <x:c r="M607" s="103" t="n">
        <x:f>I607*'Inputs &amp; Guide'!$B$6</x:f>
        <x:v>12.594524660984554</x:v>
      </x:c>
      <x:c r="N607" s="103" t="n">
        <x:f>MAX(0,MIN(K607-L607,M607))</x:f>
        <x:v>4.082613122703869</x:v>
      </x:c>
      <x:c r="O607" s="103" t="n">
        <x:f>MAX(0,N607-'Inputs &amp; Guide'!$B$7)</x:f>
        <x:v>0</x:v>
      </x:c>
      <x:c r="P607" s="103" t="n">
        <x:f>N607-O607</x:f>
        <x:v>4.082613122703869</x:v>
      </x:c>
      <x:c r="Q607" s="103" t="n">
        <x:f>I607*'Inputs &amp; Guide'!$B$8</x:f>
        <x:v>0.41218444345040356</x:v>
      </x:c>
      <x:c r="R607" s="104" t="n">
        <x:f>IFERROR(P607/Q607,0)</x:f>
        <x:v>9.904820978997265</x:v>
      </x:c>
      <x:c r="S607" s="105" t="n">
        <x:f>ROUND(E607*XLOOKUP(C607,'Reference Tables'!$E$4:$E$12,'Reference Tables'!$G$4:$G$12,1),1)</x:f>
        <x:v>7.7</x:v>
      </x:c>
      <x:c r="T607" s="106" t="str">
        <x:f>IF(R607&gt;='Inputs &amp; Guide'!$B$9,"HIGH",IF(R607&gt;=0.45,"WATCH","NORMAL"))</x:f>
        <x:v>HIGH</x:v>
      </x:c>
    </x:row>
    <x:row r="608">
      <x:c r="A608" s="95" t="n">
        <x:v>4833</x:v>
      </x:c>
      <x:c r="B608" s="96" t="n">
        <x:v>45493.104166666664</x:v>
      </x:c>
      <x:c r="C608" s="97" t="str">
        <x:v>Flood</x:v>
      </x:c>
      <x:c r="D608" s="97" t="str">
        <x:v>Brazil</x:v>
      </x:c>
      <x:c r="E608" s="98" t="n">
        <x:v>2.4901073247370555</x:v>
      </x:c>
      <x:c r="F608" s="99" t="n">
        <x:v>65.12365169017792</x:v>
      </x:c>
      <x:c r="G608" s="100" t="str">
        <x:f>XLOOKUP(D608,'Reference Tables'!$A$4:$A$23,'Reference Tables'!$B$4:$B$23,"Other")</x:f>
        <x:v>Latin America</x:v>
      </x:c>
      <x:c r="H608" s="100" t="str">
        <x:f>VLOOKUP(G608,'Reference Tables'!$I$4:$J$9,2,FALSE)</x:f>
        <x:v>Moderate</x:v>
      </x:c>
      <x:c r="I608" s="101" t="n">
        <x:f>F608*'Inputs &amp; Guide'!$B$4*XLOOKUP(D608,'Reference Tables'!$A$4:$A$23,'Reference Tables'!$C$4:$C$23,0.75)</x:f>
        <x:v>8.544223101751342</x:v>
      </x:c>
      <x:c r="J608" s="102" t="n">
        <x:f>XLOOKUP(C608,'Reference Tables'!$E$4:$E$12,'Reference Tables'!$F$4:$F$12,0.05)</x:f>
        <x:v>0.12</x:v>
      </x:c>
      <x:c r="K608" s="103" t="n">
        <x:f>MIN(I608,F608*J608)</x:f>
        <x:v>7.814838202821351</x:v>
      </x:c>
      <x:c r="L608" s="103" t="n">
        <x:f>'Inputs &amp; Guide'!$B$5</x:f>
        <x:v>15</x:v>
      </x:c>
      <x:c r="M608" s="103" t="n">
        <x:f>I608*'Inputs &amp; Guide'!$B$6</x:f>
        <x:v>4.6993227059632385</x:v>
      </x:c>
      <x:c r="N608" s="103" t="n">
        <x:f>MAX(0,MIN(K608-L608,M608))</x:f>
        <x:v>0</x:v>
      </x:c>
      <x:c r="O608" s="103" t="n">
        <x:f>MAX(0,N608-'Inputs &amp; Guide'!$B$7)</x:f>
        <x:v>0</x:v>
      </x:c>
      <x:c r="P608" s="103" t="n">
        <x:f>N608-O608</x:f>
        <x:v>0</x:v>
      </x:c>
      <x:c r="Q608" s="103" t="n">
        <x:f>I608*'Inputs &amp; Guide'!$B$8</x:f>
        <x:v>0.15379601583152414</x:v>
      </x:c>
      <x:c r="R608" s="104" t="n">
        <x:f>IFERROR(P608/Q608,0)</x:f>
        <x:v>0</x:v>
      </x:c>
      <x:c r="S608" s="105" t="n">
        <x:f>ROUND(E608*XLOOKUP(C608,'Reference Tables'!$E$4:$E$12,'Reference Tables'!$G$4:$G$12,1),1)</x:f>
        <x:v>3.1</x:v>
      </x:c>
      <x:c r="T608" s="106" t="str">
        <x:f>IF(R608&gt;='Inputs &amp; Guide'!$B$9,"HIGH",IF(R608&gt;=0.45,"WATCH","NORMAL"))</x:f>
        <x:v>NORMAL</x:v>
      </x:c>
    </x:row>
    <x:row r="609">
      <x:c r="A609" s="95" t="n">
        <x:v>4841</x:v>
      </x:c>
      <x:c r="B609" s="96" t="n">
        <x:v>45493.4375</x:v>
      </x:c>
      <x:c r="C609" s="97" t="str">
        <x:v>Wildfire</x:v>
      </x:c>
      <x:c r="D609" s="97" t="str">
        <x:v>China</x:v>
      </x:c>
      <x:c r="E609" s="98" t="n">
        <x:v>9.63089931884119</x:v>
      </x:c>
      <x:c r="F609" s="99" t="n">
        <x:v>81.32538264802615</x:v>
      </x:c>
      <x:c r="G609" s="100" t="str">
        <x:f>XLOOKUP(D609,'Reference Tables'!$A$4:$A$23,'Reference Tables'!$B$4:$B$23,"Other")</x:f>
        <x:v>Asia Pacific</x:v>
      </x:c>
      <x:c r="H609" s="100" t="str">
        <x:f>VLOOKUP(G609,'Reference Tables'!$I$4:$J$9,2,FALSE)</x:f>
        <x:v>High</x:v>
      </x:c>
      <x:c r="I609" s="101" t="n">
        <x:f>F609*'Inputs &amp; Guide'!$B$4*XLOOKUP(D609,'Reference Tables'!$A$4:$A$23,'Reference Tables'!$C$4:$C$23,0.75)</x:f>
        <x:v>14.05302612157892</x:v>
      </x:c>
      <x:c r="J609" s="102" t="n">
        <x:f>XLOOKUP(C609,'Reference Tables'!$E$4:$E$12,'Reference Tables'!$F$4:$F$12,0.05)</x:f>
        <x:v>0.1</x:v>
      </x:c>
      <x:c r="K609" s="103" t="n">
        <x:f>MIN(I609,F609*J609)</x:f>
        <x:v>8.132538264802616</x:v>
      </x:c>
      <x:c r="L609" s="103" t="n">
        <x:f>'Inputs &amp; Guide'!$B$5</x:f>
        <x:v>15</x:v>
      </x:c>
      <x:c r="M609" s="103" t="n">
        <x:f>I609*'Inputs &amp; Guide'!$B$6</x:f>
        <x:v>7.729164366868407</x:v>
      </x:c>
      <x:c r="N609" s="103" t="n">
        <x:f>MAX(0,MIN(K609-L609,M609))</x:f>
        <x:v>0</x:v>
      </x:c>
      <x:c r="O609" s="103" t="n">
        <x:f>MAX(0,N609-'Inputs &amp; Guide'!$B$7)</x:f>
        <x:v>0</x:v>
      </x:c>
      <x:c r="P609" s="103" t="n">
        <x:f>N609-O609</x:f>
        <x:v>0</x:v>
      </x:c>
      <x:c r="Q609" s="103" t="n">
        <x:f>I609*'Inputs &amp; Guide'!$B$8</x:f>
        <x:v>0.25295447018842054</x:v>
      </x:c>
      <x:c r="R609" s="104" t="n">
        <x:f>IFERROR(P609/Q609,0)</x:f>
        <x:v>0</x:v>
      </x:c>
      <x:c r="S609" s="105" t="n">
        <x:f>ROUND(E609*XLOOKUP(C609,'Reference Tables'!$E$4:$E$12,'Reference Tables'!$G$4:$G$12,1),1)</x:f>
        <x:v>11.1</x:v>
      </x:c>
      <x:c r="T609" s="106" t="str">
        <x:f>IF(R609&gt;='Inputs &amp; Guide'!$B$9,"HIGH",IF(R609&gt;=0.45,"WATCH","NORMAL"))</x:f>
        <x:v>NORMAL</x:v>
      </x:c>
    </x:row>
    <x:row r="610">
      <x:c r="A610" s="95" t="n">
        <x:v>4849</x:v>
      </x:c>
      <x:c r="B610" s="96" t="n">
        <x:v>45494</x:v>
      </x:c>
      <x:c r="C610" s="97" t="str">
        <x:v>Earthquake</x:v>
      </x:c>
      <x:c r="D610" s="97" t="str">
        <x:v>Japan</x:v>
      </x:c>
      <x:c r="E610" s="98" t="n">
        <x:v>6.704650396753173</x:v>
      </x:c>
      <x:c r="F610" s="99" t="n">
        <x:v>509.6838629793382</x:v>
      </x:c>
      <x:c r="G610" s="100" t="str">
        <x:f>XLOOKUP(D610,'Reference Tables'!$A$4:$A$23,'Reference Tables'!$B$4:$B$23,"Other")</x:f>
        <x:v>Asia Pacific</x:v>
      </x:c>
      <x:c r="H610" s="100" t="str">
        <x:f>VLOOKUP(G610,'Reference Tables'!$I$4:$J$9,2,FALSE)</x:f>
        <x:v>High</x:v>
      </x:c>
      <x:c r="I610" s="101" t="n">
        <x:f>F610*'Inputs &amp; Guide'!$B$4*XLOOKUP(D610,'Reference Tables'!$A$4:$A$23,'Reference Tables'!$C$4:$C$23,0.75)</x:f>
        <x:v>96.22831333049905</x:v>
      </x:c>
      <x:c r="J610" s="102" t="n">
        <x:f>XLOOKUP(C610,'Reference Tables'!$E$4:$E$12,'Reference Tables'!$F$4:$F$12,0.05)</x:f>
        <x:v>0.14</x:v>
      </x:c>
      <x:c r="K610" s="103" t="n">
        <x:f>MIN(I610,F610*J610)</x:f>
        <x:v>71.35574081710735</x:v>
      </x:c>
      <x:c r="L610" s="103" t="n">
        <x:f>'Inputs &amp; Guide'!$B$5</x:f>
        <x:v>15</x:v>
      </x:c>
      <x:c r="M610" s="103" t="n">
        <x:f>I610*'Inputs &amp; Guide'!$B$6</x:f>
        <x:v>52.92557233177448</x:v>
      </x:c>
      <x:c r="N610" s="103" t="n">
        <x:f>MAX(0,MIN(K610-L610,M610))</x:f>
        <x:v>52.92557233177448</x:v>
      </x:c>
      <x:c r="O610" s="103" t="n">
        <x:f>MAX(0,N610-'Inputs &amp; Guide'!$B$7)</x:f>
        <x:v>0</x:v>
      </x:c>
      <x:c r="P610" s="103" t="n">
        <x:f>N610-O610</x:f>
        <x:v>52.92557233177448</x:v>
      </x:c>
      <x:c r="Q610" s="103" t="n">
        <x:f>I610*'Inputs &amp; Guide'!$B$8</x:f>
        <x:v>1.7321096399489828</x:v>
      </x:c>
      <x:c r="R610" s="104" t="n">
        <x:f>IFERROR(P610/Q610,0)</x:f>
        <x:v>30.55555555555556</x:v>
      </x:c>
      <x:c r="S610" s="105" t="n">
        <x:f>ROUND(E610*XLOOKUP(C610,'Reference Tables'!$E$4:$E$12,'Reference Tables'!$G$4:$G$12,1),1)</x:f>
        <x:v>10.1</x:v>
      </x:c>
      <x:c r="T610" s="106" t="str">
        <x:f>IF(R610&gt;='Inputs &amp; Guide'!$B$9,"HIGH",IF(R610&gt;=0.45,"WATCH","NORMAL"))</x:f>
        <x:v>HIGH</x:v>
      </x:c>
    </x:row>
    <x:row r="611">
      <x:c r="A611" s="95" t="n">
        <x:v>4857</x:v>
      </x:c>
      <x:c r="B611" s="96" t="n">
        <x:v>45494.104166666664</x:v>
      </x:c>
      <x:c r="C611" s="97" t="str">
        <x:v>Flood</x:v>
      </x:c>
      <x:c r="D611" s="97" t="str">
        <x:v>Japan</x:v>
      </x:c>
      <x:c r="E611" s="98" t="n">
        <x:v>1.036869545905161</x:v>
      </x:c>
      <x:c r="F611" s="99" t="n">
        <x:v>290.0620688031892</x:v>
      </x:c>
      <x:c r="G611" s="100" t="str">
        <x:f>XLOOKUP(D611,'Reference Tables'!$A$4:$A$23,'Reference Tables'!$B$4:$B$23,"Other")</x:f>
        <x:v>Asia Pacific</x:v>
      </x:c>
      <x:c r="H611" s="100" t="str">
        <x:f>VLOOKUP(G611,'Reference Tables'!$I$4:$J$9,2,FALSE)</x:f>
        <x:v>High</x:v>
      </x:c>
      <x:c r="I611" s="101" t="n">
        <x:f>F611*'Inputs &amp; Guide'!$B$4*XLOOKUP(D611,'Reference Tables'!$A$4:$A$23,'Reference Tables'!$C$4:$C$23,0.75)</x:f>
        <x:v>54.763718590042124</x:v>
      </x:c>
      <x:c r="J611" s="102" t="n">
        <x:f>XLOOKUP(C611,'Reference Tables'!$E$4:$E$12,'Reference Tables'!$F$4:$F$12,0.05)</x:f>
        <x:v>0.12</x:v>
      </x:c>
      <x:c r="K611" s="103" t="n">
        <x:f>MIN(I611,F611*J611)</x:f>
        <x:v>34.807448256382706</x:v>
      </x:c>
      <x:c r="L611" s="103" t="n">
        <x:f>'Inputs &amp; Guide'!$B$5</x:f>
        <x:v>15</x:v>
      </x:c>
      <x:c r="M611" s="103" t="n">
        <x:f>I611*'Inputs &amp; Guide'!$B$6</x:f>
        <x:v>30.12004522452317</x:v>
      </x:c>
      <x:c r="N611" s="103" t="n">
        <x:f>MAX(0,MIN(K611-L611,M611))</x:f>
        <x:v>19.807448256382706</x:v>
      </x:c>
      <x:c r="O611" s="103" t="n">
        <x:f>MAX(0,N611-'Inputs &amp; Guide'!$B$7)</x:f>
        <x:v>0</x:v>
      </x:c>
      <x:c r="P611" s="103" t="n">
        <x:f>N611-O611</x:f>
        <x:v>19.807448256382706</x:v>
      </x:c>
      <x:c r="Q611" s="103" t="n">
        <x:f>I611*'Inputs &amp; Guide'!$B$8</x:f>
        <x:v>0.9857469346207581</x:v>
      </x:c>
      <x:c r="R611" s="104" t="n">
        <x:f>IFERROR(P611/Q611,0)</x:f>
        <x:v>20.093847173872405</x:v>
      </x:c>
      <x:c r="S611" s="105" t="n">
        <x:f>ROUND(E611*XLOOKUP(C611,'Reference Tables'!$E$4:$E$12,'Reference Tables'!$G$4:$G$12,1),1)</x:f>
        <x:v>1.3</x:v>
      </x:c>
      <x:c r="T611" s="106" t="str">
        <x:f>IF(R611&gt;='Inputs &amp; Guide'!$B$9,"HIGH",IF(R611&gt;=0.45,"WATCH","NORMAL"))</x:f>
        <x:v>HIGH</x:v>
      </x:c>
    </x:row>
    <x:row r="612">
      <x:c r="A612" s="95" t="n">
        <x:v>4865</x:v>
      </x:c>
      <x:c r="B612" s="96" t="n">
        <x:v>45494.4375</x:v>
      </x:c>
      <x:c r="C612" s="97" t="str">
        <x:v>Earthquake</x:v>
      </x:c>
      <x:c r="D612" s="97" t="str">
        <x:v>China</x:v>
      </x:c>
      <x:c r="E612" s="98" t="n">
        <x:v>5.535798150211202</x:v>
      </x:c>
      <x:c r="F612" s="99" t="n">
        <x:v>889.1361894746315</x:v>
      </x:c>
      <x:c r="G612" s="100" t="str">
        <x:f>XLOOKUP(D612,'Reference Tables'!$A$4:$A$23,'Reference Tables'!$B$4:$B$23,"Other")</x:f>
        <x:v>Asia Pacific</x:v>
      </x:c>
      <x:c r="H612" s="100" t="str">
        <x:f>VLOOKUP(G612,'Reference Tables'!$I$4:$J$9,2,FALSE)</x:f>
        <x:v>High</x:v>
      </x:c>
      <x:c r="I612" s="101" t="n">
        <x:f>F612*'Inputs &amp; Guide'!$B$4*XLOOKUP(D612,'Reference Tables'!$A$4:$A$23,'Reference Tables'!$C$4:$C$23,0.75)</x:f>
        <x:v>153.64273354121633</x:v>
      </x:c>
      <x:c r="J612" s="102" t="n">
        <x:f>XLOOKUP(C612,'Reference Tables'!$E$4:$E$12,'Reference Tables'!$F$4:$F$12,0.05)</x:f>
        <x:v>0.14</x:v>
      </x:c>
      <x:c r="K612" s="103" t="n">
        <x:f>MIN(I612,F612*J612)</x:f>
        <x:v>124.47906652644842</x:v>
      </x:c>
      <x:c r="L612" s="103" t="n">
        <x:f>'Inputs &amp; Guide'!$B$5</x:f>
        <x:v>15</x:v>
      </x:c>
      <x:c r="M612" s="103" t="n">
        <x:f>I612*'Inputs &amp; Guide'!$B$6</x:f>
        <x:v>84.50350344766899</x:v>
      </x:c>
      <x:c r="N612" s="103" t="n">
        <x:f>MAX(0,MIN(K612-L612,M612))</x:f>
        <x:v>84.50350344766899</x:v>
      </x:c>
      <x:c r="O612" s="103" t="n">
        <x:f>MAX(0,N612-'Inputs &amp; Guide'!$B$7)</x:f>
        <x:v>24.50350344766899</x:v>
      </x:c>
      <x:c r="P612" s="103" t="n">
        <x:f>N612-O612</x:f>
        <x:v>60</x:v>
      </x:c>
      <x:c r="Q612" s="103" t="n">
        <x:f>I612*'Inputs &amp; Guide'!$B$8</x:f>
        <x:v>2.7655692037418937</x:v>
      </x:c>
      <x:c r="R612" s="104" t="n">
        <x:f>IFERROR(P612/Q612,0)</x:f>
        <x:v>21.695352956208183</x:v>
      </x:c>
      <x:c r="S612" s="105" t="n">
        <x:f>ROUND(E612*XLOOKUP(C612,'Reference Tables'!$E$4:$E$12,'Reference Tables'!$G$4:$G$12,1),1)</x:f>
        <x:v>8.3</x:v>
      </x:c>
      <x:c r="T612" s="106" t="str">
        <x:f>IF(R612&gt;='Inputs &amp; Guide'!$B$9,"HIGH",IF(R612&gt;=0.45,"WATCH","NORMAL"))</x:f>
        <x:v>HIGH</x:v>
      </x:c>
    </x:row>
    <x:row r="613">
      <x:c r="A613" s="95" t="n">
        <x:v>4873</x:v>
      </x:c>
      <x:c r="B613" s="96" t="n">
        <x:v>45495</x:v>
      </x:c>
      <x:c r="C613" s="97" t="str">
        <x:v>Tornado</x:v>
      </x:c>
      <x:c r="D613" s="97" t="str">
        <x:v>Brazil</x:v>
      </x:c>
      <x:c r="E613" s="98" t="n">
        <x:v>3.766536369836751</x:v>
      </x:c>
      <x:c r="F613" s="99" t="n">
        <x:v>145.14702038245562</x:v>
      </x:c>
      <x:c r="G613" s="100" t="str">
        <x:f>XLOOKUP(D613,'Reference Tables'!$A$4:$A$23,'Reference Tables'!$B$4:$B$23,"Other")</x:f>
        <x:v>Latin America</x:v>
      </x:c>
      <x:c r="H613" s="100" t="str">
        <x:f>VLOOKUP(G613,'Reference Tables'!$I$4:$J$9,2,FALSE)</x:f>
        <x:v>Moderate</x:v>
      </x:c>
      <x:c r="I613" s="101" t="n">
        <x:f>F613*'Inputs &amp; Guide'!$B$4*XLOOKUP(D613,'Reference Tables'!$A$4:$A$23,'Reference Tables'!$C$4:$C$23,0.75)</x:f>
        <x:v>19.043289074178176</x:v>
      </x:c>
      <x:c r="J613" s="102" t="n">
        <x:f>XLOOKUP(C613,'Reference Tables'!$E$4:$E$12,'Reference Tables'!$F$4:$F$12,0.05)</x:f>
        <x:v>0.09</x:v>
      </x:c>
      <x:c r="K613" s="103" t="n">
        <x:f>MIN(I613,F613*J613)</x:f>
        <x:v>13.063231834421005</x:v>
      </x:c>
      <x:c r="L613" s="103" t="n">
        <x:f>'Inputs &amp; Guide'!$B$5</x:f>
        <x:v>15</x:v>
      </x:c>
      <x:c r="M613" s="103" t="n">
        <x:f>I613*'Inputs &amp; Guide'!$B$6</x:f>
        <x:v>10.473808990797998</x:v>
      </x:c>
      <x:c r="N613" s="103" t="n">
        <x:f>MAX(0,MIN(K613-L613,M613))</x:f>
        <x:v>0</x:v>
      </x:c>
      <x:c r="O613" s="103" t="n">
        <x:f>MAX(0,N613-'Inputs &amp; Guide'!$B$7)</x:f>
        <x:v>0</x:v>
      </x:c>
      <x:c r="P613" s="103" t="n">
        <x:f>N613-O613</x:f>
        <x:v>0</x:v>
      </x:c>
      <x:c r="Q613" s="103" t="n">
        <x:f>I613*'Inputs &amp; Guide'!$B$8</x:f>
        <x:v>0.34277920333520717</x:v>
      </x:c>
      <x:c r="R613" s="104" t="n">
        <x:f>IFERROR(P613/Q613,0)</x:f>
        <x:v>0</x:v>
      </x:c>
      <x:c r="S613" s="105" t="n">
        <x:f>ROUND(E613*XLOOKUP(C613,'Reference Tables'!$E$4:$E$12,'Reference Tables'!$G$4:$G$12,1),1)</x:f>
        <x:v>4</x:v>
      </x:c>
      <x:c r="T613" s="106" t="str">
        <x:f>IF(R613&gt;='Inputs &amp; Guide'!$B$9,"HIGH",IF(R613&gt;=0.45,"WATCH","NORMAL"))</x:f>
        <x:v>NORMAL</x:v>
      </x:c>
    </x:row>
    <x:row r="614">
      <x:c r="A614" s="95" t="n">
        <x:v>4881</x:v>
      </x:c>
      <x:c r="B614" s="96" t="n">
        <x:v>45495.104166666664</x:v>
      </x:c>
      <x:c r="C614" s="97" t="str">
        <x:v>Wildfire</x:v>
      </x:c>
      <x:c r="D614" s="97" t="str">
        <x:v>Japan</x:v>
      </x:c>
      <x:c r="E614" s="98" t="n">
        <x:v>5.380827439314376</x:v>
      </x:c>
      <x:c r="F614" s="99" t="n">
        <x:v>22.869769802599677</x:v>
      </x:c>
      <x:c r="G614" s="100" t="str">
        <x:f>XLOOKUP(D614,'Reference Tables'!$A$4:$A$23,'Reference Tables'!$B$4:$B$23,"Other")</x:f>
        <x:v>Asia Pacific</x:v>
      </x:c>
      <x:c r="H614" s="100" t="str">
        <x:f>VLOOKUP(G614,'Reference Tables'!$I$4:$J$9,2,FALSE)</x:f>
        <x:v>High</x:v>
      </x:c>
      <x:c r="I614" s="101" t="n">
        <x:f>F614*'Inputs &amp; Guide'!$B$4*XLOOKUP(D614,'Reference Tables'!$A$4:$A$23,'Reference Tables'!$C$4:$C$23,0.75)</x:f>
        <x:v>4.317812538730819</x:v>
      </x:c>
      <x:c r="J614" s="102" t="n">
        <x:f>XLOOKUP(C614,'Reference Tables'!$E$4:$E$12,'Reference Tables'!$F$4:$F$12,0.05)</x:f>
        <x:v>0.1</x:v>
      </x:c>
      <x:c r="K614" s="103" t="n">
        <x:f>MIN(I614,F614*J614)</x:f>
        <x:v>2.286976980259968</x:v>
      </x:c>
      <x:c r="L614" s="103" t="n">
        <x:f>'Inputs &amp; Guide'!$B$5</x:f>
        <x:v>15</x:v>
      </x:c>
      <x:c r="M614" s="103" t="n">
        <x:f>I614*'Inputs &amp; Guide'!$B$6</x:f>
        <x:v>2.374796896301951</x:v>
      </x:c>
      <x:c r="N614" s="103" t="n">
        <x:f>MAX(0,MIN(K614-L614,M614))</x:f>
        <x:v>0</x:v>
      </x:c>
      <x:c r="O614" s="103" t="n">
        <x:f>MAX(0,N614-'Inputs &amp; Guide'!$B$7)</x:f>
        <x:v>0</x:v>
      </x:c>
      <x:c r="P614" s="103" t="n">
        <x:f>N614-O614</x:f>
        <x:v>0</x:v>
      </x:c>
      <x:c r="Q614" s="103" t="n">
        <x:f>I614*'Inputs &amp; Guide'!$B$8</x:f>
        <x:v>0.07772062569715474</x:v>
      </x:c>
      <x:c r="R614" s="104" t="n">
        <x:f>IFERROR(P614/Q614,0)</x:f>
        <x:v>0</x:v>
      </x:c>
      <x:c r="S614" s="105" t="n">
        <x:f>ROUND(E614*XLOOKUP(C614,'Reference Tables'!$E$4:$E$12,'Reference Tables'!$G$4:$G$12,1),1)</x:f>
        <x:v>6.2</x:v>
      </x:c>
      <x:c r="T614" s="106" t="str">
        <x:f>IF(R614&gt;='Inputs &amp; Guide'!$B$9,"HIGH",IF(R614&gt;=0.45,"WATCH","NORMAL"))</x:f>
        <x:v>NORMAL</x:v>
      </x:c>
    </x:row>
    <x:row r="615">
      <x:c r="A615" s="95" t="n">
        <x:v>4889</x:v>
      </x:c>
      <x:c r="B615" s="96" t="n">
        <x:v>45495.4375</x:v>
      </x:c>
      <x:c r="C615" s="97" t="str">
        <x:v>Earthquake</x:v>
      </x:c>
      <x:c r="D615" s="97" t="str">
        <x:v>India</x:v>
      </x:c>
      <x:c r="E615" s="98" t="n">
        <x:v>7.1153345843696085</x:v>
      </x:c>
      <x:c r="F615" s="99" t="n">
        <x:v>3.500477260587129</x:v>
      </x:c>
      <x:c r="G615" s="100" t="str">
        <x:f>XLOOKUP(D615,'Reference Tables'!$A$4:$A$23,'Reference Tables'!$B$4:$B$23,"Other")</x:f>
        <x:v>Asia Pacific</x:v>
      </x:c>
      <x:c r="H615" s="100" t="str">
        <x:f>VLOOKUP(G615,'Reference Tables'!$I$4:$J$9,2,FALSE)</x:f>
        <x:v>High</x:v>
      </x:c>
      <x:c r="I615" s="101" t="n">
        <x:f>F615*'Inputs &amp; Guide'!$B$4*XLOOKUP(D615,'Reference Tables'!$A$4:$A$23,'Reference Tables'!$C$4:$C$23,0.75)</x:f>
        <x:v>0.5096694891414859</x:v>
      </x:c>
      <x:c r="J615" s="102" t="n">
        <x:f>XLOOKUP(C615,'Reference Tables'!$E$4:$E$12,'Reference Tables'!$F$4:$F$12,0.05)</x:f>
        <x:v>0.14</x:v>
      </x:c>
      <x:c r="K615" s="103" t="n">
        <x:f>MIN(I615,F615*J615)</x:f>
        <x:v>0.4900668164821981</x:v>
      </x:c>
      <x:c r="L615" s="103" t="n">
        <x:f>'Inputs &amp; Guide'!$B$5</x:f>
        <x:v>15</x:v>
      </x:c>
      <x:c r="M615" s="103" t="n">
        <x:f>I615*'Inputs &amp; Guide'!$B$6</x:f>
        <x:v>0.2803182190278173</x:v>
      </x:c>
      <x:c r="N615" s="103" t="n">
        <x:f>MAX(0,MIN(K615-L615,M615))</x:f>
        <x:v>0</x:v>
      </x:c>
      <x:c r="O615" s="103" t="n">
        <x:f>MAX(0,N615-'Inputs &amp; Guide'!$B$7)</x:f>
        <x:v>0</x:v>
      </x:c>
      <x:c r="P615" s="103" t="n">
        <x:f>N615-O615</x:f>
        <x:v>0</x:v>
      </x:c>
      <x:c r="Q615" s="103" t="n">
        <x:f>I615*'Inputs &amp; Guide'!$B$8</x:f>
        <x:v>0.009174050804546746</x:v>
      </x:c>
      <x:c r="R615" s="104" t="n">
        <x:f>IFERROR(P615/Q615,0)</x:f>
        <x:v>0</x:v>
      </x:c>
      <x:c r="S615" s="105" t="n">
        <x:f>ROUND(E615*XLOOKUP(C615,'Reference Tables'!$E$4:$E$12,'Reference Tables'!$G$4:$G$12,1),1)</x:f>
        <x:v>10.7</x:v>
      </x:c>
      <x:c r="T615" s="106" t="str">
        <x:f>IF(R615&gt;='Inputs &amp; Guide'!$B$9,"HIGH",IF(R615&gt;=0.45,"WATCH","NORMAL"))</x:f>
        <x:v>NORMAL</x:v>
      </x:c>
    </x:row>
    <x:row r="616">
      <x:c r="A616" s="95" t="n">
        <x:v>4897</x:v>
      </x:c>
      <x:c r="B616" s="96" t="n">
        <x:v>45496</x:v>
      </x:c>
      <x:c r="C616" s="97" t="str">
        <x:v>Tornado</x:v>
      </x:c>
      <x:c r="D616" s="97" t="str">
        <x:v>USA</x:v>
      </x:c>
      <x:c r="E616" s="98" t="n">
        <x:v>5.917823823770765</x:v>
      </x:c>
      <x:c r="F616" s="99" t="n">
        <x:v>108.9493249934274</x:v>
      </x:c>
      <x:c r="G616" s="100" t="str">
        <x:f>XLOOKUP(D616,'Reference Tables'!$A$4:$A$23,'Reference Tables'!$B$4:$B$23,"Other")</x:f>
        <x:v>Other</x:v>
      </x:c>
      <x:c r="H616" s="100" t="str">
        <x:f>VLOOKUP(G616,'Reference Tables'!$I$4:$J$9,2,FALSE)</x:f>
        <x:v>Moderate</x:v>
      </x:c>
      <x:c r="I616" s="101" t="n">
        <x:f>F616*'Inputs &amp; Guide'!$B$4*XLOOKUP(D616,'Reference Tables'!$A$4:$A$23,'Reference Tables'!$C$4:$C$23,0.75)</x:f>
        <x:v>13.073918999211287</x:v>
      </x:c>
      <x:c r="J616" s="102" t="n">
        <x:f>XLOOKUP(C616,'Reference Tables'!$E$4:$E$12,'Reference Tables'!$F$4:$F$12,0.05)</x:f>
        <x:v>0.09</x:v>
      </x:c>
      <x:c r="K616" s="103" t="n">
        <x:f>MIN(I616,F616*J616)</x:f>
        <x:v>9.805439249408465</x:v>
      </x:c>
      <x:c r="L616" s="103" t="n">
        <x:f>'Inputs &amp; Guide'!$B$5</x:f>
        <x:v>15</x:v>
      </x:c>
      <x:c r="M616" s="103" t="n">
        <x:f>I616*'Inputs &amp; Guide'!$B$6</x:f>
        <x:v>7.190655449566209</x:v>
      </x:c>
      <x:c r="N616" s="103" t="n">
        <x:f>MAX(0,MIN(K616-L616,M616))</x:f>
        <x:v>0</x:v>
      </x:c>
      <x:c r="O616" s="103" t="n">
        <x:f>MAX(0,N616-'Inputs &amp; Guide'!$B$7)</x:f>
        <x:v>0</x:v>
      </x:c>
      <x:c r="P616" s="103" t="n">
        <x:f>N616-O616</x:f>
        <x:v>0</x:v>
      </x:c>
      <x:c r="Q616" s="103" t="n">
        <x:f>I616*'Inputs &amp; Guide'!$B$8</x:f>
        <x:v>0.23533054198580314</x:v>
      </x:c>
      <x:c r="R616" s="104" t="n">
        <x:f>IFERROR(P616/Q616,0)</x:f>
        <x:v>0</x:v>
      </x:c>
      <x:c r="S616" s="105" t="n">
        <x:f>ROUND(E616*XLOOKUP(C616,'Reference Tables'!$E$4:$E$12,'Reference Tables'!$G$4:$G$12,1),1)</x:f>
        <x:v>6.2</x:v>
      </x:c>
      <x:c r="T616" s="106" t="str">
        <x:f>IF(R616&gt;='Inputs &amp; Guide'!$B$9,"HIGH",IF(R616&gt;=0.45,"WATCH","NORMAL"))</x:f>
        <x:v>NORMAL</x:v>
      </x:c>
    </x:row>
    <x:row r="617">
      <x:c r="A617" s="95" t="n">
        <x:v>4905</x:v>
      </x:c>
      <x:c r="B617" s="96" t="n">
        <x:v>45496.104166666664</x:v>
      </x:c>
      <x:c r="C617" s="97" t="str">
        <x:v>Flood</x:v>
      </x:c>
      <x:c r="D617" s="97" t="str">
        <x:v>Japan</x:v>
      </x:c>
      <x:c r="E617" s="98" t="n">
        <x:v>9.614522438423446</x:v>
      </x:c>
      <x:c r="F617" s="99" t="n">
        <x:v>958.3091835293021</x:v>
      </x:c>
      <x:c r="G617" s="100" t="str">
        <x:f>XLOOKUP(D617,'Reference Tables'!$A$4:$A$23,'Reference Tables'!$B$4:$B$23,"Other")</x:f>
        <x:v>Asia Pacific</x:v>
      </x:c>
      <x:c r="H617" s="100" t="str">
        <x:f>VLOOKUP(G617,'Reference Tables'!$I$4:$J$9,2,FALSE)</x:f>
        <x:v>High</x:v>
      </x:c>
      <x:c r="I617" s="101" t="n">
        <x:f>F617*'Inputs &amp; Guide'!$B$4*XLOOKUP(D617,'Reference Tables'!$A$4:$A$23,'Reference Tables'!$C$4:$C$23,0.75)</x:f>
        <x:v>180.92877385033225</x:v>
      </x:c>
      <x:c r="J617" s="102" t="n">
        <x:f>XLOOKUP(C617,'Reference Tables'!$E$4:$E$12,'Reference Tables'!$F$4:$F$12,0.05)</x:f>
        <x:v>0.12</x:v>
      </x:c>
      <x:c r="K617" s="103" t="n">
        <x:f>MIN(I617,F617*J617)</x:f>
        <x:v>114.99710202351625</x:v>
      </x:c>
      <x:c r="L617" s="103" t="n">
        <x:f>'Inputs &amp; Guide'!$B$5</x:f>
        <x:v>15</x:v>
      </x:c>
      <x:c r="M617" s="103" t="n">
        <x:f>I617*'Inputs &amp; Guide'!$B$6</x:f>
        <x:v>99.51082561768274</x:v>
      </x:c>
      <x:c r="N617" s="103" t="n">
        <x:f>MAX(0,MIN(K617-L617,M617))</x:f>
        <x:v>99.51082561768274</x:v>
      </x:c>
      <x:c r="O617" s="103" t="n">
        <x:f>MAX(0,N617-'Inputs &amp; Guide'!$B$7)</x:f>
        <x:v>39.51082561768274</x:v>
      </x:c>
      <x:c r="P617" s="103" t="n">
        <x:f>N617-O617</x:f>
        <x:v>60</x:v>
      </x:c>
      <x:c r="Q617" s="103" t="n">
        <x:f>I617*'Inputs &amp; Guide'!$B$8</x:f>
        <x:v>3.2567179293059803</x:v>
      </x:c>
      <x:c r="R617" s="104" t="n">
        <x:f>IFERROR(P617/Q617,0)</x:f>
        <x:v>18.423456161211433</x:v>
      </x:c>
      <x:c r="S617" s="105" t="n">
        <x:f>ROUND(E617*XLOOKUP(C617,'Reference Tables'!$E$4:$E$12,'Reference Tables'!$G$4:$G$12,1),1)</x:f>
        <x:v>12</x:v>
      </x:c>
      <x:c r="T617" s="106" t="str">
        <x:f>IF(R617&gt;='Inputs &amp; Guide'!$B$9,"HIGH",IF(R617&gt;=0.45,"WATCH","NORMAL"))</x:f>
        <x:v>HIGH</x:v>
      </x:c>
    </x:row>
    <x:row r="618">
      <x:c r="A618" s="95" t="n">
        <x:v>4913</x:v>
      </x:c>
      <x:c r="B618" s="96" t="n">
        <x:v>45496.4375</x:v>
      </x:c>
      <x:c r="C618" s="97" t="str">
        <x:v>Hurricane</x:v>
      </x:c>
      <x:c r="D618" s="97" t="str">
        <x:v>Brazil</x:v>
      </x:c>
      <x:c r="E618" s="98" t="n">
        <x:v>9.416178790012445</x:v>
      </x:c>
      <x:c r="F618" s="99" t="n">
        <x:v>536.2558513962315</x:v>
      </x:c>
      <x:c r="G618" s="100" t="str">
        <x:f>XLOOKUP(D618,'Reference Tables'!$A$4:$A$23,'Reference Tables'!$B$4:$B$23,"Other")</x:f>
        <x:v>Latin America</x:v>
      </x:c>
      <x:c r="H618" s="100" t="str">
        <x:f>VLOOKUP(G618,'Reference Tables'!$I$4:$J$9,2,FALSE)</x:f>
        <x:v>Moderate</x:v>
      </x:c>
      <x:c r="I618" s="101" t="n">
        <x:f>F618*'Inputs &amp; Guide'!$B$4*XLOOKUP(D618,'Reference Tables'!$A$4:$A$23,'Reference Tables'!$C$4:$C$23,0.75)</x:f>
        <x:v>70.35676770318557</x:v>
      </x:c>
      <x:c r="J618" s="102" t="n">
        <x:f>XLOOKUP(C618,'Reference Tables'!$E$4:$E$12,'Reference Tables'!$F$4:$F$12,0.05)</x:f>
        <x:v>0.18</x:v>
      </x:c>
      <x:c r="K618" s="103" t="n">
        <x:f>MIN(I618,F618*J618)</x:f>
        <x:v>70.35676770318557</x:v>
      </x:c>
      <x:c r="L618" s="103" t="n">
        <x:f>'Inputs &amp; Guide'!$B$5</x:f>
        <x:v>15</x:v>
      </x:c>
      <x:c r="M618" s="103" t="n">
        <x:f>I618*'Inputs &amp; Guide'!$B$6</x:f>
        <x:v>38.696222236752064</x:v>
      </x:c>
      <x:c r="N618" s="103" t="n">
        <x:f>MAX(0,MIN(K618-L618,M618))</x:f>
        <x:v>38.696222236752064</x:v>
      </x:c>
      <x:c r="O618" s="103" t="n">
        <x:f>MAX(0,N618-'Inputs &amp; Guide'!$B$7)</x:f>
        <x:v>0</x:v>
      </x:c>
      <x:c r="P618" s="103" t="n">
        <x:f>N618-O618</x:f>
        <x:v>38.696222236752064</x:v>
      </x:c>
      <x:c r="Q618" s="103" t="n">
        <x:f>I618*'Inputs &amp; Guide'!$B$8</x:f>
        <x:v>1.2664218186573402</x:v>
      </x:c>
      <x:c r="R618" s="104" t="n">
        <x:f>IFERROR(P618/Q618,0)</x:f>
        <x:v>30.555555555555557</x:v>
      </x:c>
      <x:c r="S618" s="105" t="n">
        <x:f>ROUND(E618*XLOOKUP(C618,'Reference Tables'!$E$4:$E$12,'Reference Tables'!$G$4:$G$12,1),1)</x:f>
        <x:v>13.2</x:v>
      </x:c>
      <x:c r="T618" s="106" t="str">
        <x:f>IF(R618&gt;='Inputs &amp; Guide'!$B$9,"HIGH",IF(R618&gt;=0.45,"WATCH","NORMAL"))</x:f>
        <x:v>HIGH</x:v>
      </x:c>
    </x:row>
    <x:row r="619">
      <x:c r="A619" s="95" t="n">
        <x:v>4921</x:v>
      </x:c>
      <x:c r="B619" s="96" t="n">
        <x:v>45497</x:v>
      </x:c>
      <x:c r="C619" s="97" t="str">
        <x:v>Flood</x:v>
      </x:c>
      <x:c r="D619" s="97" t="str">
        <x:v>Brazil</x:v>
      </x:c>
      <x:c r="E619" s="98" t="n">
        <x:v>1.7692593889633643</x:v>
      </x:c>
      <x:c r="F619" s="99" t="n">
        <x:v>531.7868835845061</x:v>
      </x:c>
      <x:c r="G619" s="100" t="str">
        <x:f>XLOOKUP(D619,'Reference Tables'!$A$4:$A$23,'Reference Tables'!$B$4:$B$23,"Other")</x:f>
        <x:v>Latin America</x:v>
      </x:c>
      <x:c r="H619" s="100" t="str">
        <x:f>VLOOKUP(G619,'Reference Tables'!$I$4:$J$9,2,FALSE)</x:f>
        <x:v>Moderate</x:v>
      </x:c>
      <x:c r="I619" s="101" t="n">
        <x:f>F619*'Inputs &amp; Guide'!$B$4*XLOOKUP(D619,'Reference Tables'!$A$4:$A$23,'Reference Tables'!$C$4:$C$23,0.75)</x:f>
        <x:v>69.77043912628719</x:v>
      </x:c>
      <x:c r="J619" s="102" t="n">
        <x:f>XLOOKUP(C619,'Reference Tables'!$E$4:$E$12,'Reference Tables'!$F$4:$F$12,0.05)</x:f>
        <x:v>0.12</x:v>
      </x:c>
      <x:c r="K619" s="103" t="n">
        <x:f>MIN(I619,F619*J619)</x:f>
        <x:v>63.81442603014073</x:v>
      </x:c>
      <x:c r="L619" s="103" t="n">
        <x:f>'Inputs &amp; Guide'!$B$5</x:f>
        <x:v>15</x:v>
      </x:c>
      <x:c r="M619" s="103" t="n">
        <x:f>I619*'Inputs &amp; Guide'!$B$6</x:f>
        <x:v>38.37374151945796</x:v>
      </x:c>
      <x:c r="N619" s="103" t="n">
        <x:f>MAX(0,MIN(K619-L619,M619))</x:f>
        <x:v>38.37374151945796</x:v>
      </x:c>
      <x:c r="O619" s="103" t="n">
        <x:f>MAX(0,N619-'Inputs &amp; Guide'!$B$7)</x:f>
        <x:v>0</x:v>
      </x:c>
      <x:c r="P619" s="103" t="n">
        <x:f>N619-O619</x:f>
        <x:v>38.37374151945796</x:v>
      </x:c>
      <x:c r="Q619" s="103" t="n">
        <x:f>I619*'Inputs &amp; Guide'!$B$8</x:f>
        <x:v>1.2558679042731693</x:v>
      </x:c>
      <x:c r="R619" s="104" t="n">
        <x:f>IFERROR(P619/Q619,0)</x:f>
        <x:v>30.55555555555556</x:v>
      </x:c>
      <x:c r="S619" s="105" t="n">
        <x:f>ROUND(E619*XLOOKUP(C619,'Reference Tables'!$E$4:$E$12,'Reference Tables'!$G$4:$G$12,1),1)</x:f>
        <x:v>2.2</x:v>
      </x:c>
      <x:c r="T619" s="106" t="str">
        <x:f>IF(R619&gt;='Inputs &amp; Guide'!$B$9,"HIGH",IF(R619&gt;=0.45,"WATCH","NORMAL"))</x:f>
        <x:v>HIGH</x:v>
      </x:c>
    </x:row>
    <x:row r="620">
      <x:c r="A620" s="95" t="n">
        <x:v>4929</x:v>
      </x:c>
      <x:c r="B620" s="96" t="n">
        <x:v>45497.104166666664</x:v>
      </x:c>
      <x:c r="C620" s="97" t="str">
        <x:v>Hurricane</x:v>
      </x:c>
      <x:c r="D620" s="97" t="str">
        <x:v>USA</x:v>
      </x:c>
      <x:c r="E620" s="98" t="n">
        <x:v>9.989752910622391</x:v>
      </x:c>
      <x:c r="F620" s="99" t="n">
        <x:v>590.8746480540129</x:v>
      </x:c>
      <x:c r="G620" s="100" t="str">
        <x:f>XLOOKUP(D620,'Reference Tables'!$A$4:$A$23,'Reference Tables'!$B$4:$B$23,"Other")</x:f>
        <x:v>Other</x:v>
      </x:c>
      <x:c r="H620" s="100" t="str">
        <x:f>VLOOKUP(G620,'Reference Tables'!$I$4:$J$9,2,FALSE)</x:f>
        <x:v>Moderate</x:v>
      </x:c>
      <x:c r="I620" s="101" t="n">
        <x:f>F620*'Inputs &amp; Guide'!$B$4*XLOOKUP(D620,'Reference Tables'!$A$4:$A$23,'Reference Tables'!$C$4:$C$23,0.75)</x:f>
        <x:v>70.90495776648154</x:v>
      </x:c>
      <x:c r="J620" s="102" t="n">
        <x:f>XLOOKUP(C620,'Reference Tables'!$E$4:$E$12,'Reference Tables'!$F$4:$F$12,0.05)</x:f>
        <x:v>0.18</x:v>
      </x:c>
      <x:c r="K620" s="103" t="n">
        <x:f>MIN(I620,F620*J620)</x:f>
        <x:v>70.90495776648154</x:v>
      </x:c>
      <x:c r="L620" s="103" t="n">
        <x:f>'Inputs &amp; Guide'!$B$5</x:f>
        <x:v>15</x:v>
      </x:c>
      <x:c r="M620" s="103" t="n">
        <x:f>I620*'Inputs &amp; Guide'!$B$6</x:f>
        <x:v>38.99772677156485</x:v>
      </x:c>
      <x:c r="N620" s="103" t="n">
        <x:f>MAX(0,MIN(K620-L620,M620))</x:f>
        <x:v>38.99772677156485</x:v>
      </x:c>
      <x:c r="O620" s="103" t="n">
        <x:f>MAX(0,N620-'Inputs &amp; Guide'!$B$7)</x:f>
        <x:v>0</x:v>
      </x:c>
      <x:c r="P620" s="103" t="n">
        <x:f>N620-O620</x:f>
        <x:v>38.99772677156485</x:v>
      </x:c>
      <x:c r="Q620" s="103" t="n">
        <x:f>I620*'Inputs &amp; Guide'!$B$8</x:f>
        <x:v>1.2762892397966676</x:v>
      </x:c>
      <x:c r="R620" s="104" t="n">
        <x:f>IFERROR(P620/Q620,0)</x:f>
        <x:v>30.55555555555556</x:v>
      </x:c>
      <x:c r="S620" s="105" t="n">
        <x:f>ROUND(E620*XLOOKUP(C620,'Reference Tables'!$E$4:$E$12,'Reference Tables'!$G$4:$G$12,1),1)</x:f>
        <x:v>14</x:v>
      </x:c>
      <x:c r="T620" s="106" t="str">
        <x:f>IF(R620&gt;='Inputs &amp; Guide'!$B$9,"HIGH",IF(R620&gt;=0.45,"WATCH","NORMAL"))</x:f>
        <x:v>HIGH</x:v>
      </x:c>
    </x:row>
    <x:row r="621">
      <x:c r="A621" s="95" t="n">
        <x:v>4937</x:v>
      </x:c>
      <x:c r="B621" s="96" t="n">
        <x:v>45497.4375</x:v>
      </x:c>
      <x:c r="C621" s="97" t="str">
        <x:v>Earthquake</x:v>
      </x:c>
      <x:c r="D621" s="97" t="str">
        <x:v>India</x:v>
      </x:c>
      <x:c r="E621" s="98" t="n">
        <x:v>3.102344243352936</x:v>
      </x:c>
      <x:c r="F621" s="99" t="n">
        <x:v>542.213377647205</x:v>
      </x:c>
      <x:c r="G621" s="100" t="str">
        <x:f>XLOOKUP(D621,'Reference Tables'!$A$4:$A$23,'Reference Tables'!$B$4:$B$23,"Other")</x:f>
        <x:v>Asia Pacific</x:v>
      </x:c>
      <x:c r="H621" s="100" t="str">
        <x:f>VLOOKUP(G621,'Reference Tables'!$I$4:$J$9,2,FALSE)</x:f>
        <x:v>High</x:v>
      </x:c>
      <x:c r="I621" s="101" t="n">
        <x:f>F621*'Inputs &amp; Guide'!$B$4*XLOOKUP(D621,'Reference Tables'!$A$4:$A$23,'Reference Tables'!$C$4:$C$23,0.75)</x:f>
        <x:v>78.94626778543305</x:v>
      </x:c>
      <x:c r="J621" s="102" t="n">
        <x:f>XLOOKUP(C621,'Reference Tables'!$E$4:$E$12,'Reference Tables'!$F$4:$F$12,0.05)</x:f>
        <x:v>0.14</x:v>
      </x:c>
      <x:c r="K621" s="103" t="n">
        <x:f>MIN(I621,F621*J621)</x:f>
        <x:v>75.90987287060871</x:v>
      </x:c>
      <x:c r="L621" s="103" t="n">
        <x:f>'Inputs &amp; Guide'!$B$5</x:f>
        <x:v>15</x:v>
      </x:c>
      <x:c r="M621" s="103" t="n">
        <x:f>I621*'Inputs &amp; Guide'!$B$6</x:f>
        <x:v>43.42044728198818</x:v>
      </x:c>
      <x:c r="N621" s="103" t="n">
        <x:f>MAX(0,MIN(K621-L621,M621))</x:f>
        <x:v>43.42044728198818</x:v>
      </x:c>
      <x:c r="O621" s="103" t="n">
        <x:f>MAX(0,N621-'Inputs &amp; Guide'!$B$7)</x:f>
        <x:v>0</x:v>
      </x:c>
      <x:c r="P621" s="103" t="n">
        <x:f>N621-O621</x:f>
        <x:v>43.42044728198818</x:v>
      </x:c>
      <x:c r="Q621" s="103" t="n">
        <x:f>I621*'Inputs &amp; Guide'!$B$8</x:f>
        <x:v>1.4210328201377949</x:v>
      </x:c>
      <x:c r="R621" s="104" t="n">
        <x:f>IFERROR(P621/Q621,0)</x:f>
        <x:v>30.55555555555556</x:v>
      </x:c>
      <x:c r="S621" s="105" t="n">
        <x:f>ROUND(E621*XLOOKUP(C621,'Reference Tables'!$E$4:$E$12,'Reference Tables'!$G$4:$G$12,1),1)</x:f>
        <x:v>4.7</x:v>
      </x:c>
      <x:c r="T621" s="106" t="str">
        <x:f>IF(R621&gt;='Inputs &amp; Guide'!$B$9,"HIGH",IF(R621&gt;=0.45,"WATCH","NORMAL"))</x:f>
        <x:v>HIGH</x:v>
      </x:c>
    </x:row>
    <x:row r="622">
      <x:c r="A622" s="95" t="n">
        <x:v>4945</x:v>
      </x:c>
      <x:c r="B622" s="96" t="n">
        <x:v>45498</x:v>
      </x:c>
      <x:c r="C622" s="97" t="str">
        <x:v>Tornado</x:v>
      </x:c>
      <x:c r="D622" s="97" t="str">
        <x:v>China</x:v>
      </x:c>
      <x:c r="E622" s="98" t="n">
        <x:v>6.34710319454612</x:v>
      </x:c>
      <x:c r="F622" s="99" t="n">
        <x:v>452.74677219980776</x:v>
      </x:c>
      <x:c r="G622" s="100" t="str">
        <x:f>XLOOKUP(D622,'Reference Tables'!$A$4:$A$23,'Reference Tables'!$B$4:$B$23,"Other")</x:f>
        <x:v>Asia Pacific</x:v>
      </x:c>
      <x:c r="H622" s="100" t="str">
        <x:f>VLOOKUP(G622,'Reference Tables'!$I$4:$J$9,2,FALSE)</x:f>
        <x:v>High</x:v>
      </x:c>
      <x:c r="I622" s="101" t="n">
        <x:f>F622*'Inputs &amp; Guide'!$B$4*XLOOKUP(D622,'Reference Tables'!$A$4:$A$23,'Reference Tables'!$C$4:$C$23,0.75)</x:f>
        <x:v>78.23464223612679</x:v>
      </x:c>
      <x:c r="J622" s="102" t="n">
        <x:f>XLOOKUP(C622,'Reference Tables'!$E$4:$E$12,'Reference Tables'!$F$4:$F$12,0.05)</x:f>
        <x:v>0.09</x:v>
      </x:c>
      <x:c r="K622" s="103" t="n">
        <x:f>MIN(I622,F622*J622)</x:f>
        <x:v>40.747209497982695</x:v>
      </x:c>
      <x:c r="L622" s="103" t="n">
        <x:f>'Inputs &amp; Guide'!$B$5</x:f>
        <x:v>15</x:v>
      </x:c>
      <x:c r="M622" s="103" t="n">
        <x:f>I622*'Inputs &amp; Guide'!$B$6</x:f>
        <x:v>43.02905322986974</x:v>
      </x:c>
      <x:c r="N622" s="103" t="n">
        <x:f>MAX(0,MIN(K622-L622,M622))</x:f>
        <x:v>25.747209497982695</x:v>
      </x:c>
      <x:c r="O622" s="103" t="n">
        <x:f>MAX(0,N622-'Inputs &amp; Guide'!$B$7)</x:f>
        <x:v>0</x:v>
      </x:c>
      <x:c r="P622" s="103" t="n">
        <x:f>N622-O622</x:f>
        <x:v>25.747209497982695</x:v>
      </x:c>
      <x:c r="Q622" s="103" t="n">
        <x:f>I622*'Inputs &amp; Guide'!$B$8</x:f>
        <x:v>1.4082235602502822</x:v>
      </x:c>
      <x:c r="R622" s="104" t="n">
        <x:f>IFERROR(P622/Q622,0)</x:f>
        <x:v>18.28346735898004</x:v>
      </x:c>
      <x:c r="S622" s="105" t="n">
        <x:f>ROUND(E622*XLOOKUP(C622,'Reference Tables'!$E$4:$E$12,'Reference Tables'!$G$4:$G$12,1),1)</x:f>
        <x:v>6.7</x:v>
      </x:c>
      <x:c r="T622" s="106" t="str">
        <x:f>IF(R622&gt;='Inputs &amp; Guide'!$B$9,"HIGH",IF(R622&gt;=0.45,"WATCH","NORMAL"))</x:f>
        <x:v>HIGH</x:v>
      </x:c>
    </x:row>
    <x:row r="623">
      <x:c r="A623" s="95" t="n">
        <x:v>4953</x:v>
      </x:c>
      <x:c r="B623" s="96" t="n">
        <x:v>45498.104166666664</x:v>
      </x:c>
      <x:c r="C623" s="97" t="str">
        <x:v>Tornado</x:v>
      </x:c>
      <x:c r="D623" s="97" t="str">
        <x:v>Brazil</x:v>
      </x:c>
      <x:c r="E623" s="98" t="n">
        <x:v>1.5501075023350679</x:v>
      </x:c>
      <x:c r="F623" s="99" t="n">
        <x:v>801.7518401068365</x:v>
      </x:c>
      <x:c r="G623" s="100" t="str">
        <x:f>XLOOKUP(D623,'Reference Tables'!$A$4:$A$23,'Reference Tables'!$B$4:$B$23,"Other")</x:f>
        <x:v>Latin America</x:v>
      </x:c>
      <x:c r="H623" s="100" t="str">
        <x:f>VLOOKUP(G623,'Reference Tables'!$I$4:$J$9,2,FALSE)</x:f>
        <x:v>Moderate</x:v>
      </x:c>
      <x:c r="I623" s="101" t="n">
        <x:f>F623*'Inputs &amp; Guide'!$B$4*XLOOKUP(D623,'Reference Tables'!$A$4:$A$23,'Reference Tables'!$C$4:$C$23,0.75)</x:f>
        <x:v>105.18984142201694</x:v>
      </x:c>
      <x:c r="J623" s="102" t="n">
        <x:f>XLOOKUP(C623,'Reference Tables'!$E$4:$E$12,'Reference Tables'!$F$4:$F$12,0.05)</x:f>
        <x:v>0.09</x:v>
      </x:c>
      <x:c r="K623" s="103" t="n">
        <x:f>MIN(I623,F623*J623)</x:f>
        <x:v>72.15766560961528</x:v>
      </x:c>
      <x:c r="L623" s="103" t="n">
        <x:f>'Inputs &amp; Guide'!$B$5</x:f>
        <x:v>15</x:v>
      </x:c>
      <x:c r="M623" s="103" t="n">
        <x:f>I623*'Inputs &amp; Guide'!$B$6</x:f>
        <x:v>57.85441278210932</x:v>
      </x:c>
      <x:c r="N623" s="103" t="n">
        <x:f>MAX(0,MIN(K623-L623,M623))</x:f>
        <x:v>57.15766560961528</x:v>
      </x:c>
      <x:c r="O623" s="103" t="n">
        <x:f>MAX(0,N623-'Inputs &amp; Guide'!$B$7)</x:f>
        <x:v>0</x:v>
      </x:c>
      <x:c r="P623" s="103" t="n">
        <x:f>N623-O623</x:f>
        <x:v>57.15766560961528</x:v>
      </x:c>
      <x:c r="Q623" s="103" t="n">
        <x:f>I623*'Inputs &amp; Guide'!$B$8</x:f>
        <x:v>1.8934171455963047</x:v>
      </x:c>
      <x:c r="R623" s="104" t="n">
        <x:f>IFERROR(P623/Q623,0)</x:f>
        <x:v>30.18757157795478</x:v>
      </x:c>
      <x:c r="S623" s="105" t="n">
        <x:f>ROUND(E623*XLOOKUP(C623,'Reference Tables'!$E$4:$E$12,'Reference Tables'!$G$4:$G$12,1),1)</x:f>
        <x:v>1.6</x:v>
      </x:c>
      <x:c r="T623" s="106" t="str">
        <x:f>IF(R623&gt;='Inputs &amp; Guide'!$B$9,"HIGH",IF(R623&gt;=0.45,"WATCH","NORMAL"))</x:f>
        <x:v>HIGH</x:v>
      </x:c>
    </x:row>
    <x:row r="624">
      <x:c r="A624" s="95" t="n">
        <x:v>4961</x:v>
      </x:c>
      <x:c r="B624" s="96" t="n">
        <x:v>45498.4375</x:v>
      </x:c>
      <x:c r="C624" s="97" t="str">
        <x:v>Flood</x:v>
      </x:c>
      <x:c r="D624" s="97" t="str">
        <x:v>Brazil</x:v>
      </x:c>
      <x:c r="E624" s="98" t="n">
        <x:v>9.02928476160119</x:v>
      </x:c>
      <x:c r="F624" s="99" t="n">
        <x:v>954.0786313330937</x:v>
      </x:c>
      <x:c r="G624" s="100" t="str">
        <x:f>XLOOKUP(D624,'Reference Tables'!$A$4:$A$23,'Reference Tables'!$B$4:$B$23,"Other")</x:f>
        <x:v>Latin America</x:v>
      </x:c>
      <x:c r="H624" s="100" t="str">
        <x:f>VLOOKUP(G624,'Reference Tables'!$I$4:$J$9,2,FALSE)</x:f>
        <x:v>Moderate</x:v>
      </x:c>
      <x:c r="I624" s="101" t="n">
        <x:f>F624*'Inputs &amp; Guide'!$B$4*XLOOKUP(D624,'Reference Tables'!$A$4:$A$23,'Reference Tables'!$C$4:$C$23,0.75)</x:f>
        <x:v>125.17511643090188</x:v>
      </x:c>
      <x:c r="J624" s="102" t="n">
        <x:f>XLOOKUP(C624,'Reference Tables'!$E$4:$E$12,'Reference Tables'!$F$4:$F$12,0.05)</x:f>
        <x:v>0.12</x:v>
      </x:c>
      <x:c r="K624" s="103" t="n">
        <x:f>MIN(I624,F624*J624)</x:f>
        <x:v>114.48943575997123</x:v>
      </x:c>
      <x:c r="L624" s="103" t="n">
        <x:f>'Inputs &amp; Guide'!$B$5</x:f>
        <x:v>15</x:v>
      </x:c>
      <x:c r="M624" s="103" t="n">
        <x:f>I624*'Inputs &amp; Guide'!$B$6</x:f>
        <x:v>68.84631403699603</x:v>
      </x:c>
      <x:c r="N624" s="103" t="n">
        <x:f>MAX(0,MIN(K624-L624,M624))</x:f>
        <x:v>68.84631403699603</x:v>
      </x:c>
      <x:c r="O624" s="103" t="n">
        <x:f>MAX(0,N624-'Inputs &amp; Guide'!$B$7)</x:f>
        <x:v>8.846314036996034</x:v>
      </x:c>
      <x:c r="P624" s="103" t="n">
        <x:f>N624-O624</x:f>
        <x:v>60</x:v>
      </x:c>
      <x:c r="Q624" s="103" t="n">
        <x:f>I624*'Inputs &amp; Guide'!$B$8</x:f>
        <x:v>2.2531520957562337</x:v>
      </x:c>
      <x:c r="R624" s="104" t="n">
        <x:f>IFERROR(P624/Q624,0)</x:f>
        <x:v>26.629360757761887</x:v>
      </x:c>
      <x:c r="S624" s="105" t="n">
        <x:f>ROUND(E624*XLOOKUP(C624,'Reference Tables'!$E$4:$E$12,'Reference Tables'!$G$4:$G$12,1),1)</x:f>
        <x:v>11.3</x:v>
      </x:c>
      <x:c r="T624" s="106" t="str">
        <x:f>IF(R624&gt;='Inputs &amp; Guide'!$B$9,"HIGH",IF(R624&gt;=0.45,"WATCH","NORMAL"))</x:f>
        <x:v>HIGH</x:v>
      </x:c>
    </x:row>
    <x:row r="625">
      <x:c r="A625" s="95" t="n">
        <x:v>4969</x:v>
      </x:c>
      <x:c r="B625" s="96" t="n">
        <x:v>45499</x:v>
      </x:c>
      <x:c r="C625" s="97" t="str">
        <x:v>Tornado</x:v>
      </x:c>
      <x:c r="D625" s="97" t="str">
        <x:v>Indonesia</x:v>
      </x:c>
      <x:c r="E625" s="98" t="n">
        <x:v>9.873197299733132</x:v>
      </x:c>
      <x:c r="F625" s="99" t="n">
        <x:v>970.616361637604</x:v>
      </x:c>
      <x:c r="G625" s="100" t="str">
        <x:f>XLOOKUP(D625,'Reference Tables'!$A$4:$A$23,'Reference Tables'!$B$4:$B$23,"Other")</x:f>
        <x:v>Asia Pacific</x:v>
      </x:c>
      <x:c r="H625" s="100" t="str">
        <x:f>VLOOKUP(G625,'Reference Tables'!$I$4:$J$9,2,FALSE)</x:f>
        <x:v>High</x:v>
      </x:c>
      <x:c r="I625" s="101" t="n">
        <x:f>F625*'Inputs &amp; Guide'!$B$4*XLOOKUP(D625,'Reference Tables'!$A$4:$A$23,'Reference Tables'!$C$4:$C$23,0.75)</x:f>
        <x:v>159.95757639787715</x:v>
      </x:c>
      <x:c r="J625" s="102" t="n">
        <x:f>XLOOKUP(C625,'Reference Tables'!$E$4:$E$12,'Reference Tables'!$F$4:$F$12,0.05)</x:f>
        <x:v>0.09</x:v>
      </x:c>
      <x:c r="K625" s="103" t="n">
        <x:f>MIN(I625,F625*J625)</x:f>
        <x:v>87.35547254738435</x:v>
      </x:c>
      <x:c r="L625" s="103" t="n">
        <x:f>'Inputs &amp; Guide'!$B$5</x:f>
        <x:v>15</x:v>
      </x:c>
      <x:c r="M625" s="103" t="n">
        <x:f>I625*'Inputs &amp; Guide'!$B$6</x:f>
        <x:v>87.97666701883244</x:v>
      </x:c>
      <x:c r="N625" s="103" t="n">
        <x:f>MAX(0,MIN(K625-L625,M625))</x:f>
        <x:v>72.35547254738435</x:v>
      </x:c>
      <x:c r="O625" s="103" t="n">
        <x:f>MAX(0,N625-'Inputs &amp; Guide'!$B$7)</x:f>
        <x:v>12.355472547384352</x:v>
      </x:c>
      <x:c r="P625" s="103" t="n">
        <x:f>N625-O625</x:f>
        <x:v>60</x:v>
      </x:c>
      <x:c r="Q625" s="103" t="n">
        <x:f>I625*'Inputs &amp; Guide'!$B$8</x:f>
        <x:v>2.8792363751617884</x:v>
      </x:c>
      <x:c r="R625" s="104" t="n">
        <x:f>IFERROR(P625/Q625,0)</x:f>
        <x:v>20.83885870489828</x:v>
      </x:c>
      <x:c r="S625" s="105" t="n">
        <x:f>ROUND(E625*XLOOKUP(C625,'Reference Tables'!$E$4:$E$12,'Reference Tables'!$G$4:$G$12,1),1)</x:f>
        <x:v>10.4</x:v>
      </x:c>
      <x:c r="T625" s="106" t="str">
        <x:f>IF(R625&gt;='Inputs &amp; Guide'!$B$9,"HIGH",IF(R625&gt;=0.45,"WATCH","NORMAL"))</x:f>
        <x:v>HIGH</x:v>
      </x:c>
    </x:row>
    <x:row r="626">
      <x:c r="A626" s="95" t="n">
        <x:v>4977</x:v>
      </x:c>
      <x:c r="B626" s="96" t="n">
        <x:v>45499.104166666664</x:v>
      </x:c>
      <x:c r="C626" s="97" t="str">
        <x:v>Tornado</x:v>
      </x:c>
      <x:c r="D626" s="97" t="str">
        <x:v>China</x:v>
      </x:c>
      <x:c r="E626" s="98" t="n">
        <x:v>6.415136592572481</x:v>
      </x:c>
      <x:c r="F626" s="99" t="n">
        <x:v>248.38162625791307</x:v>
      </x:c>
      <x:c r="G626" s="100" t="str">
        <x:f>XLOOKUP(D626,'Reference Tables'!$A$4:$A$23,'Reference Tables'!$B$4:$B$23,"Other")</x:f>
        <x:v>Asia Pacific</x:v>
      </x:c>
      <x:c r="H626" s="100" t="str">
        <x:f>VLOOKUP(G626,'Reference Tables'!$I$4:$J$9,2,FALSE)</x:f>
        <x:v>High</x:v>
      </x:c>
      <x:c r="I626" s="101" t="n">
        <x:f>F626*'Inputs &amp; Guide'!$B$4*XLOOKUP(D626,'Reference Tables'!$A$4:$A$23,'Reference Tables'!$C$4:$C$23,0.75)</x:f>
        <x:v>42.92034501736738</x:v>
      </x:c>
      <x:c r="J626" s="102" t="n">
        <x:f>XLOOKUP(C626,'Reference Tables'!$E$4:$E$12,'Reference Tables'!$F$4:$F$12,0.05)</x:f>
        <x:v>0.09</x:v>
      </x:c>
      <x:c r="K626" s="103" t="n">
        <x:f>MIN(I626,F626*J626)</x:f>
        <x:v>22.354346363212176</x:v>
      </x:c>
      <x:c r="L626" s="103" t="n">
        <x:f>'Inputs &amp; Guide'!$B$5</x:f>
        <x:v>15</x:v>
      </x:c>
      <x:c r="M626" s="103" t="n">
        <x:f>I626*'Inputs &amp; Guide'!$B$6</x:f>
        <x:v>23.606189759552063</x:v>
      </x:c>
      <x:c r="N626" s="103" t="n">
        <x:f>MAX(0,MIN(K626-L626,M626))</x:f>
        <x:v>7.354346363212176</x:v>
      </x:c>
      <x:c r="O626" s="103" t="n">
        <x:f>MAX(0,N626-'Inputs &amp; Guide'!$B$7)</x:f>
        <x:v>0</x:v>
      </x:c>
      <x:c r="P626" s="103" t="n">
        <x:f>N626-O626</x:f>
        <x:v>7.354346363212176</x:v>
      </x:c>
      <x:c r="Q626" s="103" t="n">
        <x:f>I626*'Inputs &amp; Guide'!$B$8</x:f>
        <x:v>0.7725662103126129</x:v>
      </x:c>
      <x:c r="R626" s="104" t="n">
        <x:f>IFERROR(P626/Q626,0)</x:f>
        <x:v>9.519373569595151</x:v>
      </x:c>
      <x:c r="S626" s="105" t="n">
        <x:f>ROUND(E626*XLOOKUP(C626,'Reference Tables'!$E$4:$E$12,'Reference Tables'!$G$4:$G$12,1),1)</x:f>
        <x:v>6.7</x:v>
      </x:c>
      <x:c r="T626" s="106" t="str">
        <x:f>IF(R626&gt;='Inputs &amp; Guide'!$B$9,"HIGH",IF(R626&gt;=0.45,"WATCH","NORMAL"))</x:f>
        <x:v>HIGH</x:v>
      </x:c>
    </x:row>
    <x:row r="627">
      <x:c r="A627" s="95" t="n">
        <x:v>4985</x:v>
      </x:c>
      <x:c r="B627" s="96" t="n">
        <x:v>45499.4375</x:v>
      </x:c>
      <x:c r="C627" s="97" t="str">
        <x:v>Wildfire</x:v>
      </x:c>
      <x:c r="D627" s="97" t="str">
        <x:v>Indonesia</x:v>
      </x:c>
      <x:c r="E627" s="98" t="n">
        <x:v>4.189608746423442</x:v>
      </x:c>
      <x:c r="F627" s="99" t="n">
        <x:v>247.56664552388744</x:v>
      </x:c>
      <x:c r="G627" s="100" t="str">
        <x:f>XLOOKUP(D627,'Reference Tables'!$A$4:$A$23,'Reference Tables'!$B$4:$B$23,"Other")</x:f>
        <x:v>Asia Pacific</x:v>
      </x:c>
      <x:c r="H627" s="100" t="str">
        <x:f>VLOOKUP(G627,'Reference Tables'!$I$4:$J$9,2,FALSE)</x:f>
        <x:v>High</x:v>
      </x:c>
      <x:c r="I627" s="101" t="n">
        <x:f>F627*'Inputs &amp; Guide'!$B$4*XLOOKUP(D627,'Reference Tables'!$A$4:$A$23,'Reference Tables'!$C$4:$C$23,0.75)</x:f>
        <x:v>40.798983182336656</x:v>
      </x:c>
      <x:c r="J627" s="102" t="n">
        <x:f>XLOOKUP(C627,'Reference Tables'!$E$4:$E$12,'Reference Tables'!$F$4:$F$12,0.05)</x:f>
        <x:v>0.1</x:v>
      </x:c>
      <x:c r="K627" s="103" t="n">
        <x:f>MIN(I627,F627*J627)</x:f>
        <x:v>24.756664552388745</x:v>
      </x:c>
      <x:c r="L627" s="103" t="n">
        <x:f>'Inputs &amp; Guide'!$B$5</x:f>
        <x:v>15</x:v>
      </x:c>
      <x:c r="M627" s="103" t="n">
        <x:f>I627*'Inputs &amp; Guide'!$B$6</x:f>
        <x:v>22.43944075028516</x:v>
      </x:c>
      <x:c r="N627" s="103" t="n">
        <x:f>MAX(0,MIN(K627-L627,M627))</x:f>
        <x:v>9.756664552388745</x:v>
      </x:c>
      <x:c r="O627" s="103" t="n">
        <x:f>MAX(0,N627-'Inputs &amp; Guide'!$B$7)</x:f>
        <x:v>0</x:v>
      </x:c>
      <x:c r="P627" s="103" t="n">
        <x:f>N627-O627</x:f>
        <x:v>9.756664552388745</x:v>
      </x:c>
      <x:c r="Q627" s="103" t="n">
        <x:f>I627*'Inputs &amp; Guide'!$B$8</x:f>
        <x:v>0.7343816972820597</x:v>
      </x:c>
      <x:c r="R627" s="104" t="n">
        <x:f>IFERROR(P627/Q627,0)</x:f>
        <x:v>13.28554971957781</x:v>
      </x:c>
      <x:c r="S627" s="105" t="n">
        <x:f>ROUND(E627*XLOOKUP(C627,'Reference Tables'!$E$4:$E$12,'Reference Tables'!$G$4:$G$12,1),1)</x:f>
        <x:v>4.8</x:v>
      </x:c>
      <x:c r="T627" s="106" t="str">
        <x:f>IF(R627&gt;='Inputs &amp; Guide'!$B$9,"HIGH",IF(R627&gt;=0.45,"WATCH","NORMAL"))</x:f>
        <x:v>HIGH</x:v>
      </x:c>
    </x:row>
    <x:row r="628">
      <x:c r="A628" s="95" t="n">
        <x:v>4993</x:v>
      </x:c>
      <x:c r="B628" s="96" t="n">
        <x:v>45500</x:v>
      </x:c>
      <x:c r="C628" s="97" t="str">
        <x:v>Flood</x:v>
      </x:c>
      <x:c r="D628" s="97" t="str">
        <x:v>India</x:v>
      </x:c>
      <x:c r="E628" s="98" t="n">
        <x:v>7.013906734923718</x:v>
      </x:c>
      <x:c r="F628" s="99" t="n">
        <x:v>357.52803525498956</x:v>
      </x:c>
      <x:c r="G628" s="100" t="str">
        <x:f>XLOOKUP(D628,'Reference Tables'!$A$4:$A$23,'Reference Tables'!$B$4:$B$23,"Other")</x:f>
        <x:v>Asia Pacific</x:v>
      </x:c>
      <x:c r="H628" s="100" t="str">
        <x:f>VLOOKUP(G628,'Reference Tables'!$I$4:$J$9,2,FALSE)</x:f>
        <x:v>High</x:v>
      </x:c>
      <x:c r="I628" s="101" t="n">
        <x:f>F628*'Inputs &amp; Guide'!$B$4*XLOOKUP(D628,'Reference Tables'!$A$4:$A$23,'Reference Tables'!$C$4:$C$23,0.75)</x:f>
        <x:v>52.056081933126485</x:v>
      </x:c>
      <x:c r="J628" s="102" t="n">
        <x:f>XLOOKUP(C628,'Reference Tables'!$E$4:$E$12,'Reference Tables'!$F$4:$F$12,0.05)</x:f>
        <x:v>0.12</x:v>
      </x:c>
      <x:c r="K628" s="103" t="n">
        <x:f>MIN(I628,F628*J628)</x:f>
        <x:v>42.90336423059875</x:v>
      </x:c>
      <x:c r="L628" s="103" t="n">
        <x:f>'Inputs &amp; Guide'!$B$5</x:f>
        <x:v>15</x:v>
      </x:c>
      <x:c r="M628" s="103" t="n">
        <x:f>I628*'Inputs &amp; Guide'!$B$6</x:f>
        <x:v>28.63084506321957</x:v>
      </x:c>
      <x:c r="N628" s="103" t="n">
        <x:f>MAX(0,MIN(K628-L628,M628))</x:f>
        <x:v>27.903364230598747</x:v>
      </x:c>
      <x:c r="O628" s="103" t="n">
        <x:f>MAX(0,N628-'Inputs &amp; Guide'!$B$7)</x:f>
        <x:v>0</x:v>
      </x:c>
      <x:c r="P628" s="103" t="n">
        <x:f>N628-O628</x:f>
        <x:v>27.903364230598747</x:v>
      </x:c>
      <x:c r="Q628" s="103" t="n">
        <x:f>I628*'Inputs &amp; Guide'!$B$8</x:f>
        <x:v>0.9370094747962766</x:v>
      </x:c>
      <x:c r="R628" s="104" t="n">
        <x:f>IFERROR(P628/Q628,0)</x:f>
        <x:v>29.77916977484722</x:v>
      </x:c>
      <x:c r="S628" s="105" t="n">
        <x:f>ROUND(E628*XLOOKUP(C628,'Reference Tables'!$E$4:$E$12,'Reference Tables'!$G$4:$G$12,1),1)</x:f>
        <x:v>8.8</x:v>
      </x:c>
      <x:c r="T628" s="106" t="str">
        <x:f>IF(R628&gt;='Inputs &amp; Guide'!$B$9,"HIGH",IF(R628&gt;=0.45,"WATCH","NORMAL"))</x:f>
        <x:v>HIGH</x:v>
      </x:c>
    </x:row>
    <x:row r="629">
      <x:c r="A629" s="95" t="n">
        <x:v>5001</x:v>
      </x:c>
      <x:c r="B629" s="96" t="n">
        <x:v>45500.104166666664</x:v>
      </x:c>
      <x:c r="C629" s="97" t="str">
        <x:v>Flood</x:v>
      </x:c>
      <x:c r="D629" s="97" t="str">
        <x:v>USA</x:v>
      </x:c>
      <x:c r="E629" s="98" t="n">
        <x:v>6.586844506072263</x:v>
      </x:c>
      <x:c r="F629" s="99" t="n">
        <x:v>362.140372562106</x:v>
      </x:c>
      <x:c r="G629" s="100" t="str">
        <x:f>XLOOKUP(D629,'Reference Tables'!$A$4:$A$23,'Reference Tables'!$B$4:$B$23,"Other")</x:f>
        <x:v>Other</x:v>
      </x:c>
      <x:c r="H629" s="100" t="str">
        <x:f>VLOOKUP(G629,'Reference Tables'!$I$4:$J$9,2,FALSE)</x:f>
        <x:v>Moderate</x:v>
      </x:c>
      <x:c r="I629" s="101" t="n">
        <x:f>F629*'Inputs &amp; Guide'!$B$4*XLOOKUP(D629,'Reference Tables'!$A$4:$A$23,'Reference Tables'!$C$4:$C$23,0.75)</x:f>
        <x:v>43.45684470745272</x:v>
      </x:c>
      <x:c r="J629" s="102" t="n">
        <x:f>XLOOKUP(C629,'Reference Tables'!$E$4:$E$12,'Reference Tables'!$F$4:$F$12,0.05)</x:f>
        <x:v>0.12</x:v>
      </x:c>
      <x:c r="K629" s="103" t="n">
        <x:f>MIN(I629,F629*J629)</x:f>
        <x:v>43.45684470745272</x:v>
      </x:c>
      <x:c r="L629" s="103" t="n">
        <x:f>'Inputs &amp; Guide'!$B$5</x:f>
        <x:v>15</x:v>
      </x:c>
      <x:c r="M629" s="103" t="n">
        <x:f>I629*'Inputs &amp; Guide'!$B$6</x:f>
        <x:v>23.901264589098997</x:v>
      </x:c>
      <x:c r="N629" s="103" t="n">
        <x:f>MAX(0,MIN(K629-L629,M629))</x:f>
        <x:v>23.901264589098997</x:v>
      </x:c>
      <x:c r="O629" s="103" t="n">
        <x:f>MAX(0,N629-'Inputs &amp; Guide'!$B$7)</x:f>
        <x:v>0</x:v>
      </x:c>
      <x:c r="P629" s="103" t="n">
        <x:f>N629-O629</x:f>
        <x:v>23.901264589098997</x:v>
      </x:c>
      <x:c r="Q629" s="103" t="n">
        <x:f>I629*'Inputs &amp; Guide'!$B$8</x:f>
        <x:v>0.7822232047341489</x:v>
      </x:c>
      <x:c r="R629" s="104" t="n">
        <x:f>IFERROR(P629/Q629,0)</x:f>
        <x:v>30.55555555555556</x:v>
      </x:c>
      <x:c r="S629" s="105" t="n">
        <x:f>ROUND(E629*XLOOKUP(C629,'Reference Tables'!$E$4:$E$12,'Reference Tables'!$G$4:$G$12,1),1)</x:f>
        <x:v>8.2</x:v>
      </x:c>
      <x:c r="T629" s="106" t="str">
        <x:f>IF(R629&gt;='Inputs &amp; Guide'!$B$9,"HIGH",IF(R629&gt;=0.45,"WATCH","NORMAL"))</x:f>
        <x:v>HIGH</x:v>
      </x:c>
    </x:row>
    <x:row r="630">
      <x:c r="A630" s="95" t="n">
        <x:v>5009</x:v>
      </x:c>
      <x:c r="B630" s="96" t="n">
        <x:v>45500.4375</x:v>
      </x:c>
      <x:c r="C630" s="97" t="str">
        <x:v>Hurricane</x:v>
      </x:c>
      <x:c r="D630" s="97" t="str">
        <x:v>Brazil</x:v>
      </x:c>
      <x:c r="E630" s="98" t="n">
        <x:v>1.5042626301369513</x:v>
      </x:c>
      <x:c r="F630" s="99" t="n">
        <x:v>230.5873950285785</x:v>
      </x:c>
      <x:c r="G630" s="100" t="str">
        <x:f>XLOOKUP(D630,'Reference Tables'!$A$4:$A$23,'Reference Tables'!$B$4:$B$23,"Other")</x:f>
        <x:v>Latin America</x:v>
      </x:c>
      <x:c r="H630" s="100" t="str">
        <x:f>VLOOKUP(G630,'Reference Tables'!$I$4:$J$9,2,FALSE)</x:f>
        <x:v>Moderate</x:v>
      </x:c>
      <x:c r="I630" s="101" t="n">
        <x:f>F630*'Inputs &amp; Guide'!$B$4*XLOOKUP(D630,'Reference Tables'!$A$4:$A$23,'Reference Tables'!$C$4:$C$23,0.75)</x:f>
        <x:v>30.2530662277495</x:v>
      </x:c>
      <x:c r="J630" s="102" t="n">
        <x:f>XLOOKUP(C630,'Reference Tables'!$E$4:$E$12,'Reference Tables'!$F$4:$F$12,0.05)</x:f>
        <x:v>0.18</x:v>
      </x:c>
      <x:c r="K630" s="103" t="n">
        <x:f>MIN(I630,F630*J630)</x:f>
        <x:v>30.2530662277495</x:v>
      </x:c>
      <x:c r="L630" s="103" t="n">
        <x:f>'Inputs &amp; Guide'!$B$5</x:f>
        <x:v>15</x:v>
      </x:c>
      <x:c r="M630" s="103" t="n">
        <x:f>I630*'Inputs &amp; Guide'!$B$6</x:f>
        <x:v>16.639186425262228</x:v>
      </x:c>
      <x:c r="N630" s="103" t="n">
        <x:f>MAX(0,MIN(K630-L630,M630))</x:f>
        <x:v>15.2530662277495</x:v>
      </x:c>
      <x:c r="O630" s="103" t="n">
        <x:f>MAX(0,N630-'Inputs &amp; Guide'!$B$7)</x:f>
        <x:v>0</x:v>
      </x:c>
      <x:c r="P630" s="103" t="n">
        <x:f>N630-O630</x:f>
        <x:v>15.2530662277495</x:v>
      </x:c>
      <x:c r="Q630" s="103" t="n">
        <x:f>I630*'Inputs &amp; Guide'!$B$8</x:f>
        <x:v>0.544555192099491</x:v>
      </x:c>
      <x:c r="R630" s="104" t="n">
        <x:f>IFERROR(P630/Q630,0)</x:f>
        <x:v>28.010138272564195</x:v>
      </x:c>
      <x:c r="S630" s="105" t="n">
        <x:f>ROUND(E630*XLOOKUP(C630,'Reference Tables'!$E$4:$E$12,'Reference Tables'!$G$4:$G$12,1),1)</x:f>
        <x:v>2.1</x:v>
      </x:c>
      <x:c r="T630" s="106" t="str">
        <x:f>IF(R630&gt;='Inputs &amp; Guide'!$B$9,"HIGH",IF(R630&gt;=0.45,"WATCH","NORMAL"))</x:f>
        <x:v>HIGH</x:v>
      </x:c>
    </x:row>
    <x:row r="631">
      <x:c r="A631" s="95" t="n">
        <x:v>5017</x:v>
      </x:c>
      <x:c r="B631" s="96" t="n">
        <x:v>45501</x:v>
      </x:c>
      <x:c r="C631" s="97" t="str">
        <x:v>Wildfire</x:v>
      </x:c>
      <x:c r="D631" s="97" t="str">
        <x:v>Brazil</x:v>
      </x:c>
      <x:c r="E631" s="98" t="n">
        <x:v>1.2006767305620643</x:v>
      </x:c>
      <x:c r="F631" s="99" t="n">
        <x:v>36.31755313417602</x:v>
      </x:c>
      <x:c r="G631" s="100" t="str">
        <x:f>XLOOKUP(D631,'Reference Tables'!$A$4:$A$23,'Reference Tables'!$B$4:$B$23,"Other")</x:f>
        <x:v>Latin America</x:v>
      </x:c>
      <x:c r="H631" s="100" t="str">
        <x:f>VLOOKUP(G631,'Reference Tables'!$I$4:$J$9,2,FALSE)</x:f>
        <x:v>Moderate</x:v>
      </x:c>
      <x:c r="I631" s="101" t="n">
        <x:f>F631*'Inputs &amp; Guide'!$B$4*XLOOKUP(D631,'Reference Tables'!$A$4:$A$23,'Reference Tables'!$C$4:$C$23,0.75)</x:f>
        <x:v>4.764862971203894</x:v>
      </x:c>
      <x:c r="J631" s="102" t="n">
        <x:f>XLOOKUP(C631,'Reference Tables'!$E$4:$E$12,'Reference Tables'!$F$4:$F$12,0.05)</x:f>
        <x:v>0.1</x:v>
      </x:c>
      <x:c r="K631" s="103" t="n">
        <x:f>MIN(I631,F631*J631)</x:f>
        <x:v>3.6317553134176026</x:v>
      </x:c>
      <x:c r="L631" s="103" t="n">
        <x:f>'Inputs &amp; Guide'!$B$5</x:f>
        <x:v>15</x:v>
      </x:c>
      <x:c r="M631" s="103" t="n">
        <x:f>I631*'Inputs &amp; Guide'!$B$6</x:f>
        <x:v>2.620674634162142</x:v>
      </x:c>
      <x:c r="N631" s="103" t="n">
        <x:f>MAX(0,MIN(K631-L631,M631))</x:f>
        <x:v>0</x:v>
      </x:c>
      <x:c r="O631" s="103" t="n">
        <x:f>MAX(0,N631-'Inputs &amp; Guide'!$B$7)</x:f>
        <x:v>0</x:v>
      </x:c>
      <x:c r="P631" s="103" t="n">
        <x:f>N631-O631</x:f>
        <x:v>0</x:v>
      </x:c>
      <x:c r="Q631" s="103" t="n">
        <x:f>I631*'Inputs &amp; Guide'!$B$8</x:f>
        <x:v>0.08576753348167009</x:v>
      </x:c>
      <x:c r="R631" s="104" t="n">
        <x:f>IFERROR(P631/Q631,0)</x:f>
        <x:v>0</x:v>
      </x:c>
      <x:c r="S631" s="105" t="n">
        <x:f>ROUND(E631*XLOOKUP(C631,'Reference Tables'!$E$4:$E$12,'Reference Tables'!$G$4:$G$12,1),1)</x:f>
        <x:v>1.4</x:v>
      </x:c>
      <x:c r="T631" s="106" t="str">
        <x:f>IF(R631&gt;='Inputs &amp; Guide'!$B$9,"HIGH",IF(R631&gt;=0.45,"WATCH","NORMAL"))</x:f>
        <x:v>NORMAL</x:v>
      </x:c>
    </x:row>
    <x:row r="632">
      <x:c r="A632" s="95" t="n">
        <x:v>5025</x:v>
      </x:c>
      <x:c r="B632" s="96" t="n">
        <x:v>45501.104166666664</x:v>
      </x:c>
      <x:c r="C632" s="97" t="str">
        <x:v>Earthquake</x:v>
      </x:c>
      <x:c r="D632" s="97" t="str">
        <x:v>Brazil</x:v>
      </x:c>
      <x:c r="E632" s="98" t="n">
        <x:v>9.58022801480266</x:v>
      </x:c>
      <x:c r="F632" s="99" t="n">
        <x:v>293.8469600063035</x:v>
      </x:c>
      <x:c r="G632" s="100" t="str">
        <x:f>XLOOKUP(D632,'Reference Tables'!$A$4:$A$23,'Reference Tables'!$B$4:$B$23,"Other")</x:f>
        <x:v>Latin America</x:v>
      </x:c>
      <x:c r="H632" s="100" t="str">
        <x:f>VLOOKUP(G632,'Reference Tables'!$I$4:$J$9,2,FALSE)</x:f>
        <x:v>Moderate</x:v>
      </x:c>
      <x:c r="I632" s="101" t="n">
        <x:f>F632*'Inputs &amp; Guide'!$B$4*XLOOKUP(D632,'Reference Tables'!$A$4:$A$23,'Reference Tables'!$C$4:$C$23,0.75)</x:f>
        <x:v>38.55272115282702</x:v>
      </x:c>
      <x:c r="J632" s="102" t="n">
        <x:f>XLOOKUP(C632,'Reference Tables'!$E$4:$E$12,'Reference Tables'!$F$4:$F$12,0.05)</x:f>
        <x:v>0.14</x:v>
      </x:c>
      <x:c r="K632" s="103" t="n">
        <x:f>MIN(I632,F632*J632)</x:f>
        <x:v>38.55272115282702</x:v>
      </x:c>
      <x:c r="L632" s="103" t="n">
        <x:f>'Inputs &amp; Guide'!$B$5</x:f>
        <x:v>15</x:v>
      </x:c>
      <x:c r="M632" s="103" t="n">
        <x:f>I632*'Inputs &amp; Guide'!$B$6</x:f>
        <x:v>21.20399663405486</x:v>
      </x:c>
      <x:c r="N632" s="103" t="n">
        <x:f>MAX(0,MIN(K632-L632,M632))</x:f>
        <x:v>21.20399663405486</x:v>
      </x:c>
      <x:c r="O632" s="103" t="n">
        <x:f>MAX(0,N632-'Inputs &amp; Guide'!$B$7)</x:f>
        <x:v>0</x:v>
      </x:c>
      <x:c r="P632" s="103" t="n">
        <x:f>N632-O632</x:f>
        <x:v>21.20399663405486</x:v>
      </x:c>
      <x:c r="Q632" s="103" t="n">
        <x:f>I632*'Inputs &amp; Guide'!$B$8</x:f>
        <x:v>0.6939489807508863</x:v>
      </x:c>
      <x:c r="R632" s="104" t="n">
        <x:f>IFERROR(P632/Q632,0)</x:f>
        <x:v>30.555555555555557</x:v>
      </x:c>
      <x:c r="S632" s="105" t="n">
        <x:f>ROUND(E632*XLOOKUP(C632,'Reference Tables'!$E$4:$E$12,'Reference Tables'!$G$4:$G$12,1),1)</x:f>
        <x:v>14.4</x:v>
      </x:c>
      <x:c r="T632" s="106" t="str">
        <x:f>IF(R632&gt;='Inputs &amp; Guide'!$B$9,"HIGH",IF(R632&gt;=0.45,"WATCH","NORMAL"))</x:f>
        <x:v>HIGH</x:v>
      </x:c>
    </x:row>
    <x:row r="633">
      <x:c r="A633" s="95" t="n">
        <x:v>5033</x:v>
      </x:c>
      <x:c r="B633" s="96" t="n">
        <x:v>45501.4375</x:v>
      </x:c>
      <x:c r="C633" s="97" t="str">
        <x:v>Wildfire</x:v>
      </x:c>
      <x:c r="D633" s="97" t="str">
        <x:v>India</x:v>
      </x:c>
      <x:c r="E633" s="98" t="n">
        <x:v>4.729719432867944</x:v>
      </x:c>
      <x:c r="F633" s="99" t="n">
        <x:v>179.1964626486682</x:v>
      </x:c>
      <x:c r="G633" s="100" t="str">
        <x:f>XLOOKUP(D633,'Reference Tables'!$A$4:$A$23,'Reference Tables'!$B$4:$B$23,"Other")</x:f>
        <x:v>Asia Pacific</x:v>
      </x:c>
      <x:c r="H633" s="100" t="str">
        <x:f>VLOOKUP(G633,'Reference Tables'!$I$4:$J$9,2,FALSE)</x:f>
        <x:v>High</x:v>
      </x:c>
      <x:c r="I633" s="101" t="n">
        <x:f>F633*'Inputs &amp; Guide'!$B$4*XLOOKUP(D633,'Reference Tables'!$A$4:$A$23,'Reference Tables'!$C$4:$C$23,0.75)</x:f>
        <x:v>26.09100496164609</x:v>
      </x:c>
      <x:c r="J633" s="102" t="n">
        <x:f>XLOOKUP(C633,'Reference Tables'!$E$4:$E$12,'Reference Tables'!$F$4:$F$12,0.05)</x:f>
        <x:v>0.1</x:v>
      </x:c>
      <x:c r="K633" s="103" t="n">
        <x:f>MIN(I633,F633*J633)</x:f>
        <x:v>17.91964626486682</x:v>
      </x:c>
      <x:c r="L633" s="103" t="n">
        <x:f>'Inputs &amp; Guide'!$B$5</x:f>
        <x:v>15</x:v>
      </x:c>
      <x:c r="M633" s="103" t="n">
        <x:f>I633*'Inputs &amp; Guide'!$B$6</x:f>
        <x:v>14.35005272890535</x:v>
      </x:c>
      <x:c r="N633" s="103" t="n">
        <x:f>MAX(0,MIN(K633-L633,M633))</x:f>
        <x:v>2.91964626486682</x:v>
      </x:c>
      <x:c r="O633" s="103" t="n">
        <x:f>MAX(0,N633-'Inputs &amp; Guide'!$B$7)</x:f>
        <x:v>0</x:v>
      </x:c>
      <x:c r="P633" s="103" t="n">
        <x:f>N633-O633</x:f>
        <x:v>2.91964626486682</x:v>
      </x:c>
      <x:c r="Q633" s="103" t="n">
        <x:f>I633*'Inputs &amp; Guide'!$B$8</x:f>
        <x:v>0.4696380893096296</x:v>
      </x:c>
      <x:c r="R633" s="104" t="n">
        <x:f>IFERROR(P633/Q633,0)</x:f>
        <x:v>6.216800407221474</x:v>
      </x:c>
      <x:c r="S633" s="105" t="n">
        <x:f>ROUND(E633*XLOOKUP(C633,'Reference Tables'!$E$4:$E$12,'Reference Tables'!$G$4:$G$12,1),1)</x:f>
        <x:v>5.4</x:v>
      </x:c>
      <x:c r="T633" s="106" t="str">
        <x:f>IF(R633&gt;='Inputs &amp; Guide'!$B$9,"HIGH",IF(R633&gt;=0.45,"WATCH","NORMAL"))</x:f>
        <x:v>HIGH</x:v>
      </x:c>
    </x:row>
    <x:row r="634">
      <x:c r="A634" s="95" t="n">
        <x:v>5041</x:v>
      </x:c>
      <x:c r="B634" s="96" t="n">
        <x:v>45502</x:v>
      </x:c>
      <x:c r="C634" s="97" t="str">
        <x:v>Tornado</x:v>
      </x:c>
      <x:c r="D634" s="97" t="str">
        <x:v>USA</x:v>
      </x:c>
      <x:c r="E634" s="98" t="n">
        <x:v>5.194168962986419</x:v>
      </x:c>
      <x:c r="F634" s="99" t="n">
        <x:v>162.74583555970926</x:v>
      </x:c>
      <x:c r="G634" s="100" t="str">
        <x:f>XLOOKUP(D634,'Reference Tables'!$A$4:$A$23,'Reference Tables'!$B$4:$B$23,"Other")</x:f>
        <x:v>Other</x:v>
      </x:c>
      <x:c r="H634" s="100" t="str">
        <x:f>VLOOKUP(G634,'Reference Tables'!$I$4:$J$9,2,FALSE)</x:f>
        <x:v>Moderate</x:v>
      </x:c>
      <x:c r="I634" s="101" t="n">
        <x:f>F634*'Inputs &amp; Guide'!$B$4*XLOOKUP(D634,'Reference Tables'!$A$4:$A$23,'Reference Tables'!$C$4:$C$23,0.75)</x:f>
        <x:v>19.529500267165112</x:v>
      </x:c>
      <x:c r="J634" s="102" t="n">
        <x:f>XLOOKUP(C634,'Reference Tables'!$E$4:$E$12,'Reference Tables'!$F$4:$F$12,0.05)</x:f>
        <x:v>0.09</x:v>
      </x:c>
      <x:c r="K634" s="103" t="n">
        <x:f>MIN(I634,F634*J634)</x:f>
        <x:v>14.647125200373834</x:v>
      </x:c>
      <x:c r="L634" s="103" t="n">
        <x:f>'Inputs &amp; Guide'!$B$5</x:f>
        <x:v>15</x:v>
      </x:c>
      <x:c r="M634" s="103" t="n">
        <x:f>I634*'Inputs &amp; Guide'!$B$6</x:f>
        <x:v>10.741225146940812</x:v>
      </x:c>
      <x:c r="N634" s="103" t="n">
        <x:f>MAX(0,MIN(K634-L634,M634))</x:f>
        <x:v>0</x:v>
      </x:c>
      <x:c r="O634" s="103" t="n">
        <x:f>MAX(0,N634-'Inputs &amp; Guide'!$B$7)</x:f>
        <x:v>0</x:v>
      </x:c>
      <x:c r="P634" s="103" t="n">
        <x:f>N634-O634</x:f>
        <x:v>0</x:v>
      </x:c>
      <x:c r="Q634" s="103" t="n">
        <x:f>I634*'Inputs &amp; Guide'!$B$8</x:f>
        <x:v>0.351531004808972</x:v>
      </x:c>
      <x:c r="R634" s="104" t="n">
        <x:f>IFERROR(P634/Q634,0)</x:f>
        <x:v>0</x:v>
      </x:c>
      <x:c r="S634" s="105" t="n">
        <x:f>ROUND(E634*XLOOKUP(C634,'Reference Tables'!$E$4:$E$12,'Reference Tables'!$G$4:$G$12,1),1)</x:f>
        <x:v>5.5</x:v>
      </x:c>
      <x:c r="T634" s="106" t="str">
        <x:f>IF(R634&gt;='Inputs &amp; Guide'!$B$9,"HIGH",IF(R634&gt;=0.45,"WATCH","NORMAL"))</x:f>
        <x:v>NORMAL</x:v>
      </x:c>
    </x:row>
    <x:row r="635">
      <x:c r="A635" s="95" t="n">
        <x:v>5049</x:v>
      </x:c>
      <x:c r="B635" s="96" t="n">
        <x:v>45502.104166666664</x:v>
      </x:c>
      <x:c r="C635" s="97" t="str">
        <x:v>Earthquake</x:v>
      </x:c>
      <x:c r="D635" s="97" t="str">
        <x:v>Japan</x:v>
      </x:c>
      <x:c r="E635" s="98" t="n">
        <x:v>6.140364816492766</x:v>
      </x:c>
      <x:c r="F635" s="99" t="n">
        <x:v>54.41095925649206</x:v>
      </x:c>
      <x:c r="G635" s="100" t="str">
        <x:f>XLOOKUP(D635,'Reference Tables'!$A$4:$A$23,'Reference Tables'!$B$4:$B$23,"Other")</x:f>
        <x:v>Asia Pacific</x:v>
      </x:c>
      <x:c r="H635" s="100" t="str">
        <x:f>VLOOKUP(G635,'Reference Tables'!$I$4:$J$9,2,FALSE)</x:f>
        <x:v>High</x:v>
      </x:c>
      <x:c r="I635" s="101" t="n">
        <x:f>F635*'Inputs &amp; Guide'!$B$4*XLOOKUP(D635,'Reference Tables'!$A$4:$A$23,'Reference Tables'!$C$4:$C$23,0.75)</x:f>
        <x:v>10.272789107625702</x:v>
      </x:c>
      <x:c r="J635" s="102" t="n">
        <x:f>XLOOKUP(C635,'Reference Tables'!$E$4:$E$12,'Reference Tables'!$F$4:$F$12,0.05)</x:f>
        <x:v>0.14</x:v>
      </x:c>
      <x:c r="K635" s="103" t="n">
        <x:f>MIN(I635,F635*J635)</x:f>
        <x:v>7.617534295908889</x:v>
      </x:c>
      <x:c r="L635" s="103" t="n">
        <x:f>'Inputs &amp; Guide'!$B$5</x:f>
        <x:v>15</x:v>
      </x:c>
      <x:c r="M635" s="103" t="n">
        <x:f>I635*'Inputs &amp; Guide'!$B$6</x:f>
        <x:v>5.650034009194137</x:v>
      </x:c>
      <x:c r="N635" s="103" t="n">
        <x:f>MAX(0,MIN(K635-L635,M635))</x:f>
        <x:v>0</x:v>
      </x:c>
      <x:c r="O635" s="103" t="n">
        <x:f>MAX(0,N635-'Inputs &amp; Guide'!$B$7)</x:f>
        <x:v>0</x:v>
      </x:c>
      <x:c r="P635" s="103" t="n">
        <x:f>N635-O635</x:f>
        <x:v>0</x:v>
      </x:c>
      <x:c r="Q635" s="103" t="n">
        <x:f>I635*'Inputs &amp; Guide'!$B$8</x:f>
        <x:v>0.18491020393726262</x:v>
      </x:c>
      <x:c r="R635" s="104" t="n">
        <x:f>IFERROR(P635/Q635,0)</x:f>
        <x:v>0</x:v>
      </x:c>
      <x:c r="S635" s="105" t="n">
        <x:f>ROUND(E635*XLOOKUP(C635,'Reference Tables'!$E$4:$E$12,'Reference Tables'!$G$4:$G$12,1),1)</x:f>
        <x:v>9.2</x:v>
      </x:c>
      <x:c r="T635" s="106" t="str">
        <x:f>IF(R635&gt;='Inputs &amp; Guide'!$B$9,"HIGH",IF(R635&gt;=0.45,"WATCH","NORMAL"))</x:f>
        <x:v>NORMAL</x:v>
      </x:c>
    </x:row>
    <x:row r="636">
      <x:c r="A636" s="95" t="n">
        <x:v>5057</x:v>
      </x:c>
      <x:c r="B636" s="96" t="n">
        <x:v>45502.4375</x:v>
      </x:c>
      <x:c r="C636" s="97" t="str">
        <x:v>Tornado</x:v>
      </x:c>
      <x:c r="D636" s="97" t="str">
        <x:v>Japan</x:v>
      </x:c>
      <x:c r="E636" s="98" t="n">
        <x:v>8.380015178665348</x:v>
      </x:c>
      <x:c r="F636" s="99" t="n">
        <x:v>405.8618339766065</x:v>
      </x:c>
      <x:c r="G636" s="100" t="str">
        <x:f>XLOOKUP(D636,'Reference Tables'!$A$4:$A$23,'Reference Tables'!$B$4:$B$23,"Other")</x:f>
        <x:v>Asia Pacific</x:v>
      </x:c>
      <x:c r="H636" s="100" t="str">
        <x:f>VLOOKUP(G636,'Reference Tables'!$I$4:$J$9,2,FALSE)</x:f>
        <x:v>High</x:v>
      </x:c>
      <x:c r="I636" s="101" t="n">
        <x:f>F636*'Inputs &amp; Guide'!$B$4*XLOOKUP(D636,'Reference Tables'!$A$4:$A$23,'Reference Tables'!$C$4:$C$23,0.75)</x:f>
        <x:v>76.62671425478331</x:v>
      </x:c>
      <x:c r="J636" s="102" t="n">
        <x:f>XLOOKUP(C636,'Reference Tables'!$E$4:$E$12,'Reference Tables'!$F$4:$F$12,0.05)</x:f>
        <x:v>0.09</x:v>
      </x:c>
      <x:c r="K636" s="103" t="n">
        <x:f>MIN(I636,F636*J636)</x:f>
        <x:v>36.527565057894584</x:v>
      </x:c>
      <x:c r="L636" s="103" t="n">
        <x:f>'Inputs &amp; Guide'!$B$5</x:f>
        <x:v>15</x:v>
      </x:c>
      <x:c r="M636" s="103" t="n">
        <x:f>I636*'Inputs &amp; Guide'!$B$6</x:f>
        <x:v>42.14469284013082</x:v>
      </x:c>
      <x:c r="N636" s="103" t="n">
        <x:f>MAX(0,MIN(K636-L636,M636))</x:f>
        <x:v>21.527565057894584</x:v>
      </x:c>
      <x:c r="O636" s="103" t="n">
        <x:f>MAX(0,N636-'Inputs &amp; Guide'!$B$7)</x:f>
        <x:v>0</x:v>
      </x:c>
      <x:c r="P636" s="103" t="n">
        <x:f>N636-O636</x:f>
        <x:v>21.527565057894584</x:v>
      </x:c>
      <x:c r="Q636" s="103" t="n">
        <x:f>I636*'Inputs &amp; Guide'!$B$8</x:f>
        <x:v>1.3792808565860994</x:v>
      </x:c>
      <x:c r="R636" s="104" t="n">
        <x:f>IFERROR(P636/Q636,0)</x:f>
        <x:v>15.607818346133016</x:v>
      </x:c>
      <x:c r="S636" s="105" t="n">
        <x:f>ROUND(E636*XLOOKUP(C636,'Reference Tables'!$E$4:$E$12,'Reference Tables'!$G$4:$G$12,1),1)</x:f>
        <x:v>8.8</x:v>
      </x:c>
      <x:c r="T636" s="106" t="str">
        <x:f>IF(R636&gt;='Inputs &amp; Guide'!$B$9,"HIGH",IF(R636&gt;=0.45,"WATCH","NORMAL"))</x:f>
        <x:v>HIGH</x:v>
      </x:c>
    </x:row>
    <x:row r="637">
      <x:c r="A637" s="95" t="n">
        <x:v>5065</x:v>
      </x:c>
      <x:c r="B637" s="96" t="n">
        <x:v>45503</x:v>
      </x:c>
      <x:c r="C637" s="97" t="str">
        <x:v>Tornado</x:v>
      </x:c>
      <x:c r="D637" s="97" t="str">
        <x:v>Brazil</x:v>
      </x:c>
      <x:c r="E637" s="98" t="n">
        <x:v>9.949467685018023</x:v>
      </x:c>
      <x:c r="F637" s="99" t="n">
        <x:v>927.5370622772768</x:v>
      </x:c>
      <x:c r="G637" s="100" t="str">
        <x:f>XLOOKUP(D637,'Reference Tables'!$A$4:$A$23,'Reference Tables'!$B$4:$B$23,"Other")</x:f>
        <x:v>Latin America</x:v>
      </x:c>
      <x:c r="H637" s="100" t="str">
        <x:f>VLOOKUP(G637,'Reference Tables'!$I$4:$J$9,2,FALSE)</x:f>
        <x:v>Moderate</x:v>
      </x:c>
      <x:c r="I637" s="101" t="n">
        <x:f>F637*'Inputs &amp; Guide'!$B$4*XLOOKUP(D637,'Reference Tables'!$A$4:$A$23,'Reference Tables'!$C$4:$C$23,0.75)</x:f>
        <x:v>121.69286257077873</x:v>
      </x:c>
      <x:c r="J637" s="102" t="n">
        <x:f>XLOOKUP(C637,'Reference Tables'!$E$4:$E$12,'Reference Tables'!$F$4:$F$12,0.05)</x:f>
        <x:v>0.09</x:v>
      </x:c>
      <x:c r="K637" s="103" t="n">
        <x:f>MIN(I637,F637*J637)</x:f>
        <x:v>83.4783356049549</x:v>
      </x:c>
      <x:c r="L637" s="103" t="n">
        <x:f>'Inputs &amp; Guide'!$B$5</x:f>
        <x:v>15</x:v>
      </x:c>
      <x:c r="M637" s="103" t="n">
        <x:f>I637*'Inputs &amp; Guide'!$B$6</x:f>
        <x:v>66.9310744139283</x:v>
      </x:c>
      <x:c r="N637" s="103" t="n">
        <x:f>MAX(0,MIN(K637-L637,M637))</x:f>
        <x:v>66.9310744139283</x:v>
      </x:c>
      <x:c r="O637" s="103" t="n">
        <x:f>MAX(0,N637-'Inputs &amp; Guide'!$B$7)</x:f>
        <x:v>6.9310744139283</x:v>
      </x:c>
      <x:c r="P637" s="103" t="n">
        <x:f>N637-O637</x:f>
        <x:v>60</x:v>
      </x:c>
      <x:c r="Q637" s="103" t="n">
        <x:f>I637*'Inputs &amp; Guide'!$B$8</x:f>
        <x:v>2.190471526274017</x:v>
      </x:c>
      <x:c r="R637" s="104" t="n">
        <x:f>IFERROR(P637/Q637,0)</x:f>
        <x:v>27.391362672519993</x:v>
      </x:c>
      <x:c r="S637" s="105" t="n">
        <x:f>ROUND(E637*XLOOKUP(C637,'Reference Tables'!$E$4:$E$12,'Reference Tables'!$G$4:$G$12,1),1)</x:f>
        <x:v>10.4</x:v>
      </x:c>
      <x:c r="T637" s="106" t="str">
        <x:f>IF(R637&gt;='Inputs &amp; Guide'!$B$9,"HIGH",IF(R637&gt;=0.45,"WATCH","NORMAL"))</x:f>
        <x:v>HIGH</x:v>
      </x:c>
    </x:row>
    <x:row r="638">
      <x:c r="A638" s="95" t="n">
        <x:v>5073</x:v>
      </x:c>
      <x:c r="B638" s="96" t="n">
        <x:v>45503.104166666664</x:v>
      </x:c>
      <x:c r="C638" s="97" t="str">
        <x:v>Tornado</x:v>
      </x:c>
      <x:c r="D638" s="97" t="str">
        <x:v>Japan</x:v>
      </x:c>
      <x:c r="E638" s="98" t="n">
        <x:v>1.2630612281836415</x:v>
      </x:c>
      <x:c r="F638" s="99" t="n">
        <x:v>751.7866224757271</x:v>
      </x:c>
      <x:c r="G638" s="100" t="str">
        <x:f>XLOOKUP(D638,'Reference Tables'!$A$4:$A$23,'Reference Tables'!$B$4:$B$23,"Other")</x:f>
        <x:v>Asia Pacific</x:v>
      </x:c>
      <x:c r="H638" s="100" t="str">
        <x:f>VLOOKUP(G638,'Reference Tables'!$I$4:$J$9,2,FALSE)</x:f>
        <x:v>High</x:v>
      </x:c>
      <x:c r="I638" s="101" t="n">
        <x:f>F638*'Inputs &amp; Guide'!$B$4*XLOOKUP(D638,'Reference Tables'!$A$4:$A$23,'Reference Tables'!$C$4:$C$23,0.75)</x:f>
        <x:v>141.93731432341727</x:v>
      </x:c>
      <x:c r="J638" s="102" t="n">
        <x:f>XLOOKUP(C638,'Reference Tables'!$E$4:$E$12,'Reference Tables'!$F$4:$F$12,0.05)</x:f>
        <x:v>0.09</x:v>
      </x:c>
      <x:c r="K638" s="103" t="n">
        <x:f>MIN(I638,F638*J638)</x:f>
        <x:v>67.66079602281543</x:v>
      </x:c>
      <x:c r="L638" s="103" t="n">
        <x:f>'Inputs &amp; Guide'!$B$5</x:f>
        <x:v>15</x:v>
      </x:c>
      <x:c r="M638" s="103" t="n">
        <x:f>I638*'Inputs &amp; Guide'!$B$6</x:f>
        <x:v>78.0655228778795</x:v>
      </x:c>
      <x:c r="N638" s="103" t="n">
        <x:f>MAX(0,MIN(K638-L638,M638))</x:f>
        <x:v>52.66079602281543</x:v>
      </x:c>
      <x:c r="O638" s="103" t="n">
        <x:f>MAX(0,N638-'Inputs &amp; Guide'!$B$7)</x:f>
        <x:v>0</x:v>
      </x:c>
      <x:c r="P638" s="103" t="n">
        <x:f>N638-O638</x:f>
        <x:v>52.66079602281543</x:v>
      </x:c>
      <x:c r="Q638" s="103" t="n">
        <x:f>I638*'Inputs &amp; Guide'!$B$8</x:f>
        <x:v>2.5548716578215105</x:v>
      </x:c>
      <x:c r="R638" s="104" t="n">
        <x:f>IFERROR(P638/Q638,0)</x:f>
        <x:v>20.61191444259015</x:v>
      </x:c>
      <x:c r="S638" s="105" t="n">
        <x:f>ROUND(E638*XLOOKUP(C638,'Reference Tables'!$E$4:$E$12,'Reference Tables'!$G$4:$G$12,1),1)</x:f>
        <x:v>1.3</x:v>
      </x:c>
      <x:c r="T638" s="106" t="str">
        <x:f>IF(R638&gt;='Inputs &amp; Guide'!$B$9,"HIGH",IF(R638&gt;=0.45,"WATCH","NORMAL"))</x:f>
        <x:v>HIGH</x:v>
      </x:c>
    </x:row>
    <x:row r="639">
      <x:c r="A639" s="95" t="n">
        <x:v>5081</x:v>
      </x:c>
      <x:c r="B639" s="96" t="n">
        <x:v>45503.4375</x:v>
      </x:c>
      <x:c r="C639" s="97" t="str">
        <x:v>Wildfire</x:v>
      </x:c>
      <x:c r="D639" s="97" t="str">
        <x:v>USA</x:v>
      </x:c>
      <x:c r="E639" s="98" t="n">
        <x:v>4.210754224452073</x:v>
      </x:c>
      <x:c r="F639" s="99" t="n">
        <x:v>442.09598512824186</x:v>
      </x:c>
      <x:c r="G639" s="100" t="str">
        <x:f>XLOOKUP(D639,'Reference Tables'!$A$4:$A$23,'Reference Tables'!$B$4:$B$23,"Other")</x:f>
        <x:v>Other</x:v>
      </x:c>
      <x:c r="H639" s="100" t="str">
        <x:f>VLOOKUP(G639,'Reference Tables'!$I$4:$J$9,2,FALSE)</x:f>
        <x:v>Moderate</x:v>
      </x:c>
      <x:c r="I639" s="101" t="n">
        <x:f>F639*'Inputs &amp; Guide'!$B$4*XLOOKUP(D639,'Reference Tables'!$A$4:$A$23,'Reference Tables'!$C$4:$C$23,0.75)</x:f>
        <x:v>53.051518215389024</x:v>
      </x:c>
      <x:c r="J639" s="102" t="n">
        <x:f>XLOOKUP(C639,'Reference Tables'!$E$4:$E$12,'Reference Tables'!$F$4:$F$12,0.05)</x:f>
        <x:v>0.1</x:v>
      </x:c>
      <x:c r="K639" s="103" t="n">
        <x:f>MIN(I639,F639*J639)</x:f>
        <x:v>44.209598512824186</x:v>
      </x:c>
      <x:c r="L639" s="103" t="n">
        <x:f>'Inputs &amp; Guide'!$B$5</x:f>
        <x:v>15</x:v>
      </x:c>
      <x:c r="M639" s="103" t="n">
        <x:f>I639*'Inputs &amp; Guide'!$B$6</x:f>
        <x:v>29.178335018463965</x:v>
      </x:c>
      <x:c r="N639" s="103" t="n">
        <x:f>MAX(0,MIN(K639-L639,M639))</x:f>
        <x:v>29.178335018463965</x:v>
      </x:c>
      <x:c r="O639" s="103" t="n">
        <x:f>MAX(0,N639-'Inputs &amp; Guide'!$B$7)</x:f>
        <x:v>0</x:v>
      </x:c>
      <x:c r="P639" s="103" t="n">
        <x:f>N639-O639</x:f>
        <x:v>29.178335018463965</x:v>
      </x:c>
      <x:c r="Q639" s="103" t="n">
        <x:f>I639*'Inputs &amp; Guide'!$B$8</x:f>
        <x:v>0.9549273278770024</x:v>
      </x:c>
      <x:c r="R639" s="104" t="n">
        <x:f>IFERROR(P639/Q639,0)</x:f>
        <x:v>30.555555555555557</x:v>
      </x:c>
      <x:c r="S639" s="105" t="n">
        <x:f>ROUND(E639*XLOOKUP(C639,'Reference Tables'!$E$4:$E$12,'Reference Tables'!$G$4:$G$12,1),1)</x:f>
        <x:v>4.8</x:v>
      </x:c>
      <x:c r="T639" s="106" t="str">
        <x:f>IF(R639&gt;='Inputs &amp; Guide'!$B$9,"HIGH",IF(R639&gt;=0.45,"WATCH","NORMAL"))</x:f>
        <x:v>HIGH</x:v>
      </x:c>
    </x:row>
    <x:row r="640">
      <x:c r="A640" s="95" t="n">
        <x:v>5089</x:v>
      </x:c>
      <x:c r="B640" s="96" t="n">
        <x:v>45504</x:v>
      </x:c>
      <x:c r="C640" s="97" t="str">
        <x:v>Wildfire</x:v>
      </x:c>
      <x:c r="D640" s="97" t="str">
        <x:v>China</x:v>
      </x:c>
      <x:c r="E640" s="98" t="n">
        <x:v>7.507556402855767</x:v>
      </x:c>
      <x:c r="F640" s="99" t="n">
        <x:v>98.42691525930337</x:v>
      </x:c>
      <x:c r="G640" s="100" t="str">
        <x:f>XLOOKUP(D640,'Reference Tables'!$A$4:$A$23,'Reference Tables'!$B$4:$B$23,"Other")</x:f>
        <x:v>Asia Pacific</x:v>
      </x:c>
      <x:c r="H640" s="100" t="str">
        <x:f>VLOOKUP(G640,'Reference Tables'!$I$4:$J$9,2,FALSE)</x:f>
        <x:v>High</x:v>
      </x:c>
      <x:c r="I640" s="101" t="n">
        <x:f>F640*'Inputs &amp; Guide'!$B$4*XLOOKUP(D640,'Reference Tables'!$A$4:$A$23,'Reference Tables'!$C$4:$C$23,0.75)</x:f>
        <x:v>17.008170956807625</x:v>
      </x:c>
      <x:c r="J640" s="102" t="n">
        <x:f>XLOOKUP(C640,'Reference Tables'!$E$4:$E$12,'Reference Tables'!$F$4:$F$12,0.05)</x:f>
        <x:v>0.1</x:v>
      </x:c>
      <x:c r="K640" s="103" t="n">
        <x:f>MIN(I640,F640*J640)</x:f>
        <x:v>9.842691525930338</x:v>
      </x:c>
      <x:c r="L640" s="103" t="n">
        <x:f>'Inputs &amp; Guide'!$B$5</x:f>
        <x:v>15</x:v>
      </x:c>
      <x:c r="M640" s="103" t="n">
        <x:f>I640*'Inputs &amp; Guide'!$B$6</x:f>
        <x:v>9.354494026244195</x:v>
      </x:c>
      <x:c r="N640" s="103" t="n">
        <x:f>MAX(0,MIN(K640-L640,M640))</x:f>
        <x:v>0</x:v>
      </x:c>
      <x:c r="O640" s="103" t="n">
        <x:f>MAX(0,N640-'Inputs &amp; Guide'!$B$7)</x:f>
        <x:v>0</x:v>
      </x:c>
      <x:c r="P640" s="103" t="n">
        <x:f>N640-O640</x:f>
        <x:v>0</x:v>
      </x:c>
      <x:c r="Q640" s="103" t="n">
        <x:f>I640*'Inputs &amp; Guide'!$B$8</x:f>
        <x:v>0.3061470772225372</x:v>
      </x:c>
      <x:c r="R640" s="104" t="n">
        <x:f>IFERROR(P640/Q640,0)</x:f>
        <x:v>0</x:v>
      </x:c>
      <x:c r="S640" s="105" t="n">
        <x:f>ROUND(E640*XLOOKUP(C640,'Reference Tables'!$E$4:$E$12,'Reference Tables'!$G$4:$G$12,1),1)</x:f>
        <x:v>8.6</x:v>
      </x:c>
      <x:c r="T640" s="106" t="str">
        <x:f>IF(R640&gt;='Inputs &amp; Guide'!$B$9,"HIGH",IF(R640&gt;=0.45,"WATCH","NORMAL"))</x:f>
        <x:v>NORMAL</x:v>
      </x:c>
    </x:row>
    <x:row r="641">
      <x:c r="A641" s="95" t="n">
        <x:v>5097</x:v>
      </x:c>
      <x:c r="B641" s="96" t="n">
        <x:v>45504.104166666664</x:v>
      </x:c>
      <x:c r="C641" s="97" t="str">
        <x:v>Tornado</x:v>
      </x:c>
      <x:c r="D641" s="97" t="str">
        <x:v>Brazil</x:v>
      </x:c>
      <x:c r="E641" s="98" t="n">
        <x:v>8.357841429693835</x:v>
      </x:c>
      <x:c r="F641" s="99" t="n">
        <x:v>121.80316188528822</x:v>
      </x:c>
      <x:c r="G641" s="100" t="str">
        <x:f>XLOOKUP(D641,'Reference Tables'!$A$4:$A$23,'Reference Tables'!$B$4:$B$23,"Other")</x:f>
        <x:v>Latin America</x:v>
      </x:c>
      <x:c r="H641" s="100" t="str">
        <x:f>VLOOKUP(G641,'Reference Tables'!$I$4:$J$9,2,FALSE)</x:f>
        <x:v>Moderate</x:v>
      </x:c>
      <x:c r="I641" s="101" t="n">
        <x:f>F641*'Inputs &amp; Guide'!$B$4*XLOOKUP(D641,'Reference Tables'!$A$4:$A$23,'Reference Tables'!$C$4:$C$23,0.75)</x:f>
        <x:v>15.980574839349813</x:v>
      </x:c>
      <x:c r="J641" s="102" t="n">
        <x:f>XLOOKUP(C641,'Reference Tables'!$E$4:$E$12,'Reference Tables'!$F$4:$F$12,0.05)</x:f>
        <x:v>0.09</x:v>
      </x:c>
      <x:c r="K641" s="103" t="n">
        <x:f>MIN(I641,F641*J641)</x:f>
        <x:v>10.962284569675939</x:v>
      </x:c>
      <x:c r="L641" s="103" t="n">
        <x:f>'Inputs &amp; Guide'!$B$5</x:f>
        <x:v>15</x:v>
      </x:c>
      <x:c r="M641" s="103" t="n">
        <x:f>I641*'Inputs &amp; Guide'!$B$6</x:f>
        <x:v>8.789316161642398</x:v>
      </x:c>
      <x:c r="N641" s="103" t="n">
        <x:f>MAX(0,MIN(K641-L641,M641))</x:f>
        <x:v>0</x:v>
      </x:c>
      <x:c r="O641" s="103" t="n">
        <x:f>MAX(0,N641-'Inputs &amp; Guide'!$B$7)</x:f>
        <x:v>0</x:v>
      </x:c>
      <x:c r="P641" s="103" t="n">
        <x:f>N641-O641</x:f>
        <x:v>0</x:v>
      </x:c>
      <x:c r="Q641" s="103" t="n">
        <x:f>I641*'Inputs &amp; Guide'!$B$8</x:f>
        <x:v>0.2876503471082966</x:v>
      </x:c>
      <x:c r="R641" s="104" t="n">
        <x:f>IFERROR(P641/Q641,0)</x:f>
        <x:v>0</x:v>
      </x:c>
      <x:c r="S641" s="105" t="n">
        <x:f>ROUND(E641*XLOOKUP(C641,'Reference Tables'!$E$4:$E$12,'Reference Tables'!$G$4:$G$12,1),1)</x:f>
        <x:v>8.8</x:v>
      </x:c>
      <x:c r="T641" s="106" t="str">
        <x:f>IF(R641&gt;='Inputs &amp; Guide'!$B$9,"HIGH",IF(R641&gt;=0.45,"WATCH","NORMAL"))</x:f>
        <x:v>NORMAL</x:v>
      </x:c>
    </x:row>
    <x:row r="642">
      <x:c r="A642" s="95" t="n">
        <x:v>5105</x:v>
      </x:c>
      <x:c r="B642" s="96" t="n">
        <x:v>45504.4375</x:v>
      </x:c>
      <x:c r="C642" s="97" t="str">
        <x:v>Hurricane</x:v>
      </x:c>
      <x:c r="D642" s="97" t="str">
        <x:v>Indonesia</x:v>
      </x:c>
      <x:c r="E642" s="98" t="n">
        <x:v>1.7650445717690633</x:v>
      </x:c>
      <x:c r="F642" s="99" t="n">
        <x:v>42.46857304944673</x:v>
      </x:c>
      <x:c r="G642" s="100" t="str">
        <x:f>XLOOKUP(D642,'Reference Tables'!$A$4:$A$23,'Reference Tables'!$B$4:$B$23,"Other")</x:f>
        <x:v>Asia Pacific</x:v>
      </x:c>
      <x:c r="H642" s="100" t="str">
        <x:f>VLOOKUP(G642,'Reference Tables'!$I$4:$J$9,2,FALSE)</x:f>
        <x:v>High</x:v>
      </x:c>
      <x:c r="I642" s="101" t="n">
        <x:f>F642*'Inputs &amp; Guide'!$B$4*XLOOKUP(D642,'Reference Tables'!$A$4:$A$23,'Reference Tables'!$C$4:$C$23,0.75)</x:f>
        <x:v>6.998820838548822</x:v>
      </x:c>
      <x:c r="J642" s="102" t="n">
        <x:f>XLOOKUP(C642,'Reference Tables'!$E$4:$E$12,'Reference Tables'!$F$4:$F$12,0.05)</x:f>
        <x:v>0.18</x:v>
      </x:c>
      <x:c r="K642" s="103" t="n">
        <x:f>MIN(I642,F642*J642)</x:f>
        <x:v>6.998820838548822</x:v>
      </x:c>
      <x:c r="L642" s="103" t="n">
        <x:f>'Inputs &amp; Guide'!$B$5</x:f>
        <x:v>15</x:v>
      </x:c>
      <x:c r="M642" s="103" t="n">
        <x:f>I642*'Inputs &amp; Guide'!$B$6</x:f>
        <x:v>3.8493514612018522</x:v>
      </x:c>
      <x:c r="N642" s="103" t="n">
        <x:f>MAX(0,MIN(K642-L642,M642))</x:f>
        <x:v>0</x:v>
      </x:c>
      <x:c r="O642" s="103" t="n">
        <x:f>MAX(0,N642-'Inputs &amp; Guide'!$B$7)</x:f>
        <x:v>0</x:v>
      </x:c>
      <x:c r="P642" s="103" t="n">
        <x:f>N642-O642</x:f>
        <x:v>0</x:v>
      </x:c>
      <x:c r="Q642" s="103" t="n">
        <x:f>I642*'Inputs &amp; Guide'!$B$8</x:f>
        <x:v>0.12597877509387878</x:v>
      </x:c>
      <x:c r="R642" s="104" t="n">
        <x:f>IFERROR(P642/Q642,0)</x:f>
        <x:v>0</x:v>
      </x:c>
      <x:c r="S642" s="105" t="n">
        <x:f>ROUND(E642*XLOOKUP(C642,'Reference Tables'!$E$4:$E$12,'Reference Tables'!$G$4:$G$12,1),1)</x:f>
        <x:v>2.5</x:v>
      </x:c>
      <x:c r="T642" s="106" t="str">
        <x:f>IF(R642&gt;='Inputs &amp; Guide'!$B$9,"HIGH",IF(R642&gt;=0.45,"WATCH","NORMAL"))</x:f>
        <x:v>NORMAL</x:v>
      </x:c>
    </x:row>
    <x:row r="643">
      <x:c r="A643" s="95" t="n">
        <x:v>5113</x:v>
      </x:c>
      <x:c r="B643" s="96" t="n">
        <x:v>45505</x:v>
      </x:c>
      <x:c r="C643" s="97" t="str">
        <x:v>Earthquake</x:v>
      </x:c>
      <x:c r="D643" s="97" t="str">
        <x:v>Japan</x:v>
      </x:c>
      <x:c r="E643" s="98" t="n">
        <x:v>7.203661971165377</x:v>
      </x:c>
      <x:c r="F643" s="99" t="n">
        <x:v>829.9947199171581</x:v>
      </x:c>
      <x:c r="G643" s="100" t="str">
        <x:f>XLOOKUP(D643,'Reference Tables'!$A$4:$A$23,'Reference Tables'!$B$4:$B$23,"Other")</x:f>
        <x:v>Asia Pacific</x:v>
      </x:c>
      <x:c r="H643" s="100" t="str">
        <x:f>VLOOKUP(G643,'Reference Tables'!$I$4:$J$9,2,FALSE)</x:f>
        <x:v>High</x:v>
      </x:c>
      <x:c r="I643" s="101" t="n">
        <x:f>F643*'Inputs &amp; Guide'!$B$4*XLOOKUP(D643,'Reference Tables'!$A$4:$A$23,'Reference Tables'!$C$4:$C$23,0.75)</x:f>
        <x:v>156.70300312035945</x:v>
      </x:c>
      <x:c r="J643" s="102" t="n">
        <x:f>XLOOKUP(C643,'Reference Tables'!$E$4:$E$12,'Reference Tables'!$F$4:$F$12,0.05)</x:f>
        <x:v>0.14</x:v>
      </x:c>
      <x:c r="K643" s="103" t="n">
        <x:f>MIN(I643,F643*J643)</x:f>
        <x:v>116.19926078840216</x:v>
      </x:c>
      <x:c r="L643" s="103" t="n">
        <x:f>'Inputs &amp; Guide'!$B$5</x:f>
        <x:v>15</x:v>
      </x:c>
      <x:c r="M643" s="103" t="n">
        <x:f>I643*'Inputs &amp; Guide'!$B$6</x:f>
        <x:v>86.1866517161977</x:v>
      </x:c>
      <x:c r="N643" s="103" t="n">
        <x:f>MAX(0,MIN(K643-L643,M643))</x:f>
        <x:v>86.1866517161977</x:v>
      </x:c>
      <x:c r="O643" s="103" t="n">
        <x:f>MAX(0,N643-'Inputs &amp; Guide'!$B$7)</x:f>
        <x:v>26.1866517161977</x:v>
      </x:c>
      <x:c r="P643" s="103" t="n">
        <x:f>N643-O643</x:f>
        <x:v>60</x:v>
      </x:c>
      <x:c r="Q643" s="103" t="n">
        <x:f>I643*'Inputs &amp; Guide'!$B$8</x:f>
        <x:v>2.82065405616647</x:v>
      </x:c>
      <x:c r="R643" s="104" t="n">
        <x:f>IFERROR(P643/Q643,0)</x:f>
        <x:v>21.271662105754846</x:v>
      </x:c>
      <x:c r="S643" s="105" t="n">
        <x:f>ROUND(E643*XLOOKUP(C643,'Reference Tables'!$E$4:$E$12,'Reference Tables'!$G$4:$G$12,1),1)</x:f>
        <x:v>10.8</x:v>
      </x:c>
      <x:c r="T643" s="106" t="str">
        <x:f>IF(R643&gt;='Inputs &amp; Guide'!$B$9,"HIGH",IF(R643&gt;=0.45,"WATCH","NORMAL"))</x:f>
        <x:v>HIGH</x:v>
      </x:c>
    </x:row>
    <x:row r="644">
      <x:c r="A644" s="95" t="n">
        <x:v>5121</x:v>
      </x:c>
      <x:c r="B644" s="96" t="n">
        <x:v>45505.104166666664</x:v>
      </x:c>
      <x:c r="C644" s="97" t="str">
        <x:v>Wildfire</x:v>
      </x:c>
      <x:c r="D644" s="97" t="str">
        <x:v>India</x:v>
      </x:c>
      <x:c r="E644" s="98" t="n">
        <x:v>1.2190965351004062</x:v>
      </x:c>
      <x:c r="F644" s="99" t="n">
        <x:v>88.73202836950044</x:v>
      </x:c>
      <x:c r="G644" s="100" t="str">
        <x:f>XLOOKUP(D644,'Reference Tables'!$A$4:$A$23,'Reference Tables'!$B$4:$B$23,"Other")</x:f>
        <x:v>Asia Pacific</x:v>
      </x:c>
      <x:c r="H644" s="100" t="str">
        <x:f>VLOOKUP(G644,'Reference Tables'!$I$4:$J$9,2,FALSE)</x:f>
        <x:v>High</x:v>
      </x:c>
      <x:c r="I644" s="101" t="n">
        <x:f>F644*'Inputs &amp; Guide'!$B$4*XLOOKUP(D644,'Reference Tables'!$A$4:$A$23,'Reference Tables'!$C$4:$C$23,0.75)</x:f>
        <x:v>12.919383330599263</x:v>
      </x:c>
      <x:c r="J644" s="102" t="n">
        <x:f>XLOOKUP(C644,'Reference Tables'!$E$4:$E$12,'Reference Tables'!$F$4:$F$12,0.05)</x:f>
        <x:v>0.1</x:v>
      </x:c>
      <x:c r="K644" s="103" t="n">
        <x:f>MIN(I644,F644*J644)</x:f>
        <x:v>8.873202836950044</x:v>
      </x:c>
      <x:c r="L644" s="103" t="n">
        <x:f>'Inputs &amp; Guide'!$B$5</x:f>
        <x:v>15</x:v>
      </x:c>
      <x:c r="M644" s="103" t="n">
        <x:f>I644*'Inputs &amp; Guide'!$B$6</x:f>
        <x:v>7.105660831829596</x:v>
      </x:c>
      <x:c r="N644" s="103" t="n">
        <x:f>MAX(0,MIN(K644-L644,M644))</x:f>
        <x:v>0</x:v>
      </x:c>
      <x:c r="O644" s="103" t="n">
        <x:f>MAX(0,N644-'Inputs &amp; Guide'!$B$7)</x:f>
        <x:v>0</x:v>
      </x:c>
      <x:c r="P644" s="103" t="n">
        <x:f>N644-O644</x:f>
        <x:v>0</x:v>
      </x:c>
      <x:c r="Q644" s="103" t="n">
        <x:f>I644*'Inputs &amp; Guide'!$B$8</x:f>
        <x:v>0.23254889995078673</x:v>
      </x:c>
      <x:c r="R644" s="104" t="n">
        <x:f>IFERROR(P644/Q644,0)</x:f>
        <x:v>0</x:v>
      </x:c>
      <x:c r="S644" s="105" t="n">
        <x:f>ROUND(E644*XLOOKUP(C644,'Reference Tables'!$E$4:$E$12,'Reference Tables'!$G$4:$G$12,1),1)</x:f>
        <x:v>1.4</x:v>
      </x:c>
      <x:c r="T644" s="106" t="str">
        <x:f>IF(R644&gt;='Inputs &amp; Guide'!$B$9,"HIGH",IF(R644&gt;=0.45,"WATCH","NORMAL"))</x:f>
        <x:v>NORMAL</x:v>
      </x:c>
    </x:row>
    <x:row r="645">
      <x:c r="A645" s="95" t="n">
        <x:v>5129</x:v>
      </x:c>
      <x:c r="B645" s="96" t="n">
        <x:v>45505.4375</x:v>
      </x:c>
      <x:c r="C645" s="97" t="str">
        <x:v>Tornado</x:v>
      </x:c>
      <x:c r="D645" s="97" t="str">
        <x:v>USA</x:v>
      </x:c>
      <x:c r="E645" s="98" t="n">
        <x:v>8.877963527469955</x:v>
      </x:c>
      <x:c r="F645" s="99" t="n">
        <x:v>929.0704412061241</x:v>
      </x:c>
      <x:c r="G645" s="100" t="str">
        <x:f>XLOOKUP(D645,'Reference Tables'!$A$4:$A$23,'Reference Tables'!$B$4:$B$23,"Other")</x:f>
        <x:v>Other</x:v>
      </x:c>
      <x:c r="H645" s="100" t="str">
        <x:f>VLOOKUP(G645,'Reference Tables'!$I$4:$J$9,2,FALSE)</x:f>
        <x:v>Moderate</x:v>
      </x:c>
      <x:c r="I645" s="101" t="n">
        <x:f>F645*'Inputs &amp; Guide'!$B$4*XLOOKUP(D645,'Reference Tables'!$A$4:$A$23,'Reference Tables'!$C$4:$C$23,0.75)</x:f>
        <x:v>111.4884529447349</x:v>
      </x:c>
      <x:c r="J645" s="102" t="n">
        <x:f>XLOOKUP(C645,'Reference Tables'!$E$4:$E$12,'Reference Tables'!$F$4:$F$12,0.05)</x:f>
        <x:v>0.09</x:v>
      </x:c>
      <x:c r="K645" s="103" t="n">
        <x:f>MIN(I645,F645*J645)</x:f>
        <x:v>83.61633970855117</x:v>
      </x:c>
      <x:c r="L645" s="103" t="n">
        <x:f>'Inputs &amp; Guide'!$B$5</x:f>
        <x:v>15</x:v>
      </x:c>
      <x:c r="M645" s="103" t="n">
        <x:f>I645*'Inputs &amp; Guide'!$B$6</x:f>
        <x:v>61.3186491196042</x:v>
      </x:c>
      <x:c r="N645" s="103" t="n">
        <x:f>MAX(0,MIN(K645-L645,M645))</x:f>
        <x:v>61.3186491196042</x:v>
      </x:c>
      <x:c r="O645" s="103" t="n">
        <x:f>MAX(0,N645-'Inputs &amp; Guide'!$B$7)</x:f>
        <x:v>1.3186491196042027</x:v>
      </x:c>
      <x:c r="P645" s="103" t="n">
        <x:f>N645-O645</x:f>
        <x:v>60</x:v>
      </x:c>
      <x:c r="Q645" s="103" t="n">
        <x:f>I645*'Inputs &amp; Guide'!$B$8</x:f>
        <x:v>2.006792153005228</x:v>
      </x:c>
      <x:c r="R645" s="104" t="n">
        <x:f>IFERROR(P645/Q645,0)</x:f>
        <x:v>29.898462533924256</x:v>
      </x:c>
      <x:c r="S645" s="105" t="n">
        <x:f>ROUND(E645*XLOOKUP(C645,'Reference Tables'!$E$4:$E$12,'Reference Tables'!$G$4:$G$12,1),1)</x:f>
        <x:v>9.3</x:v>
      </x:c>
      <x:c r="T645" s="106" t="str">
        <x:f>IF(R645&gt;='Inputs &amp; Guide'!$B$9,"HIGH",IF(R645&gt;=0.45,"WATCH","NORMAL"))</x:f>
        <x:v>HIGH</x:v>
      </x:c>
    </x:row>
    <x:row r="646">
      <x:c r="A646" s="95" t="n">
        <x:v>5137</x:v>
      </x:c>
      <x:c r="B646" s="96" t="n">
        <x:v>45506</x:v>
      </x:c>
      <x:c r="C646" s="97" t="str">
        <x:v>Wildfire</x:v>
      </x:c>
      <x:c r="D646" s="97" t="str">
        <x:v>Indonesia</x:v>
      </x:c>
      <x:c r="E646" s="98" t="n">
        <x:v>8.388671725299979</x:v>
      </x:c>
      <x:c r="F646" s="99" t="n">
        <x:v>554.5464828206673</x:v>
      </x:c>
      <x:c r="G646" s="100" t="str">
        <x:f>XLOOKUP(D646,'Reference Tables'!$A$4:$A$23,'Reference Tables'!$B$4:$B$23,"Other")</x:f>
        <x:v>Asia Pacific</x:v>
      </x:c>
      <x:c r="H646" s="100" t="str">
        <x:f>VLOOKUP(G646,'Reference Tables'!$I$4:$J$9,2,FALSE)</x:f>
        <x:v>High</x:v>
      </x:c>
      <x:c r="I646" s="101" t="n">
        <x:f>F646*'Inputs &amp; Guide'!$B$4*XLOOKUP(D646,'Reference Tables'!$A$4:$A$23,'Reference Tables'!$C$4:$C$23,0.75)</x:f>
        <x:v>91.38926036884597</x:v>
      </x:c>
      <x:c r="J646" s="102" t="n">
        <x:f>XLOOKUP(C646,'Reference Tables'!$E$4:$E$12,'Reference Tables'!$F$4:$F$12,0.05)</x:f>
        <x:v>0.1</x:v>
      </x:c>
      <x:c r="K646" s="103" t="n">
        <x:f>MIN(I646,F646*J646)</x:f>
        <x:v>55.45464828206673</x:v>
      </x:c>
      <x:c r="L646" s="103" t="n">
        <x:f>'Inputs &amp; Guide'!$B$5</x:f>
        <x:v>15</x:v>
      </x:c>
      <x:c r="M646" s="103" t="n">
        <x:f>I646*'Inputs &amp; Guide'!$B$6</x:f>
        <x:v>50.26409320286528</x:v>
      </x:c>
      <x:c r="N646" s="103" t="n">
        <x:f>MAX(0,MIN(K646-L646,M646))</x:f>
        <x:v>40.45464828206673</x:v>
      </x:c>
      <x:c r="O646" s="103" t="n">
        <x:f>MAX(0,N646-'Inputs &amp; Guide'!$B$7)</x:f>
        <x:v>0</x:v>
      </x:c>
      <x:c r="P646" s="103" t="n">
        <x:f>N646-O646</x:f>
        <x:v>40.45464828206673</x:v>
      </x:c>
      <x:c r="Q646" s="103" t="n">
        <x:f>I646*'Inputs &amp; Guide'!$B$8</x:f>
        <x:v>1.6450066866392272</x:v>
      </x:c>
      <x:c r="R646" s="104" t="n">
        <x:f>IFERROR(P646/Q646,0)</x:f>
        <x:v>24.592391393080696</x:v>
      </x:c>
      <x:c r="S646" s="105" t="n">
        <x:f>ROUND(E646*XLOOKUP(C646,'Reference Tables'!$E$4:$E$12,'Reference Tables'!$G$4:$G$12,1),1)</x:f>
        <x:v>9.6</x:v>
      </x:c>
      <x:c r="T646" s="106" t="str">
        <x:f>IF(R646&gt;='Inputs &amp; Guide'!$B$9,"HIGH",IF(R646&gt;=0.45,"WATCH","NORMAL"))</x:f>
        <x:v>HIGH</x:v>
      </x:c>
    </x:row>
    <x:row r="647">
      <x:c r="A647" s="95" t="n">
        <x:v>5145</x:v>
      </x:c>
      <x:c r="B647" s="96" t="n">
        <x:v>45506.104166666664</x:v>
      </x:c>
      <x:c r="C647" s="97" t="str">
        <x:v>Tornado</x:v>
      </x:c>
      <x:c r="D647" s="97" t="str">
        <x:v>Brazil</x:v>
      </x:c>
      <x:c r="E647" s="98" t="n">
        <x:v>3.8033930020765387</x:v>
      </x:c>
      <x:c r="F647" s="99" t="n">
        <x:v>219.9420924115672</x:v>
      </x:c>
      <x:c r="G647" s="100" t="str">
        <x:f>XLOOKUP(D647,'Reference Tables'!$A$4:$A$23,'Reference Tables'!$B$4:$B$23,"Other")</x:f>
        <x:v>Latin America</x:v>
      </x:c>
      <x:c r="H647" s="100" t="str">
        <x:f>VLOOKUP(G647,'Reference Tables'!$I$4:$J$9,2,FALSE)</x:f>
        <x:v>Moderate</x:v>
      </x:c>
      <x:c r="I647" s="101" t="n">
        <x:f>F647*'Inputs &amp; Guide'!$B$4*XLOOKUP(D647,'Reference Tables'!$A$4:$A$23,'Reference Tables'!$C$4:$C$23,0.75)</x:f>
        <x:v>28.856402524397613</x:v>
      </x:c>
      <x:c r="J647" s="102" t="n">
        <x:f>XLOOKUP(C647,'Reference Tables'!$E$4:$E$12,'Reference Tables'!$F$4:$F$12,0.05)</x:f>
        <x:v>0.09</x:v>
      </x:c>
      <x:c r="K647" s="103" t="n">
        <x:f>MIN(I647,F647*J647)</x:f>
        <x:v>19.794788317041046</x:v>
      </x:c>
      <x:c r="L647" s="103" t="n">
        <x:f>'Inputs &amp; Guide'!$B$5</x:f>
        <x:v>15</x:v>
      </x:c>
      <x:c r="M647" s="103" t="n">
        <x:f>I647*'Inputs &amp; Guide'!$B$6</x:f>
        <x:v>15.871021388418688</x:v>
      </x:c>
      <x:c r="N647" s="103" t="n">
        <x:f>MAX(0,MIN(K647-L647,M647))</x:f>
        <x:v>4.794788317041046</x:v>
      </x:c>
      <x:c r="O647" s="103" t="n">
        <x:f>MAX(0,N647-'Inputs &amp; Guide'!$B$7)</x:f>
        <x:v>0</x:v>
      </x:c>
      <x:c r="P647" s="103" t="n">
        <x:f>N647-O647</x:f>
        <x:v>4.794788317041046</x:v>
      </x:c>
      <x:c r="Q647" s="103" t="n">
        <x:f>I647*'Inputs &amp; Guide'!$B$8</x:f>
        <x:v>0.519415245439157</x:v>
      </x:c>
      <x:c r="R647" s="104" t="n">
        <x:f>IFERROR(P647/Q647,0)</x:f>
        <x:v>9.231127424816213</x:v>
      </x:c>
      <x:c r="S647" s="105" t="n">
        <x:f>ROUND(E647*XLOOKUP(C647,'Reference Tables'!$E$4:$E$12,'Reference Tables'!$G$4:$G$12,1),1)</x:f>
        <x:v>4</x:v>
      </x:c>
      <x:c r="T647" s="106" t="str">
        <x:f>IF(R647&gt;='Inputs &amp; Guide'!$B$9,"HIGH",IF(R647&gt;=0.45,"WATCH","NORMAL"))</x:f>
        <x:v>HIGH</x:v>
      </x:c>
    </x:row>
    <x:row r="648">
      <x:c r="A648" s="95" t="n">
        <x:v>5153</x:v>
      </x:c>
      <x:c r="B648" s="96" t="n">
        <x:v>45506.4375</x:v>
      </x:c>
      <x:c r="C648" s="97" t="str">
        <x:v>Wildfire</x:v>
      </x:c>
      <x:c r="D648" s="97" t="str">
        <x:v>USA</x:v>
      </x:c>
      <x:c r="E648" s="98" t="n">
        <x:v>9.353545218021164</x:v>
      </x:c>
      <x:c r="F648" s="99" t="n">
        <x:v>77.36873935607538</x:v>
      </x:c>
      <x:c r="G648" s="100" t="str">
        <x:f>XLOOKUP(D648,'Reference Tables'!$A$4:$A$23,'Reference Tables'!$B$4:$B$23,"Other")</x:f>
        <x:v>Other</x:v>
      </x:c>
      <x:c r="H648" s="100" t="str">
        <x:f>VLOOKUP(G648,'Reference Tables'!$I$4:$J$9,2,FALSE)</x:f>
        <x:v>Moderate</x:v>
      </x:c>
      <x:c r="I648" s="101" t="n">
        <x:f>F648*'Inputs &amp; Guide'!$B$4*XLOOKUP(D648,'Reference Tables'!$A$4:$A$23,'Reference Tables'!$C$4:$C$23,0.75)</x:f>
        <x:v>9.284248722729046</x:v>
      </x:c>
      <x:c r="J648" s="102" t="n">
        <x:f>XLOOKUP(C648,'Reference Tables'!$E$4:$E$12,'Reference Tables'!$F$4:$F$12,0.05)</x:f>
        <x:v>0.1</x:v>
      </x:c>
      <x:c r="K648" s="103" t="n">
        <x:f>MIN(I648,F648*J648)</x:f>
        <x:v>7.736873935607538</x:v>
      </x:c>
      <x:c r="L648" s="103" t="n">
        <x:f>'Inputs &amp; Guide'!$B$5</x:f>
        <x:v>15</x:v>
      </x:c>
      <x:c r="M648" s="103" t="n">
        <x:f>I648*'Inputs &amp; Guide'!$B$6</x:f>
        <x:v>5.106336797500976</x:v>
      </x:c>
      <x:c r="N648" s="103" t="n">
        <x:f>MAX(0,MIN(K648-L648,M648))</x:f>
        <x:v>0</x:v>
      </x:c>
      <x:c r="O648" s="103" t="n">
        <x:f>MAX(0,N648-'Inputs &amp; Guide'!$B$7)</x:f>
        <x:v>0</x:v>
      </x:c>
      <x:c r="P648" s="103" t="n">
        <x:f>N648-O648</x:f>
        <x:v>0</x:v>
      </x:c>
      <x:c r="Q648" s="103" t="n">
        <x:f>I648*'Inputs &amp; Guide'!$B$8</x:f>
        <x:v>0.16711647700912283</x:v>
      </x:c>
      <x:c r="R648" s="104" t="n">
        <x:f>IFERROR(P648/Q648,0)</x:f>
        <x:v>0</x:v>
      </x:c>
      <x:c r="S648" s="105" t="n">
        <x:f>ROUND(E648*XLOOKUP(C648,'Reference Tables'!$E$4:$E$12,'Reference Tables'!$G$4:$G$12,1),1)</x:f>
        <x:v>10.8</x:v>
      </x:c>
      <x:c r="T648" s="106" t="str">
        <x:f>IF(R648&gt;='Inputs &amp; Guide'!$B$9,"HIGH",IF(R648&gt;=0.45,"WATCH","NORMAL"))</x:f>
        <x:v>NORMAL</x:v>
      </x:c>
    </x:row>
    <x:row r="649">
      <x:c r="A649" s="95" t="n">
        <x:v>5161</x:v>
      </x:c>
      <x:c r="B649" s="96" t="n">
        <x:v>45507</x:v>
      </x:c>
      <x:c r="C649" s="97" t="str">
        <x:v>Flood</x:v>
      </x:c>
      <x:c r="D649" s="97" t="str">
        <x:v>Indonesia</x:v>
      </x:c>
      <x:c r="E649" s="98" t="n">
        <x:v>1.8755912200312028</x:v>
      </x:c>
      <x:c r="F649" s="99" t="n">
        <x:v>709.7533447854091</x:v>
      </x:c>
      <x:c r="G649" s="100" t="str">
        <x:f>XLOOKUP(D649,'Reference Tables'!$A$4:$A$23,'Reference Tables'!$B$4:$B$23,"Other")</x:f>
        <x:v>Asia Pacific</x:v>
      </x:c>
      <x:c r="H649" s="100" t="str">
        <x:f>VLOOKUP(G649,'Reference Tables'!$I$4:$J$9,2,FALSE)</x:f>
        <x:v>High</x:v>
      </x:c>
      <x:c r="I649" s="101" t="n">
        <x:f>F649*'Inputs &amp; Guide'!$B$4*XLOOKUP(D649,'Reference Tables'!$A$4:$A$23,'Reference Tables'!$C$4:$C$23,0.75)</x:f>
        <x:v>116.96735122063542</x:v>
      </x:c>
      <x:c r="J649" s="102" t="n">
        <x:f>XLOOKUP(C649,'Reference Tables'!$E$4:$E$12,'Reference Tables'!$F$4:$F$12,0.05)</x:f>
        <x:v>0.12</x:v>
      </x:c>
      <x:c r="K649" s="103" t="n">
        <x:f>MIN(I649,F649*J649)</x:f>
        <x:v>85.1704013742491</x:v>
      </x:c>
      <x:c r="L649" s="103" t="n">
        <x:f>'Inputs &amp; Guide'!$B$5</x:f>
        <x:v>15</x:v>
      </x:c>
      <x:c r="M649" s="103" t="n">
        <x:f>I649*'Inputs &amp; Guide'!$B$6</x:f>
        <x:v>64.33204317134948</x:v>
      </x:c>
      <x:c r="N649" s="103" t="n">
        <x:f>MAX(0,MIN(K649-L649,M649))</x:f>
        <x:v>64.33204317134948</x:v>
      </x:c>
      <x:c r="O649" s="103" t="n">
        <x:f>MAX(0,N649-'Inputs &amp; Guide'!$B$7)</x:f>
        <x:v>4.332043171349483</x:v>
      </x:c>
      <x:c r="P649" s="103" t="n">
        <x:f>N649-O649</x:f>
        <x:v>60</x:v>
      </x:c>
      <x:c r="Q649" s="103" t="n">
        <x:f>I649*'Inputs &amp; Guide'!$B$8</x:f>
        <x:v>2.1054123219714374</x:v>
      </x:c>
      <x:c r="R649" s="104" t="n">
        <x:f>IFERROR(P649/Q649,0)</x:f>
        <x:v>28.49798083437548</x:v>
      </x:c>
      <x:c r="S649" s="105" t="n">
        <x:f>ROUND(E649*XLOOKUP(C649,'Reference Tables'!$E$4:$E$12,'Reference Tables'!$G$4:$G$12,1),1)</x:f>
        <x:v>2.3</x:v>
      </x:c>
      <x:c r="T649" s="106" t="str">
        <x:f>IF(R649&gt;='Inputs &amp; Guide'!$B$9,"HIGH",IF(R649&gt;=0.45,"WATCH","NORMAL"))</x:f>
        <x:v>HIGH</x:v>
      </x:c>
    </x:row>
    <x:row r="650">
      <x:c r="A650" s="95" t="n">
        <x:v>5169</x:v>
      </x:c>
      <x:c r="B650" s="96" t="n">
        <x:v>45507.104166666664</x:v>
      </x:c>
      <x:c r="C650" s="97" t="str">
        <x:v>Tornado</x:v>
      </x:c>
      <x:c r="D650" s="97" t="str">
        <x:v>India</x:v>
      </x:c>
      <x:c r="E650" s="98" t="n">
        <x:v>7.089615917507707</x:v>
      </x:c>
      <x:c r="F650" s="99" t="n">
        <x:v>827.2340197385616</x:v>
      </x:c>
      <x:c r="G650" s="100" t="str">
        <x:f>XLOOKUP(D650,'Reference Tables'!$A$4:$A$23,'Reference Tables'!$B$4:$B$23,"Other")</x:f>
        <x:v>Asia Pacific</x:v>
      </x:c>
      <x:c r="H650" s="100" t="str">
        <x:f>VLOOKUP(G650,'Reference Tables'!$I$4:$J$9,2,FALSE)</x:f>
        <x:v>High</x:v>
      </x:c>
      <x:c r="I650" s="101" t="n">
        <x:f>F650*'Inputs &amp; Guide'!$B$4*XLOOKUP(D650,'Reference Tables'!$A$4:$A$23,'Reference Tables'!$C$4:$C$23,0.75)</x:f>
        <x:v>120.44527327393459</x:v>
      </x:c>
      <x:c r="J650" s="102" t="n">
        <x:f>XLOOKUP(C650,'Reference Tables'!$E$4:$E$12,'Reference Tables'!$F$4:$F$12,0.05)</x:f>
        <x:v>0.09</x:v>
      </x:c>
      <x:c r="K650" s="103" t="n">
        <x:f>MIN(I650,F650*J650)</x:f>
        <x:v>74.45106177647054</x:v>
      </x:c>
      <x:c r="L650" s="103" t="n">
        <x:f>'Inputs &amp; Guide'!$B$5</x:f>
        <x:v>15</x:v>
      </x:c>
      <x:c r="M650" s="103" t="n">
        <x:f>I650*'Inputs &amp; Guide'!$B$6</x:f>
        <x:v>66.24490030066403</x:v>
      </x:c>
      <x:c r="N650" s="103" t="n">
        <x:f>MAX(0,MIN(K650-L650,M650))</x:f>
        <x:v>59.45106177647054</x:v>
      </x:c>
      <x:c r="O650" s="103" t="n">
        <x:f>MAX(0,N650-'Inputs &amp; Guide'!$B$7)</x:f>
        <x:v>0</x:v>
      </x:c>
      <x:c r="P650" s="103" t="n">
        <x:f>N650-O650</x:f>
        <x:v>59.45106177647054</x:v>
      </x:c>
      <x:c r="Q650" s="103" t="n">
        <x:f>I650*'Inputs &amp; Guide'!$B$8</x:f>
        <x:v>2.1680149189308224</x:v>
      </x:c>
      <x:c r="R650" s="104" t="n">
        <x:f>IFERROR(P650/Q650,0)</x:f>
        <x:v>27.421887763479692</x:v>
      </x:c>
      <x:c r="S650" s="105" t="n">
        <x:f>ROUND(E650*XLOOKUP(C650,'Reference Tables'!$E$4:$E$12,'Reference Tables'!$G$4:$G$12,1),1)</x:f>
        <x:v>7.4</x:v>
      </x:c>
      <x:c r="T650" s="106" t="str">
        <x:f>IF(R650&gt;='Inputs &amp; Guide'!$B$9,"HIGH",IF(R650&gt;=0.45,"WATCH","NORMAL"))</x:f>
        <x:v>HIGH</x:v>
      </x:c>
    </x:row>
    <x:row r="651">
      <x:c r="A651" s="95" t="n">
        <x:v>5177</x:v>
      </x:c>
      <x:c r="B651" s="96" t="n">
        <x:v>45507.4375</x:v>
      </x:c>
      <x:c r="C651" s="97" t="str">
        <x:v>Flood</x:v>
      </x:c>
      <x:c r="D651" s="97" t="str">
        <x:v>Brazil</x:v>
      </x:c>
      <x:c r="E651" s="98" t="n">
        <x:v>6.143568845757356</x:v>
      </x:c>
      <x:c r="F651" s="99" t="n">
        <x:v>271.36432119975876</x:v>
      </x:c>
      <x:c r="G651" s="100" t="str">
        <x:f>XLOOKUP(D651,'Reference Tables'!$A$4:$A$23,'Reference Tables'!$B$4:$B$23,"Other")</x:f>
        <x:v>Latin America</x:v>
      </x:c>
      <x:c r="H651" s="100" t="str">
        <x:f>VLOOKUP(G651,'Reference Tables'!$I$4:$J$9,2,FALSE)</x:f>
        <x:v>Moderate</x:v>
      </x:c>
      <x:c r="I651" s="101" t="n">
        <x:f>F651*'Inputs &amp; Guide'!$B$4*XLOOKUP(D651,'Reference Tables'!$A$4:$A$23,'Reference Tables'!$C$4:$C$23,0.75)</x:f>
        <x:v>35.60299894140835</x:v>
      </x:c>
      <x:c r="J651" s="102" t="n">
        <x:f>XLOOKUP(C651,'Reference Tables'!$E$4:$E$12,'Reference Tables'!$F$4:$F$12,0.05)</x:f>
        <x:v>0.12</x:v>
      </x:c>
      <x:c r="K651" s="103" t="n">
        <x:f>MIN(I651,F651*J651)</x:f>
        <x:v>32.56371854397105</x:v>
      </x:c>
      <x:c r="L651" s="103" t="n">
        <x:f>'Inputs &amp; Guide'!$B$5</x:f>
        <x:v>15</x:v>
      </x:c>
      <x:c r="M651" s="103" t="n">
        <x:f>I651*'Inputs &amp; Guide'!$B$6</x:f>
        <x:v>19.581649417774596</x:v>
      </x:c>
      <x:c r="N651" s="103" t="n">
        <x:f>MAX(0,MIN(K651-L651,M651))</x:f>
        <x:v>17.56371854397105</x:v>
      </x:c>
      <x:c r="O651" s="103" t="n">
        <x:f>MAX(0,N651-'Inputs &amp; Guide'!$B$7)</x:f>
        <x:v>0</x:v>
      </x:c>
      <x:c r="P651" s="103" t="n">
        <x:f>N651-O651</x:f>
        <x:v>17.56371854397105</x:v>
      </x:c>
      <x:c r="Q651" s="103" t="n">
        <x:f>I651*'Inputs &amp; Guide'!$B$8</x:f>
        <x:v>0.6408539809453503</x:v>
      </x:c>
      <x:c r="R651" s="104" t="n">
        <x:f>IFERROR(P651/Q651,0)</x:f>
        <x:v>27.406740172015596</x:v>
      </x:c>
      <x:c r="S651" s="105" t="n">
        <x:f>ROUND(E651*XLOOKUP(C651,'Reference Tables'!$E$4:$E$12,'Reference Tables'!$G$4:$G$12,1),1)</x:f>
        <x:v>7.7</x:v>
      </x:c>
      <x:c r="T651" s="106" t="str">
        <x:f>IF(R651&gt;='Inputs &amp; Guide'!$B$9,"HIGH",IF(R651&gt;=0.45,"WATCH","NORMAL"))</x:f>
        <x:v>HIGH</x:v>
      </x:c>
    </x:row>
    <x:row r="652">
      <x:c r="A652" s="95" t="n">
        <x:v>5185</x:v>
      </x:c>
      <x:c r="B652" s="96" t="n">
        <x:v>45508</x:v>
      </x:c>
      <x:c r="C652" s="97" t="str">
        <x:v>Tornado</x:v>
      </x:c>
      <x:c r="D652" s="97" t="str">
        <x:v>USA</x:v>
      </x:c>
      <x:c r="E652" s="98" t="n">
        <x:v>4.202540373728299</x:v>
      </x:c>
      <x:c r="F652" s="99" t="n">
        <x:v>943.1953756856738</x:v>
      </x:c>
      <x:c r="G652" s="100" t="str">
        <x:f>XLOOKUP(D652,'Reference Tables'!$A$4:$A$23,'Reference Tables'!$B$4:$B$23,"Other")</x:f>
        <x:v>Other</x:v>
      </x:c>
      <x:c r="H652" s="100" t="str">
        <x:f>VLOOKUP(G652,'Reference Tables'!$I$4:$J$9,2,FALSE)</x:f>
        <x:v>Moderate</x:v>
      </x:c>
      <x:c r="I652" s="101" t="n">
        <x:f>F652*'Inputs &amp; Guide'!$B$4*XLOOKUP(D652,'Reference Tables'!$A$4:$A$23,'Reference Tables'!$C$4:$C$23,0.75)</x:f>
        <x:v>113.18344508228085</x:v>
      </x:c>
      <x:c r="J652" s="102" t="n">
        <x:f>XLOOKUP(C652,'Reference Tables'!$E$4:$E$12,'Reference Tables'!$F$4:$F$12,0.05)</x:f>
        <x:v>0.09</x:v>
      </x:c>
      <x:c r="K652" s="103" t="n">
        <x:f>MIN(I652,F652*J652)</x:f>
        <x:v>84.88758381171064</x:v>
      </x:c>
      <x:c r="L652" s="103" t="n">
        <x:f>'Inputs &amp; Guide'!$B$5</x:f>
        <x:v>15</x:v>
      </x:c>
      <x:c r="M652" s="103" t="n">
        <x:f>I652*'Inputs &amp; Guide'!$B$6</x:f>
        <x:v>62.250894795254474</x:v>
      </x:c>
      <x:c r="N652" s="103" t="n">
        <x:f>MAX(0,MIN(K652-L652,M652))</x:f>
        <x:v>62.250894795254474</x:v>
      </x:c>
      <x:c r="O652" s="103" t="n">
        <x:f>MAX(0,N652-'Inputs &amp; Guide'!$B$7)</x:f>
        <x:v>2.2508947952544744</x:v>
      </x:c>
      <x:c r="P652" s="103" t="n">
        <x:f>N652-O652</x:f>
        <x:v>60</x:v>
      </x:c>
      <x:c r="Q652" s="103" t="n">
        <x:f>I652*'Inputs &amp; Guide'!$B$8</x:f>
        <x:v>2.037302011481055</x:v>
      </x:c>
      <x:c r="R652" s="104" t="n">
        <x:f>IFERROR(P652/Q652,0)</x:f>
        <x:v>29.45071455379454</x:v>
      </x:c>
      <x:c r="S652" s="105" t="n">
        <x:f>ROUND(E652*XLOOKUP(C652,'Reference Tables'!$E$4:$E$12,'Reference Tables'!$G$4:$G$12,1),1)</x:f>
        <x:v>4.4</x:v>
      </x:c>
      <x:c r="T652" s="106" t="str">
        <x:f>IF(R652&gt;='Inputs &amp; Guide'!$B$9,"HIGH",IF(R652&gt;=0.45,"WATCH","NORMAL"))</x:f>
        <x:v>HIGH</x:v>
      </x:c>
    </x:row>
    <x:row r="653">
      <x:c r="A653" s="95" t="n">
        <x:v>5193</x:v>
      </x:c>
      <x:c r="B653" s="96" t="n">
        <x:v>45508.104166666664</x:v>
      </x:c>
      <x:c r="C653" s="97" t="str">
        <x:v>Hurricane</x:v>
      </x:c>
      <x:c r="D653" s="97" t="str">
        <x:v>India</x:v>
      </x:c>
      <x:c r="E653" s="98" t="n">
        <x:v>3.7688502131915964</x:v>
      </x:c>
      <x:c r="F653" s="99" t="n">
        <x:v>237.33143060944528</x:v>
      </x:c>
      <x:c r="G653" s="100" t="str">
        <x:f>XLOOKUP(D653,'Reference Tables'!$A$4:$A$23,'Reference Tables'!$B$4:$B$23,"Other")</x:f>
        <x:v>Asia Pacific</x:v>
      </x:c>
      <x:c r="H653" s="100" t="str">
        <x:f>VLOOKUP(G653,'Reference Tables'!$I$4:$J$9,2,FALSE)</x:f>
        <x:v>High</x:v>
      </x:c>
      <x:c r="I653" s="101" t="n">
        <x:f>F653*'Inputs &amp; Guide'!$B$4*XLOOKUP(D653,'Reference Tables'!$A$4:$A$23,'Reference Tables'!$C$4:$C$23,0.75)</x:f>
        <x:v>34.55545629673524</x:v>
      </x:c>
      <x:c r="J653" s="102" t="n">
        <x:f>XLOOKUP(C653,'Reference Tables'!$E$4:$E$12,'Reference Tables'!$F$4:$F$12,0.05)</x:f>
        <x:v>0.18</x:v>
      </x:c>
      <x:c r="K653" s="103" t="n">
        <x:f>MIN(I653,F653*J653)</x:f>
        <x:v>34.55545629673524</x:v>
      </x:c>
      <x:c r="L653" s="103" t="n">
        <x:f>'Inputs &amp; Guide'!$B$5</x:f>
        <x:v>15</x:v>
      </x:c>
      <x:c r="M653" s="103" t="n">
        <x:f>I653*'Inputs &amp; Guide'!$B$6</x:f>
        <x:v>19.005500963204383</x:v>
      </x:c>
      <x:c r="N653" s="103" t="n">
        <x:f>MAX(0,MIN(K653-L653,M653))</x:f>
        <x:v>19.005500963204383</x:v>
      </x:c>
      <x:c r="O653" s="103" t="n">
        <x:f>MAX(0,N653-'Inputs &amp; Guide'!$B$7)</x:f>
        <x:v>0</x:v>
      </x:c>
      <x:c r="P653" s="103" t="n">
        <x:f>N653-O653</x:f>
        <x:v>19.005500963204383</x:v>
      </x:c>
      <x:c r="Q653" s="103" t="n">
        <x:f>I653*'Inputs &amp; Guide'!$B$8</x:f>
        <x:v>0.6219982133412342</x:v>
      </x:c>
      <x:c r="R653" s="104" t="n">
        <x:f>IFERROR(P653/Q653,0)</x:f>
        <x:v>30.555555555555564</x:v>
      </x:c>
      <x:c r="S653" s="105" t="n">
        <x:f>ROUND(E653*XLOOKUP(C653,'Reference Tables'!$E$4:$E$12,'Reference Tables'!$G$4:$G$12,1),1)</x:f>
        <x:v>5.3</x:v>
      </x:c>
      <x:c r="T653" s="106" t="str">
        <x:f>IF(R653&gt;='Inputs &amp; Guide'!$B$9,"HIGH",IF(R653&gt;=0.45,"WATCH","NORMAL"))</x:f>
        <x:v>HIGH</x:v>
      </x:c>
    </x:row>
    <x:row r="654">
      <x:c r="A654" s="95" t="n">
        <x:v>5201</x:v>
      </x:c>
      <x:c r="B654" s="96" t="n">
        <x:v>45508.4375</x:v>
      </x:c>
      <x:c r="C654" s="97" t="str">
        <x:v>Wildfire</x:v>
      </x:c>
      <x:c r="D654" s="97" t="str">
        <x:v>Japan</x:v>
      </x:c>
      <x:c r="E654" s="98" t="n">
        <x:v>8.080128654351235</x:v>
      </x:c>
      <x:c r="F654" s="99" t="n">
        <x:v>615.9917174166821</x:v>
      </x:c>
      <x:c r="G654" s="100" t="str">
        <x:f>XLOOKUP(D654,'Reference Tables'!$A$4:$A$23,'Reference Tables'!$B$4:$B$23,"Other")</x:f>
        <x:v>Asia Pacific</x:v>
      </x:c>
      <x:c r="H654" s="100" t="str">
        <x:f>VLOOKUP(G654,'Reference Tables'!$I$4:$J$9,2,FALSE)</x:f>
        <x:v>High</x:v>
      </x:c>
      <x:c r="I654" s="101" t="n">
        <x:f>F654*'Inputs &amp; Guide'!$B$4*XLOOKUP(D654,'Reference Tables'!$A$4:$A$23,'Reference Tables'!$C$4:$C$23,0.75)</x:f>
        <x:v>116.29923624826958</x:v>
      </x:c>
      <x:c r="J654" s="102" t="n">
        <x:f>XLOOKUP(C654,'Reference Tables'!$E$4:$E$12,'Reference Tables'!$F$4:$F$12,0.05)</x:f>
        <x:v>0.1</x:v>
      </x:c>
      <x:c r="K654" s="103" t="n">
        <x:f>MIN(I654,F654*J654)</x:f>
        <x:v>61.599171741668215</x:v>
      </x:c>
      <x:c r="L654" s="103" t="n">
        <x:f>'Inputs &amp; Guide'!$B$5</x:f>
        <x:v>15</x:v>
      </x:c>
      <x:c r="M654" s="103" t="n">
        <x:f>I654*'Inputs &amp; Guide'!$B$6</x:f>
        <x:v>63.964579936548276</x:v>
      </x:c>
      <x:c r="N654" s="103" t="n">
        <x:f>MAX(0,MIN(K654-L654,M654))</x:f>
        <x:v>46.599171741668215</x:v>
      </x:c>
      <x:c r="O654" s="103" t="n">
        <x:f>MAX(0,N654-'Inputs &amp; Guide'!$B$7)</x:f>
        <x:v>0</x:v>
      </x:c>
      <x:c r="P654" s="103" t="n">
        <x:f>N654-O654</x:f>
        <x:v>46.599171741668215</x:v>
      </x:c>
      <x:c r="Q654" s="103" t="n">
        <x:f>I654*'Inputs &amp; Guide'!$B$8</x:f>
        <x:v>2.0933862524688522</x:v>
      </x:c>
      <x:c r="R654" s="104" t="n">
        <x:f>IFERROR(P654/Q654,0)</x:f>
        <x:v>22.260188097973366</x:v>
      </x:c>
      <x:c r="S654" s="105" t="n">
        <x:f>ROUND(E654*XLOOKUP(C654,'Reference Tables'!$E$4:$E$12,'Reference Tables'!$G$4:$G$12,1),1)</x:f>
        <x:v>9.3</x:v>
      </x:c>
      <x:c r="T654" s="106" t="str">
        <x:f>IF(R654&gt;='Inputs &amp; Guide'!$B$9,"HIGH",IF(R654&gt;=0.45,"WATCH","NORMAL"))</x:f>
        <x:v>HIGH</x:v>
      </x:c>
    </x:row>
    <x:row r="655">
      <x:c r="A655" s="95" t="n">
        <x:v>5209</x:v>
      </x:c>
      <x:c r="B655" s="96" t="n">
        <x:v>45509</x:v>
      </x:c>
      <x:c r="C655" s="97" t="str">
        <x:v>Hurricane</x:v>
      </x:c>
      <x:c r="D655" s="97" t="str">
        <x:v>India</x:v>
      </x:c>
      <x:c r="E655" s="98" t="n">
        <x:v>3.855881606685923</x:v>
      </x:c>
      <x:c r="F655" s="99" t="n">
        <x:v>111.38666470739446</x:v>
      </x:c>
      <x:c r="G655" s="100" t="str">
        <x:f>XLOOKUP(D655,'Reference Tables'!$A$4:$A$23,'Reference Tables'!$B$4:$B$23,"Other")</x:f>
        <x:v>Asia Pacific</x:v>
      </x:c>
      <x:c r="H655" s="100" t="str">
        <x:f>VLOOKUP(G655,'Reference Tables'!$I$4:$J$9,2,FALSE)</x:f>
        <x:v>High</x:v>
      </x:c>
      <x:c r="I655" s="101" t="n">
        <x:f>F655*'Inputs &amp; Guide'!$B$4*XLOOKUP(D655,'Reference Tables'!$A$4:$A$23,'Reference Tables'!$C$4:$C$23,0.75)</x:f>
        <x:v>16.217898381396633</x:v>
      </x:c>
      <x:c r="J655" s="102" t="n">
        <x:f>XLOOKUP(C655,'Reference Tables'!$E$4:$E$12,'Reference Tables'!$F$4:$F$12,0.05)</x:f>
        <x:v>0.18</x:v>
      </x:c>
      <x:c r="K655" s="103" t="n">
        <x:f>MIN(I655,F655*J655)</x:f>
        <x:v>16.217898381396633</x:v>
      </x:c>
      <x:c r="L655" s="103" t="n">
        <x:f>'Inputs &amp; Guide'!$B$5</x:f>
        <x:v>15</x:v>
      </x:c>
      <x:c r="M655" s="103" t="n">
        <x:f>I655*'Inputs &amp; Guide'!$B$6</x:f>
        <x:v>8.91984410976815</x:v>
      </x:c>
      <x:c r="N655" s="103" t="n">
        <x:f>MAX(0,MIN(K655-L655,M655))</x:f>
        <x:v>1.2178983813966333</x:v>
      </x:c>
      <x:c r="O655" s="103" t="n">
        <x:f>MAX(0,N655-'Inputs &amp; Guide'!$B$7)</x:f>
        <x:v>0</x:v>
      </x:c>
      <x:c r="P655" s="103" t="n">
        <x:f>N655-O655</x:f>
        <x:v>1.2178983813966333</x:v>
      </x:c>
      <x:c r="Q655" s="103" t="n">
        <x:f>I655*'Inputs &amp; Guide'!$B$8</x:f>
        <x:v>0.2919221708651394</x:v>
      </x:c>
      <x:c r="R655" s="104" t="n">
        <x:f>IFERROR(P655/Q655,0)</x:f>
        <x:v>4.171996864052067</x:v>
      </x:c>
      <x:c r="S655" s="105" t="n">
        <x:f>ROUND(E655*XLOOKUP(C655,'Reference Tables'!$E$4:$E$12,'Reference Tables'!$G$4:$G$12,1),1)</x:f>
        <x:v>5.4</x:v>
      </x:c>
      <x:c r="T655" s="106" t="str">
        <x:f>IF(R655&gt;='Inputs &amp; Guide'!$B$9,"HIGH",IF(R655&gt;=0.45,"WATCH","NORMAL"))</x:f>
        <x:v>HIGH</x:v>
      </x:c>
    </x:row>
    <x:row r="656">
      <x:c r="A656" s="95" t="n">
        <x:v>5217</x:v>
      </x:c>
      <x:c r="B656" s="96" t="n">
        <x:v>45509.104166666664</x:v>
      </x:c>
      <x:c r="C656" s="97" t="str">
        <x:v>Wildfire</x:v>
      </x:c>
      <x:c r="D656" s="97" t="str">
        <x:v>India</x:v>
      </x:c>
      <x:c r="E656" s="98" t="n">
        <x:v>1.3931883854774023</x:v>
      </x:c>
      <x:c r="F656" s="99" t="n">
        <x:v>731.3170021831878</x:v>
      </x:c>
      <x:c r="G656" s="100" t="str">
        <x:f>XLOOKUP(D656,'Reference Tables'!$A$4:$A$23,'Reference Tables'!$B$4:$B$23,"Other")</x:f>
        <x:v>Asia Pacific</x:v>
      </x:c>
      <x:c r="H656" s="100" t="str">
        <x:f>VLOOKUP(G656,'Reference Tables'!$I$4:$J$9,2,FALSE)</x:f>
        <x:v>High</x:v>
      </x:c>
      <x:c r="I656" s="101" t="n">
        <x:f>F656*'Inputs &amp; Guide'!$B$4*XLOOKUP(D656,'Reference Tables'!$A$4:$A$23,'Reference Tables'!$C$4:$C$23,0.75)</x:f>
        <x:v>106.47975551787215</x:v>
      </x:c>
      <x:c r="J656" s="102" t="n">
        <x:f>XLOOKUP(C656,'Reference Tables'!$E$4:$E$12,'Reference Tables'!$F$4:$F$12,0.05)</x:f>
        <x:v>0.1</x:v>
      </x:c>
      <x:c r="K656" s="103" t="n">
        <x:f>MIN(I656,F656*J656)</x:f>
        <x:v>73.13170021831878</x:v>
      </x:c>
      <x:c r="L656" s="103" t="n">
        <x:f>'Inputs &amp; Guide'!$B$5</x:f>
        <x:v>15</x:v>
      </x:c>
      <x:c r="M656" s="103" t="n">
        <x:f>I656*'Inputs &amp; Guide'!$B$6</x:f>
        <x:v>58.56386553482969</x:v>
      </x:c>
      <x:c r="N656" s="103" t="n">
        <x:f>MAX(0,MIN(K656-L656,M656))</x:f>
        <x:v>58.131700218318784</x:v>
      </x:c>
      <x:c r="O656" s="103" t="n">
        <x:f>MAX(0,N656-'Inputs &amp; Guide'!$B$7)</x:f>
        <x:v>0</x:v>
      </x:c>
      <x:c r="P656" s="103" t="n">
        <x:f>N656-O656</x:f>
        <x:v>58.131700218318784</x:v>
      </x:c>
      <x:c r="Q656" s="103" t="n">
        <x:f>I656*'Inputs &amp; Guide'!$B$8</x:f>
        <x:v>1.9166355993216986</x:v>
      </x:c>
      <x:c r="R656" s="104" t="n">
        <x:f>IFERROR(P656/Q656,0)</x:f>
        <x:v>30.330074344278962</x:v>
      </x:c>
      <x:c r="S656" s="105" t="n">
        <x:f>ROUND(E656*XLOOKUP(C656,'Reference Tables'!$E$4:$E$12,'Reference Tables'!$G$4:$G$12,1),1)</x:f>
        <x:v>1.6</x:v>
      </x:c>
      <x:c r="T656" s="106" t="str">
        <x:f>IF(R656&gt;='Inputs &amp; Guide'!$B$9,"HIGH",IF(R656&gt;=0.45,"WATCH","NORMAL"))</x:f>
        <x:v>HIGH</x:v>
      </x:c>
    </x:row>
    <x:row r="657">
      <x:c r="A657" s="95" t="n">
        <x:v>5225</x:v>
      </x:c>
      <x:c r="B657" s="96" t="n">
        <x:v>45509.4375</x:v>
      </x:c>
      <x:c r="C657" s="97" t="str">
        <x:v>Wildfire</x:v>
      </x:c>
      <x:c r="D657" s="97" t="str">
        <x:v>Indonesia</x:v>
      </x:c>
      <x:c r="E657" s="98" t="n">
        <x:v>2.2431261346423046</x:v>
      </x:c>
      <x:c r="F657" s="99" t="n">
        <x:v>889.3354291877021</x:v>
      </x:c>
      <x:c r="G657" s="100" t="str">
        <x:f>XLOOKUP(D657,'Reference Tables'!$A$4:$A$23,'Reference Tables'!$B$4:$B$23,"Other")</x:f>
        <x:v>Asia Pacific</x:v>
      </x:c>
      <x:c r="H657" s="100" t="str">
        <x:f>VLOOKUP(G657,'Reference Tables'!$I$4:$J$9,2,FALSE)</x:f>
        <x:v>High</x:v>
      </x:c>
      <x:c r="I657" s="101" t="n">
        <x:f>F657*'Inputs &amp; Guide'!$B$4*XLOOKUP(D657,'Reference Tables'!$A$4:$A$23,'Reference Tables'!$C$4:$C$23,0.75)</x:f>
        <x:v>146.5624787301333</x:v>
      </x:c>
      <x:c r="J657" s="102" t="n">
        <x:f>XLOOKUP(C657,'Reference Tables'!$E$4:$E$12,'Reference Tables'!$F$4:$F$12,0.05)</x:f>
        <x:v>0.1</x:v>
      </x:c>
      <x:c r="K657" s="103" t="n">
        <x:f>MIN(I657,F657*J657)</x:f>
        <x:v>88.93354291877021</x:v>
      </x:c>
      <x:c r="L657" s="103" t="n">
        <x:f>'Inputs &amp; Guide'!$B$5</x:f>
        <x:v>15</x:v>
      </x:c>
      <x:c r="M657" s="103" t="n">
        <x:f>I657*'Inputs &amp; Guide'!$B$6</x:f>
        <x:v>80.60936330157332</x:v>
      </x:c>
      <x:c r="N657" s="103" t="n">
        <x:f>MAX(0,MIN(K657-L657,M657))</x:f>
        <x:v>73.93354291877021</x:v>
      </x:c>
      <x:c r="O657" s="103" t="n">
        <x:f>MAX(0,N657-'Inputs &amp; Guide'!$B$7)</x:f>
        <x:v>13.933542918770215</x:v>
      </x:c>
      <x:c r="P657" s="103" t="n">
        <x:f>N657-O657</x:f>
        <x:v>60</x:v>
      </x:c>
      <x:c r="Q657" s="103" t="n">
        <x:f>I657*'Inputs &amp; Guide'!$B$8</x:f>
        <x:v>2.6381246171423993</x:v>
      </x:c>
      <x:c r="R657" s="104" t="n">
        <x:f>IFERROR(P657/Q657,0)</x:f>
        <x:v>22.743429029137992</x:v>
      </x:c>
      <x:c r="S657" s="105" t="n">
        <x:f>ROUND(E657*XLOOKUP(C657,'Reference Tables'!$E$4:$E$12,'Reference Tables'!$G$4:$G$12,1),1)</x:f>
        <x:v>2.6</x:v>
      </x:c>
      <x:c r="T657" s="106" t="str">
        <x:f>IF(R657&gt;='Inputs &amp; Guide'!$B$9,"HIGH",IF(R657&gt;=0.45,"WATCH","NORMAL"))</x:f>
        <x:v>HIGH</x:v>
      </x:c>
    </x:row>
    <x:row r="658">
      <x:c r="A658" s="95" t="n">
        <x:v>5233</x:v>
      </x:c>
      <x:c r="B658" s="96" t="n">
        <x:v>45510</x:v>
      </x:c>
      <x:c r="C658" s="97" t="str">
        <x:v>Tornado</x:v>
      </x:c>
      <x:c r="D658" s="97" t="str">
        <x:v>Japan</x:v>
      </x:c>
      <x:c r="E658" s="98" t="n">
        <x:v>7.241088751425085</x:v>
      </x:c>
      <x:c r="F658" s="99" t="n">
        <x:v>215.52406352531554</x:v>
      </x:c>
      <x:c r="G658" s="100" t="str">
        <x:f>XLOOKUP(D658,'Reference Tables'!$A$4:$A$23,'Reference Tables'!$B$4:$B$23,"Other")</x:f>
        <x:v>Asia Pacific</x:v>
      </x:c>
      <x:c r="H658" s="100" t="str">
        <x:f>VLOOKUP(G658,'Reference Tables'!$I$4:$J$9,2,FALSE)</x:f>
        <x:v>High</x:v>
      </x:c>
      <x:c r="I658" s="101" t="n">
        <x:f>F658*'Inputs &amp; Guide'!$B$4*XLOOKUP(D658,'Reference Tables'!$A$4:$A$23,'Reference Tables'!$C$4:$C$23,0.75)</x:f>
        <x:v>40.69094319357957</x:v>
      </x:c>
      <x:c r="J658" s="102" t="n">
        <x:f>XLOOKUP(C658,'Reference Tables'!$E$4:$E$12,'Reference Tables'!$F$4:$F$12,0.05)</x:f>
        <x:v>0.09</x:v>
      </x:c>
      <x:c r="K658" s="103" t="n">
        <x:f>MIN(I658,F658*J658)</x:f>
        <x:v>19.397165717278398</x:v>
      </x:c>
      <x:c r="L658" s="103" t="n">
        <x:f>'Inputs &amp; Guide'!$B$5</x:f>
        <x:v>15</x:v>
      </x:c>
      <x:c r="M658" s="103" t="n">
        <x:f>I658*'Inputs &amp; Guide'!$B$6</x:f>
        <x:v>22.380018756468765</x:v>
      </x:c>
      <x:c r="N658" s="103" t="n">
        <x:f>MAX(0,MIN(K658-L658,M658))</x:f>
        <x:v>4.397165717278398</x:v>
      </x:c>
      <x:c r="O658" s="103" t="n">
        <x:f>MAX(0,N658-'Inputs &amp; Guide'!$B$7)</x:f>
        <x:v>0</x:v>
      </x:c>
      <x:c r="P658" s="103" t="n">
        <x:f>N658-O658</x:f>
        <x:v>4.397165717278398</x:v>
      </x:c>
      <x:c r="Q658" s="103" t="n">
        <x:f>I658*'Inputs &amp; Guide'!$B$8</x:f>
        <x:v>0.7324369774844323</x:v>
      </x:c>
      <x:c r="R658" s="104" t="n">
        <x:f>IFERROR(P658/Q658,0)</x:f>
        <x:v>6.0034731348225225</x:v>
      </x:c>
      <x:c r="S658" s="105" t="n">
        <x:f>ROUND(E658*XLOOKUP(C658,'Reference Tables'!$E$4:$E$12,'Reference Tables'!$G$4:$G$12,1),1)</x:f>
        <x:v>7.6</x:v>
      </x:c>
      <x:c r="T658" s="106" t="str">
        <x:f>IF(R658&gt;='Inputs &amp; Guide'!$B$9,"HIGH",IF(R658&gt;=0.45,"WATCH","NORMAL"))</x:f>
        <x:v>HIGH</x:v>
      </x:c>
    </x:row>
    <x:row r="659">
      <x:c r="A659" s="95" t="n">
        <x:v>5241</x:v>
      </x:c>
      <x:c r="B659" s="96" t="n">
        <x:v>45510.104166666664</x:v>
      </x:c>
      <x:c r="C659" s="97" t="str">
        <x:v>Wildfire</x:v>
      </x:c>
      <x:c r="D659" s="97" t="str">
        <x:v>China</x:v>
      </x:c>
      <x:c r="E659" s="98" t="n">
        <x:v>7.614380205094266</x:v>
      </x:c>
      <x:c r="F659" s="99" t="n">
        <x:v>116.34445668470863</x:v>
      </x:c>
      <x:c r="G659" s="100" t="str">
        <x:f>XLOOKUP(D659,'Reference Tables'!$A$4:$A$23,'Reference Tables'!$B$4:$B$23,"Other")</x:f>
        <x:v>Asia Pacific</x:v>
      </x:c>
      <x:c r="H659" s="100" t="str">
        <x:f>VLOOKUP(G659,'Reference Tables'!$I$4:$J$9,2,FALSE)</x:f>
        <x:v>High</x:v>
      </x:c>
      <x:c r="I659" s="101" t="n">
        <x:f>F659*'Inputs &amp; Guide'!$B$4*XLOOKUP(D659,'Reference Tables'!$A$4:$A$23,'Reference Tables'!$C$4:$C$23,0.75)</x:f>
        <x:v>20.104322115117654</x:v>
      </x:c>
      <x:c r="J659" s="102" t="n">
        <x:f>XLOOKUP(C659,'Reference Tables'!$E$4:$E$12,'Reference Tables'!$F$4:$F$12,0.05)</x:f>
        <x:v>0.1</x:v>
      </x:c>
      <x:c r="K659" s="103" t="n">
        <x:f>MIN(I659,F659*J659)</x:f>
        <x:v>11.634445668470864</x:v>
      </x:c>
      <x:c r="L659" s="103" t="n">
        <x:f>'Inputs &amp; Guide'!$B$5</x:f>
        <x:v>15</x:v>
      </x:c>
      <x:c r="M659" s="103" t="n">
        <x:f>I659*'Inputs &amp; Guide'!$B$6</x:f>
        <x:v>11.05737716331471</x:v>
      </x:c>
      <x:c r="N659" s="103" t="n">
        <x:f>MAX(0,MIN(K659-L659,M659))</x:f>
        <x:v>0</x:v>
      </x:c>
      <x:c r="O659" s="103" t="n">
        <x:f>MAX(0,N659-'Inputs &amp; Guide'!$B$7)</x:f>
        <x:v>0</x:v>
      </x:c>
      <x:c r="P659" s="103" t="n">
        <x:f>N659-O659</x:f>
        <x:v>0</x:v>
      </x:c>
      <x:c r="Q659" s="103" t="n">
        <x:f>I659*'Inputs &amp; Guide'!$B$8</x:f>
        <x:v>0.36187779807211773</x:v>
      </x:c>
      <x:c r="R659" s="104" t="n">
        <x:f>IFERROR(P659/Q659,0)</x:f>
        <x:v>0</x:v>
      </x:c>
      <x:c r="S659" s="105" t="n">
        <x:f>ROUND(E659*XLOOKUP(C659,'Reference Tables'!$E$4:$E$12,'Reference Tables'!$G$4:$G$12,1),1)</x:f>
        <x:v>8.8</x:v>
      </x:c>
      <x:c r="T659" s="106" t="str">
        <x:f>IF(R659&gt;='Inputs &amp; Guide'!$B$9,"HIGH",IF(R659&gt;=0.45,"WATCH","NORMAL"))</x:f>
        <x:v>NORMAL</x:v>
      </x:c>
    </x:row>
    <x:row r="660">
      <x:c r="A660" s="95" t="n">
        <x:v>5249</x:v>
      </x:c>
      <x:c r="B660" s="96" t="n">
        <x:v>45510.4375</x:v>
      </x:c>
      <x:c r="C660" s="97" t="str">
        <x:v>Earthquake</x:v>
      </x:c>
      <x:c r="D660" s="97" t="str">
        <x:v>Brazil</x:v>
      </x:c>
      <x:c r="E660" s="98" t="n">
        <x:v>4.107011625367311</x:v>
      </x:c>
      <x:c r="F660" s="99" t="n">
        <x:v>224.23117790064447</x:v>
      </x:c>
      <x:c r="G660" s="100" t="str">
        <x:f>XLOOKUP(D660,'Reference Tables'!$A$4:$A$23,'Reference Tables'!$B$4:$B$23,"Other")</x:f>
        <x:v>Latin America</x:v>
      </x:c>
      <x:c r="H660" s="100" t="str">
        <x:f>VLOOKUP(G660,'Reference Tables'!$I$4:$J$9,2,FALSE)</x:f>
        <x:v>Moderate</x:v>
      </x:c>
      <x:c r="I660" s="101" t="n">
        <x:f>F660*'Inputs &amp; Guide'!$B$4*XLOOKUP(D660,'Reference Tables'!$A$4:$A$23,'Reference Tables'!$C$4:$C$23,0.75)</x:f>
        <x:v>29.419130540564552</x:v>
      </x:c>
      <x:c r="J660" s="102" t="n">
        <x:f>XLOOKUP(C660,'Reference Tables'!$E$4:$E$12,'Reference Tables'!$F$4:$F$12,0.05)</x:f>
        <x:v>0.14</x:v>
      </x:c>
      <x:c r="K660" s="103" t="n">
        <x:f>MIN(I660,F660*J660)</x:f>
        <x:v>29.419130540564552</x:v>
      </x:c>
      <x:c r="L660" s="103" t="n">
        <x:f>'Inputs &amp; Guide'!$B$5</x:f>
        <x:v>15</x:v>
      </x:c>
      <x:c r="M660" s="103" t="n">
        <x:f>I660*'Inputs &amp; Guide'!$B$6</x:f>
        <x:v>16.180521797310504</x:v>
      </x:c>
      <x:c r="N660" s="103" t="n">
        <x:f>MAX(0,MIN(K660-L660,M660))</x:f>
        <x:v>14.419130540564552</x:v>
      </x:c>
      <x:c r="O660" s="103" t="n">
        <x:f>MAX(0,N660-'Inputs &amp; Guide'!$B$7)</x:f>
        <x:v>0</x:v>
      </x:c>
      <x:c r="P660" s="103" t="n">
        <x:f>N660-O660</x:f>
        <x:v>14.419130540564552</x:v>
      </x:c>
      <x:c r="Q660" s="103" t="n">
        <x:f>I660*'Inputs &amp; Guide'!$B$8</x:f>
        <x:v>0.5295443497301618</x:v>
      </x:c>
      <x:c r="R660" s="104" t="n">
        <x:f>IFERROR(P660/Q660,0)</x:f>
        <x:v>27.22931619969519</x:v>
      </x:c>
      <x:c r="S660" s="105" t="n">
        <x:f>ROUND(E660*XLOOKUP(C660,'Reference Tables'!$E$4:$E$12,'Reference Tables'!$G$4:$G$12,1),1)</x:f>
        <x:v>6.2</x:v>
      </x:c>
      <x:c r="T660" s="106" t="str">
        <x:f>IF(R660&gt;='Inputs &amp; Guide'!$B$9,"HIGH",IF(R660&gt;=0.45,"WATCH","NORMAL"))</x:f>
        <x:v>HIGH</x:v>
      </x:c>
    </x:row>
    <x:row r="661">
      <x:c r="A661" s="95" t="n">
        <x:v>5257</x:v>
      </x:c>
      <x:c r="B661" s="96" t="n">
        <x:v>45511</x:v>
      </x:c>
      <x:c r="C661" s="97" t="str">
        <x:v>Earthquake</x:v>
      </x:c>
      <x:c r="D661" s="97" t="str">
        <x:v>USA</x:v>
      </x:c>
      <x:c r="E661" s="98" t="n">
        <x:v>6.141437359537015</x:v>
      </x:c>
      <x:c r="F661" s="99" t="n">
        <x:v>566.0575716330558</x:v>
      </x:c>
      <x:c r="G661" s="100" t="str">
        <x:f>XLOOKUP(D661,'Reference Tables'!$A$4:$A$23,'Reference Tables'!$B$4:$B$23,"Other")</x:f>
        <x:v>Other</x:v>
      </x:c>
      <x:c r="H661" s="100" t="str">
        <x:f>VLOOKUP(G661,'Reference Tables'!$I$4:$J$9,2,FALSE)</x:f>
        <x:v>Moderate</x:v>
      </x:c>
      <x:c r="I661" s="101" t="n">
        <x:f>F661*'Inputs &amp; Guide'!$B$4*XLOOKUP(D661,'Reference Tables'!$A$4:$A$23,'Reference Tables'!$C$4:$C$23,0.75)</x:f>
        <x:v>67.9269085959667</x:v>
      </x:c>
      <x:c r="J661" s="102" t="n">
        <x:f>XLOOKUP(C661,'Reference Tables'!$E$4:$E$12,'Reference Tables'!$F$4:$F$12,0.05)</x:f>
        <x:v>0.14</x:v>
      </x:c>
      <x:c r="K661" s="103" t="n">
        <x:f>MIN(I661,F661*J661)</x:f>
        <x:v>67.9269085959667</x:v>
      </x:c>
      <x:c r="L661" s="103" t="n">
        <x:f>'Inputs &amp; Guide'!$B$5</x:f>
        <x:v>15</x:v>
      </x:c>
      <x:c r="M661" s="103" t="n">
        <x:f>I661*'Inputs &amp; Guide'!$B$6</x:f>
        <x:v>37.359799727781684</x:v>
      </x:c>
      <x:c r="N661" s="103" t="n">
        <x:f>MAX(0,MIN(K661-L661,M661))</x:f>
        <x:v>37.359799727781684</x:v>
      </x:c>
      <x:c r="O661" s="103" t="n">
        <x:f>MAX(0,N661-'Inputs &amp; Guide'!$B$7)</x:f>
        <x:v>0</x:v>
      </x:c>
      <x:c r="P661" s="103" t="n">
        <x:f>N661-O661</x:f>
        <x:v>37.359799727781684</x:v>
      </x:c>
      <x:c r="Q661" s="103" t="n">
        <x:f>I661*'Inputs &amp; Guide'!$B$8</x:f>
        <x:v>1.2226843547274004</x:v>
      </x:c>
      <x:c r="R661" s="104" t="n">
        <x:f>IFERROR(P661/Q661,0)</x:f>
        <x:v>30.55555555555556</x:v>
      </x:c>
      <x:c r="S661" s="105" t="n">
        <x:f>ROUND(E661*XLOOKUP(C661,'Reference Tables'!$E$4:$E$12,'Reference Tables'!$G$4:$G$12,1),1)</x:f>
        <x:v>9.2</x:v>
      </x:c>
      <x:c r="T661" s="106" t="str">
        <x:f>IF(R661&gt;='Inputs &amp; Guide'!$B$9,"HIGH",IF(R661&gt;=0.45,"WATCH","NORMAL"))</x:f>
        <x:v>HIGH</x:v>
      </x:c>
    </x:row>
    <x:row r="662">
      <x:c r="A662" s="95" t="n">
        <x:v>5265</x:v>
      </x:c>
      <x:c r="B662" s="96" t="n">
        <x:v>45511.104166666664</x:v>
      </x:c>
      <x:c r="C662" s="97" t="str">
        <x:v>Hurricane</x:v>
      </x:c>
      <x:c r="D662" s="97" t="str">
        <x:v>Japan</x:v>
      </x:c>
      <x:c r="E662" s="98" t="n">
        <x:v>4.229230122105743</x:v>
      </x:c>
      <x:c r="F662" s="99" t="n">
        <x:v>646.946699519996</x:v>
      </x:c>
      <x:c r="G662" s="100" t="str">
        <x:f>XLOOKUP(D662,'Reference Tables'!$A$4:$A$23,'Reference Tables'!$B$4:$B$23,"Other")</x:f>
        <x:v>Asia Pacific</x:v>
      </x:c>
      <x:c r="H662" s="100" t="str">
        <x:f>VLOOKUP(G662,'Reference Tables'!$I$4:$J$9,2,FALSE)</x:f>
        <x:v>High</x:v>
      </x:c>
      <x:c r="I662" s="101" t="n">
        <x:f>F662*'Inputs &amp; Guide'!$B$4*XLOOKUP(D662,'Reference Tables'!$A$4:$A$23,'Reference Tables'!$C$4:$C$23,0.75)</x:f>
        <x:v>122.14353686937523</x:v>
      </x:c>
      <x:c r="J662" s="102" t="n">
        <x:f>XLOOKUP(C662,'Reference Tables'!$E$4:$E$12,'Reference Tables'!$F$4:$F$12,0.05)</x:f>
        <x:v>0.18</x:v>
      </x:c>
      <x:c r="K662" s="103" t="n">
        <x:f>MIN(I662,F662*J662)</x:f>
        <x:v>116.45040591359927</x:v>
      </x:c>
      <x:c r="L662" s="103" t="n">
        <x:f>'Inputs &amp; Guide'!$B$5</x:f>
        <x:v>15</x:v>
      </x:c>
      <x:c r="M662" s="103" t="n">
        <x:f>I662*'Inputs &amp; Guide'!$B$6</x:f>
        <x:v>67.17894527815638</x:v>
      </x:c>
      <x:c r="N662" s="103" t="n">
        <x:f>MAX(0,MIN(K662-L662,M662))</x:f>
        <x:v>67.17894527815638</x:v>
      </x:c>
      <x:c r="O662" s="103" t="n">
        <x:f>MAX(0,N662-'Inputs &amp; Guide'!$B$7)</x:f>
        <x:v>7.178945278156377</x:v>
      </x:c>
      <x:c r="P662" s="103" t="n">
        <x:f>N662-O662</x:f>
        <x:v>60</x:v>
      </x:c>
      <x:c r="Q662" s="103" t="n">
        <x:f>I662*'Inputs &amp; Guide'!$B$8</x:f>
        <x:v>2.198583663648754</x:v>
      </x:c>
      <x:c r="R662" s="104" t="n">
        <x:f>IFERROR(P662/Q662,0)</x:f>
        <x:v>27.290296472240872</x:v>
      </x:c>
      <x:c r="S662" s="105" t="n">
        <x:f>ROUND(E662*XLOOKUP(C662,'Reference Tables'!$E$4:$E$12,'Reference Tables'!$G$4:$G$12,1),1)</x:f>
        <x:v>5.9</x:v>
      </x:c>
      <x:c r="T662" s="106" t="str">
        <x:f>IF(R662&gt;='Inputs &amp; Guide'!$B$9,"HIGH",IF(R662&gt;=0.45,"WATCH","NORMAL"))</x:f>
        <x:v>HIGH</x:v>
      </x:c>
    </x:row>
    <x:row r="663">
      <x:c r="A663" s="95" t="n">
        <x:v>5273</x:v>
      </x:c>
      <x:c r="B663" s="96" t="n">
        <x:v>45511.4375</x:v>
      </x:c>
      <x:c r="C663" s="97" t="str">
        <x:v>Earthquake</x:v>
      </x:c>
      <x:c r="D663" s="97" t="str">
        <x:v>Japan</x:v>
      </x:c>
      <x:c r="E663" s="98" t="n">
        <x:v>2.7073161045322247</x:v>
      </x:c>
      <x:c r="F663" s="99" t="n">
        <x:v>56.27512786646233</x:v>
      </x:c>
      <x:c r="G663" s="100" t="str">
        <x:f>XLOOKUP(D663,'Reference Tables'!$A$4:$A$23,'Reference Tables'!$B$4:$B$23,"Other")</x:f>
        <x:v>Asia Pacific</x:v>
      </x:c>
      <x:c r="H663" s="100" t="str">
        <x:f>VLOOKUP(G663,'Reference Tables'!$I$4:$J$9,2,FALSE)</x:f>
        <x:v>High</x:v>
      </x:c>
      <x:c r="I663" s="101" t="n">
        <x:f>F663*'Inputs &amp; Guide'!$B$4*XLOOKUP(D663,'Reference Tables'!$A$4:$A$23,'Reference Tables'!$C$4:$C$23,0.75)</x:f>
        <x:v>10.624744141188087</x:v>
      </x:c>
      <x:c r="J663" s="102" t="n">
        <x:f>XLOOKUP(C663,'Reference Tables'!$E$4:$E$12,'Reference Tables'!$F$4:$F$12,0.05)</x:f>
        <x:v>0.14</x:v>
      </x:c>
      <x:c r="K663" s="103" t="n">
        <x:f>MIN(I663,F663*J663)</x:f>
        <x:v>7.878517901304726</x:v>
      </x:c>
      <x:c r="L663" s="103" t="n">
        <x:f>'Inputs &amp; Guide'!$B$5</x:f>
        <x:v>15</x:v>
      </x:c>
      <x:c r="M663" s="103" t="n">
        <x:f>I663*'Inputs &amp; Guide'!$B$6</x:f>
        <x:v>5.8436092776534485</x:v>
      </x:c>
      <x:c r="N663" s="103" t="n">
        <x:f>MAX(0,MIN(K663-L663,M663))</x:f>
        <x:v>0</x:v>
      </x:c>
      <x:c r="O663" s="103" t="n">
        <x:f>MAX(0,N663-'Inputs &amp; Guide'!$B$7)</x:f>
        <x:v>0</x:v>
      </x:c>
      <x:c r="P663" s="103" t="n">
        <x:f>N663-O663</x:f>
        <x:v>0</x:v>
      </x:c>
      <x:c r="Q663" s="103" t="n">
        <x:f>I663*'Inputs &amp; Guide'!$B$8</x:f>
        <x:v>0.19124539454138556</x:v>
      </x:c>
      <x:c r="R663" s="104" t="n">
        <x:f>IFERROR(P663/Q663,0)</x:f>
        <x:v>0</x:v>
      </x:c>
      <x:c r="S663" s="105" t="n">
        <x:f>ROUND(E663*XLOOKUP(C663,'Reference Tables'!$E$4:$E$12,'Reference Tables'!$G$4:$G$12,1),1)</x:f>
        <x:v>4.1</x:v>
      </x:c>
      <x:c r="T663" s="106" t="str">
        <x:f>IF(R663&gt;='Inputs &amp; Guide'!$B$9,"HIGH",IF(R663&gt;=0.45,"WATCH","NORMAL"))</x:f>
        <x:v>NORMAL</x:v>
      </x:c>
    </x:row>
    <x:row r="664">
      <x:c r="A664" s="95" t="n">
        <x:v>5281</x:v>
      </x:c>
      <x:c r="B664" s="96" t="n">
        <x:v>45512</x:v>
      </x:c>
      <x:c r="C664" s="97" t="str">
        <x:v>Tornado</x:v>
      </x:c>
      <x:c r="D664" s="97" t="str">
        <x:v>India</x:v>
      </x:c>
      <x:c r="E664" s="98" t="n">
        <x:v>6.846181300020307</x:v>
      </x:c>
      <x:c r="F664" s="99" t="n">
        <x:v>267.14666261535996</x:v>
      </x:c>
      <x:c r="G664" s="100" t="str">
        <x:f>XLOOKUP(D664,'Reference Tables'!$A$4:$A$23,'Reference Tables'!$B$4:$B$23,"Other")</x:f>
        <x:v>Asia Pacific</x:v>
      </x:c>
      <x:c r="H664" s="100" t="str">
        <x:f>VLOOKUP(G664,'Reference Tables'!$I$4:$J$9,2,FALSE)</x:f>
        <x:v>High</x:v>
      </x:c>
      <x:c r="I664" s="101" t="n">
        <x:f>F664*'Inputs &amp; Guide'!$B$4*XLOOKUP(D664,'Reference Tables'!$A$4:$A$23,'Reference Tables'!$C$4:$C$23,0.75)</x:f>
        <x:v>38.89655407679641</x:v>
      </x:c>
      <x:c r="J664" s="102" t="n">
        <x:f>XLOOKUP(C664,'Reference Tables'!$E$4:$E$12,'Reference Tables'!$F$4:$F$12,0.05)</x:f>
        <x:v>0.09</x:v>
      </x:c>
      <x:c r="K664" s="103" t="n">
        <x:f>MIN(I664,F664*J664)</x:f>
        <x:v>24.043199635382397</x:v>
      </x:c>
      <x:c r="L664" s="103" t="n">
        <x:f>'Inputs &amp; Guide'!$B$5</x:f>
        <x:v>15</x:v>
      </x:c>
      <x:c r="M664" s="103" t="n">
        <x:f>I664*'Inputs &amp; Guide'!$B$6</x:f>
        <x:v>21.39310474223803</x:v>
      </x:c>
      <x:c r="N664" s="103" t="n">
        <x:f>MAX(0,MIN(K664-L664,M664))</x:f>
        <x:v>9.043199635382397</x:v>
      </x:c>
      <x:c r="O664" s="103" t="n">
        <x:f>MAX(0,N664-'Inputs &amp; Guide'!$B$7)</x:f>
        <x:v>0</x:v>
      </x:c>
      <x:c r="P664" s="103" t="n">
        <x:f>N664-O664</x:f>
        <x:v>9.043199635382397</x:v>
      </x:c>
      <x:c r="Q664" s="103" t="n">
        <x:f>I664*'Inputs &amp; Guide'!$B$8</x:f>
        <x:v>0.7001379733823354</x:v>
      </x:c>
      <x:c r="R664" s="104" t="n">
        <x:f>IFERROR(P664/Q664,0)</x:f>
        <x:v>12.916310754714676</x:v>
      </x:c>
      <x:c r="S664" s="105" t="n">
        <x:f>ROUND(E664*XLOOKUP(C664,'Reference Tables'!$E$4:$E$12,'Reference Tables'!$G$4:$G$12,1),1)</x:f>
        <x:v>7.2</x:v>
      </x:c>
      <x:c r="T664" s="106" t="str">
        <x:f>IF(R664&gt;='Inputs &amp; Guide'!$B$9,"HIGH",IF(R664&gt;=0.45,"WATCH","NORMAL"))</x:f>
        <x:v>HIGH</x:v>
      </x:c>
    </x:row>
    <x:row r="665">
      <x:c r="A665" s="95" t="n">
        <x:v>5289</x:v>
      </x:c>
      <x:c r="B665" s="96" t="n">
        <x:v>45512.104166666664</x:v>
      </x:c>
      <x:c r="C665" s="97" t="str">
        <x:v>Wildfire</x:v>
      </x:c>
      <x:c r="D665" s="97" t="str">
        <x:v>Brazil</x:v>
      </x:c>
      <x:c r="E665" s="98" t="n">
        <x:v>5.992795127738431</x:v>
      </x:c>
      <x:c r="F665" s="99" t="n">
        <x:v>120.38608530488227</x:v>
      </x:c>
      <x:c r="G665" s="100" t="str">
        <x:f>XLOOKUP(D665,'Reference Tables'!$A$4:$A$23,'Reference Tables'!$B$4:$B$23,"Other")</x:f>
        <x:v>Latin America</x:v>
      </x:c>
      <x:c r="H665" s="100" t="str">
        <x:f>VLOOKUP(G665,'Reference Tables'!$I$4:$J$9,2,FALSE)</x:f>
        <x:v>Moderate</x:v>
      </x:c>
      <x:c r="I665" s="101" t="n">
        <x:f>F665*'Inputs &amp; Guide'!$B$4*XLOOKUP(D665,'Reference Tables'!$A$4:$A$23,'Reference Tables'!$C$4:$C$23,0.75)</x:f>
        <x:v>15.794654392000554</x:v>
      </x:c>
      <x:c r="J665" s="102" t="n">
        <x:f>XLOOKUP(C665,'Reference Tables'!$E$4:$E$12,'Reference Tables'!$F$4:$F$12,0.05)</x:f>
        <x:v>0.1</x:v>
      </x:c>
      <x:c r="K665" s="103" t="n">
        <x:f>MIN(I665,F665*J665)</x:f>
        <x:v>12.038608530488228</x:v>
      </x:c>
      <x:c r="L665" s="103" t="n">
        <x:f>'Inputs &amp; Guide'!$B$5</x:f>
        <x:v>15</x:v>
      </x:c>
      <x:c r="M665" s="103" t="n">
        <x:f>I665*'Inputs &amp; Guide'!$B$6</x:f>
        <x:v>8.687059915600306</x:v>
      </x:c>
      <x:c r="N665" s="103" t="n">
        <x:f>MAX(0,MIN(K665-L665,M665))</x:f>
        <x:v>0</x:v>
      </x:c>
      <x:c r="O665" s="103" t="n">
        <x:f>MAX(0,N665-'Inputs &amp; Guide'!$B$7)</x:f>
        <x:v>0</x:v>
      </x:c>
      <x:c r="P665" s="103" t="n">
        <x:f>N665-O665</x:f>
        <x:v>0</x:v>
      </x:c>
      <x:c r="Q665" s="103" t="n">
        <x:f>I665*'Inputs &amp; Guide'!$B$8</x:f>
        <x:v>0.28430377905600995</x:v>
      </x:c>
      <x:c r="R665" s="104" t="n">
        <x:f>IFERROR(P665/Q665,0)</x:f>
        <x:v>0</x:v>
      </x:c>
      <x:c r="S665" s="105" t="n">
        <x:f>ROUND(E665*XLOOKUP(C665,'Reference Tables'!$E$4:$E$12,'Reference Tables'!$G$4:$G$12,1),1)</x:f>
        <x:v>6.9</x:v>
      </x:c>
      <x:c r="T665" s="106" t="str">
        <x:f>IF(R665&gt;='Inputs &amp; Guide'!$B$9,"HIGH",IF(R665&gt;=0.45,"WATCH","NORMAL"))</x:f>
        <x:v>NORMAL</x:v>
      </x:c>
    </x:row>
    <x:row r="666">
      <x:c r="A666" s="95" t="n">
        <x:v>5297</x:v>
      </x:c>
      <x:c r="B666" s="96" t="n">
        <x:v>45512.4375</x:v>
      </x:c>
      <x:c r="C666" s="97" t="str">
        <x:v>Hurricane</x:v>
      </x:c>
      <x:c r="D666" s="97" t="str">
        <x:v>Japan</x:v>
      </x:c>
      <x:c r="E666" s="98" t="n">
        <x:v>3.8263111570085426</x:v>
      </x:c>
      <x:c r="F666" s="99" t="n">
        <x:v>438.6946005579531</x:v>
      </x:c>
      <x:c r="G666" s="100" t="str">
        <x:f>XLOOKUP(D666,'Reference Tables'!$A$4:$A$23,'Reference Tables'!$B$4:$B$23,"Other")</x:f>
        <x:v>Asia Pacific</x:v>
      </x:c>
      <x:c r="H666" s="100" t="str">
        <x:f>VLOOKUP(G666,'Reference Tables'!$I$4:$J$9,2,FALSE)</x:f>
        <x:v>High</x:v>
      </x:c>
      <x:c r="I666" s="101" t="n">
        <x:f>F666*'Inputs &amp; Guide'!$B$4*XLOOKUP(D666,'Reference Tables'!$A$4:$A$23,'Reference Tables'!$C$4:$C$23,0.75)</x:f>
        <x:v>82.82554058534153</x:v>
      </x:c>
      <x:c r="J666" s="102" t="n">
        <x:f>XLOOKUP(C666,'Reference Tables'!$E$4:$E$12,'Reference Tables'!$F$4:$F$12,0.05)</x:f>
        <x:v>0.18</x:v>
      </x:c>
      <x:c r="K666" s="103" t="n">
        <x:f>MIN(I666,F666*J666)</x:f>
        <x:v>78.96502810043155</x:v>
      </x:c>
      <x:c r="L666" s="103" t="n">
        <x:f>'Inputs &amp; Guide'!$B$5</x:f>
        <x:v>15</x:v>
      </x:c>
      <x:c r="M666" s="103" t="n">
        <x:f>I666*'Inputs &amp; Guide'!$B$6</x:f>
        <x:v>45.554047321937844</x:v>
      </x:c>
      <x:c r="N666" s="103" t="n">
        <x:f>MAX(0,MIN(K666-L666,M666))</x:f>
        <x:v>45.554047321937844</x:v>
      </x:c>
      <x:c r="O666" s="103" t="n">
        <x:f>MAX(0,N666-'Inputs &amp; Guide'!$B$7)</x:f>
        <x:v>0</x:v>
      </x:c>
      <x:c r="P666" s="103" t="n">
        <x:f>N666-O666</x:f>
        <x:v>45.554047321937844</x:v>
      </x:c>
      <x:c r="Q666" s="103" t="n">
        <x:f>I666*'Inputs &amp; Guide'!$B$8</x:f>
        <x:v>1.4908597305361473</x:v>
      </x:c>
      <x:c r="R666" s="104" t="n">
        <x:f>IFERROR(P666/Q666,0)</x:f>
        <x:v>30.555555555555564</x:v>
      </x:c>
      <x:c r="S666" s="105" t="n">
        <x:f>ROUND(E666*XLOOKUP(C666,'Reference Tables'!$E$4:$E$12,'Reference Tables'!$G$4:$G$12,1),1)</x:f>
        <x:v>5.4</x:v>
      </x:c>
      <x:c r="T666" s="106" t="str">
        <x:f>IF(R666&gt;='Inputs &amp; Guide'!$B$9,"HIGH",IF(R666&gt;=0.45,"WATCH","NORMAL"))</x:f>
        <x:v>HIGH</x:v>
      </x:c>
    </x:row>
    <x:row r="667">
      <x:c r="A667" s="95" t="n">
        <x:v>5305</x:v>
      </x:c>
      <x:c r="B667" s="96" t="n">
        <x:v>45513</x:v>
      </x:c>
      <x:c r="C667" s="97" t="str">
        <x:v>Flood</x:v>
      </x:c>
      <x:c r="D667" s="97" t="str">
        <x:v>China</x:v>
      </x:c>
      <x:c r="E667" s="98" t="n">
        <x:v>3.819931341149702</x:v>
      </x:c>
      <x:c r="F667" s="99" t="n">
        <x:v>36.70154530572634</x:v>
      </x:c>
      <x:c r="G667" s="100" t="str">
        <x:f>XLOOKUP(D667,'Reference Tables'!$A$4:$A$23,'Reference Tables'!$B$4:$B$23,"Other")</x:f>
        <x:v>Asia Pacific</x:v>
      </x:c>
      <x:c r="H667" s="100" t="str">
        <x:f>VLOOKUP(G667,'Reference Tables'!$I$4:$J$9,2,FALSE)</x:f>
        <x:v>High</x:v>
      </x:c>
      <x:c r="I667" s="101" t="n">
        <x:f>F667*'Inputs &amp; Guide'!$B$4*XLOOKUP(D667,'Reference Tables'!$A$4:$A$23,'Reference Tables'!$C$4:$C$23,0.75)</x:f>
        <x:v>6.342027028829512</x:v>
      </x:c>
      <x:c r="J667" s="102" t="n">
        <x:f>XLOOKUP(C667,'Reference Tables'!$E$4:$E$12,'Reference Tables'!$F$4:$F$12,0.05)</x:f>
        <x:v>0.12</x:v>
      </x:c>
      <x:c r="K667" s="103" t="n">
        <x:f>MIN(I667,F667*J667)</x:f>
        <x:v>4.404185436687161</x:v>
      </x:c>
      <x:c r="L667" s="103" t="n">
        <x:f>'Inputs &amp; Guide'!$B$5</x:f>
        <x:v>15</x:v>
      </x:c>
      <x:c r="M667" s="103" t="n">
        <x:f>I667*'Inputs &amp; Guide'!$B$6</x:f>
        <x:v>3.488114865856232</x:v>
      </x:c>
      <x:c r="N667" s="103" t="n">
        <x:f>MAX(0,MIN(K667-L667,M667))</x:f>
        <x:v>0</x:v>
      </x:c>
      <x:c r="O667" s="103" t="n">
        <x:f>MAX(0,N667-'Inputs &amp; Guide'!$B$7)</x:f>
        <x:v>0</x:v>
      </x:c>
      <x:c r="P667" s="103" t="n">
        <x:f>N667-O667</x:f>
        <x:v>0</x:v>
      </x:c>
      <x:c r="Q667" s="103" t="n">
        <x:f>I667*'Inputs &amp; Guide'!$B$8</x:f>
        <x:v>0.1141564865189312</x:v>
      </x:c>
      <x:c r="R667" s="104" t="n">
        <x:f>IFERROR(P667/Q667,0)</x:f>
        <x:v>0</x:v>
      </x:c>
      <x:c r="S667" s="105" t="n">
        <x:f>ROUND(E667*XLOOKUP(C667,'Reference Tables'!$E$4:$E$12,'Reference Tables'!$G$4:$G$12,1),1)</x:f>
        <x:v>4.8</x:v>
      </x:c>
      <x:c r="T667" s="106" t="str">
        <x:f>IF(R667&gt;='Inputs &amp; Guide'!$B$9,"HIGH",IF(R667&gt;=0.45,"WATCH","NORMAL"))</x:f>
        <x:v>NORMAL</x:v>
      </x:c>
    </x:row>
    <x:row r="668">
      <x:c r="A668" s="95" t="n">
        <x:v>5313</x:v>
      </x:c>
      <x:c r="B668" s="96" t="n">
        <x:v>45513.104166666664</x:v>
      </x:c>
      <x:c r="C668" s="97" t="str">
        <x:v>Tornado</x:v>
      </x:c>
      <x:c r="D668" s="97" t="str">
        <x:v>China</x:v>
      </x:c>
      <x:c r="E668" s="98" t="n">
        <x:v>3.0031711771442526</x:v>
      </x:c>
      <x:c r="F668" s="99" t="n">
        <x:v>367.356916634201</x:v>
      </x:c>
      <x:c r="G668" s="100" t="str">
        <x:f>XLOOKUP(D668,'Reference Tables'!$A$4:$A$23,'Reference Tables'!$B$4:$B$23,"Other")</x:f>
        <x:v>Asia Pacific</x:v>
      </x:c>
      <x:c r="H668" s="100" t="str">
        <x:f>VLOOKUP(G668,'Reference Tables'!$I$4:$J$9,2,FALSE)</x:f>
        <x:v>High</x:v>
      </x:c>
      <x:c r="I668" s="101" t="n">
        <x:f>F668*'Inputs &amp; Guide'!$B$4*XLOOKUP(D668,'Reference Tables'!$A$4:$A$23,'Reference Tables'!$C$4:$C$23,0.75)</x:f>
        <x:v>63.479275194389935</x:v>
      </x:c>
      <x:c r="J668" s="102" t="n">
        <x:f>XLOOKUP(C668,'Reference Tables'!$E$4:$E$12,'Reference Tables'!$F$4:$F$12,0.05)</x:f>
        <x:v>0.09</x:v>
      </x:c>
      <x:c r="K668" s="103" t="n">
        <x:f>MIN(I668,F668*J668)</x:f>
        <x:v>33.06212249707809</x:v>
      </x:c>
      <x:c r="L668" s="103" t="n">
        <x:f>'Inputs &amp; Guide'!$B$5</x:f>
        <x:v>15</x:v>
      </x:c>
      <x:c r="M668" s="103" t="n">
        <x:f>I668*'Inputs &amp; Guide'!$B$6</x:f>
        <x:v>34.91360135691447</x:v>
      </x:c>
      <x:c r="N668" s="103" t="n">
        <x:f>MAX(0,MIN(K668-L668,M668))</x:f>
        <x:v>18.062122497078093</x:v>
      </x:c>
      <x:c r="O668" s="103" t="n">
        <x:f>MAX(0,N668-'Inputs &amp; Guide'!$B$7)</x:f>
        <x:v>0</x:v>
      </x:c>
      <x:c r="P668" s="103" t="n">
        <x:f>N668-O668</x:f>
        <x:v>18.062122497078093</x:v>
      </x:c>
      <x:c r="Q668" s="103" t="n">
        <x:f>I668*'Inputs &amp; Guide'!$B$8</x:f>
        <x:v>1.1426269534990188</x:v>
      </x:c>
      <x:c r="R668" s="104" t="n">
        <x:f>IFERROR(P668/Q668,0)</x:f>
        <x:v>15.807541071709545</x:v>
      </x:c>
      <x:c r="S668" s="105" t="n">
        <x:f>ROUND(E668*XLOOKUP(C668,'Reference Tables'!$E$4:$E$12,'Reference Tables'!$G$4:$G$12,1),1)</x:f>
        <x:v>3.2</x:v>
      </x:c>
      <x:c r="T668" s="106" t="str">
        <x:f>IF(R668&gt;='Inputs &amp; Guide'!$B$9,"HIGH",IF(R668&gt;=0.45,"WATCH","NORMAL"))</x:f>
        <x:v>HIGH</x:v>
      </x:c>
    </x:row>
    <x:row r="669">
      <x:c r="A669" s="95" t="n">
        <x:v>5321</x:v>
      </x:c>
      <x:c r="B669" s="96" t="n">
        <x:v>45513.4375</x:v>
      </x:c>
      <x:c r="C669" s="97" t="str">
        <x:v>Earthquake</x:v>
      </x:c>
      <x:c r="D669" s="97" t="str">
        <x:v>India</x:v>
      </x:c>
      <x:c r="E669" s="98" t="n">
        <x:v>8.74118031535307</x:v>
      </x:c>
      <x:c r="F669" s="99" t="n">
        <x:v>286.4518940224308</x:v>
      </x:c>
      <x:c r="G669" s="100" t="str">
        <x:f>XLOOKUP(D669,'Reference Tables'!$A$4:$A$23,'Reference Tables'!$B$4:$B$23,"Other")</x:f>
        <x:v>Asia Pacific</x:v>
      </x:c>
      <x:c r="H669" s="100" t="str">
        <x:f>VLOOKUP(G669,'Reference Tables'!$I$4:$J$9,2,FALSE)</x:f>
        <x:v>High</x:v>
      </x:c>
      <x:c r="I669" s="101" t="n">
        <x:f>F669*'Inputs &amp; Guide'!$B$4*XLOOKUP(D669,'Reference Tables'!$A$4:$A$23,'Reference Tables'!$C$4:$C$23,0.75)</x:f>
        <x:v>41.70739576966593</x:v>
      </x:c>
      <x:c r="J669" s="102" t="n">
        <x:f>XLOOKUP(C669,'Reference Tables'!$E$4:$E$12,'Reference Tables'!$F$4:$F$12,0.05)</x:f>
        <x:v>0.14</x:v>
      </x:c>
      <x:c r="K669" s="103" t="n">
        <x:f>MIN(I669,F669*J669)</x:f>
        <x:v>40.103265163140314</x:v>
      </x:c>
      <x:c r="L669" s="103" t="n">
        <x:f>'Inputs &amp; Guide'!$B$5</x:f>
        <x:v>15</x:v>
      </x:c>
      <x:c r="M669" s="103" t="n">
        <x:f>I669*'Inputs &amp; Guide'!$B$6</x:f>
        <x:v>22.939067673316263</x:v>
      </x:c>
      <x:c r="N669" s="103" t="n">
        <x:f>MAX(0,MIN(K669-L669,M669))</x:f>
        <x:v>22.939067673316263</x:v>
      </x:c>
      <x:c r="O669" s="103" t="n">
        <x:f>MAX(0,N669-'Inputs &amp; Guide'!$B$7)</x:f>
        <x:v>0</x:v>
      </x:c>
      <x:c r="P669" s="103" t="n">
        <x:f>N669-O669</x:f>
        <x:v>22.939067673316263</x:v>
      </x:c>
      <x:c r="Q669" s="103" t="n">
        <x:f>I669*'Inputs &amp; Guide'!$B$8</x:f>
        <x:v>0.7507331238539867</x:v>
      </x:c>
      <x:c r="R669" s="104" t="n">
        <x:f>IFERROR(P669/Q669,0)</x:f>
        <x:v>30.555555555555557</x:v>
      </x:c>
      <x:c r="S669" s="105" t="n">
        <x:f>ROUND(E669*XLOOKUP(C669,'Reference Tables'!$E$4:$E$12,'Reference Tables'!$G$4:$G$12,1),1)</x:f>
        <x:v>13.1</x:v>
      </x:c>
      <x:c r="T669" s="106" t="str">
        <x:f>IF(R669&gt;='Inputs &amp; Guide'!$B$9,"HIGH",IF(R669&gt;=0.45,"WATCH","NORMAL"))</x:f>
        <x:v>HIGH</x:v>
      </x:c>
    </x:row>
    <x:row r="670">
      <x:c r="A670" s="95" t="n">
        <x:v>5329</x:v>
      </x:c>
      <x:c r="B670" s="96" t="n">
        <x:v>45514</x:v>
      </x:c>
      <x:c r="C670" s="97" t="str">
        <x:v>Hurricane</x:v>
      </x:c>
      <x:c r="D670" s="97" t="str">
        <x:v>China</x:v>
      </x:c>
      <x:c r="E670" s="98" t="n">
        <x:v>2.204708768397537</x:v>
      </x:c>
      <x:c r="F670" s="99" t="n">
        <x:v>333.57086031731683</x:v>
      </x:c>
      <x:c r="G670" s="100" t="str">
        <x:f>XLOOKUP(D670,'Reference Tables'!$A$4:$A$23,'Reference Tables'!$B$4:$B$23,"Other")</x:f>
        <x:v>Asia Pacific</x:v>
      </x:c>
      <x:c r="H670" s="100" t="str">
        <x:f>VLOOKUP(G670,'Reference Tables'!$I$4:$J$9,2,FALSE)</x:f>
        <x:v>High</x:v>
      </x:c>
      <x:c r="I670" s="101" t="n">
        <x:f>F670*'Inputs &amp; Guide'!$B$4*XLOOKUP(D670,'Reference Tables'!$A$4:$A$23,'Reference Tables'!$C$4:$C$23,0.75)</x:f>
        <x:v>57.64104466283235</x:v>
      </x:c>
      <x:c r="J670" s="102" t="n">
        <x:f>XLOOKUP(C670,'Reference Tables'!$E$4:$E$12,'Reference Tables'!$F$4:$F$12,0.05)</x:f>
        <x:v>0.18</x:v>
      </x:c>
      <x:c r="K670" s="103" t="n">
        <x:f>MIN(I670,F670*J670)</x:f>
        <x:v>57.64104466283235</x:v>
      </x:c>
      <x:c r="L670" s="103" t="n">
        <x:f>'Inputs &amp; Guide'!$B$5</x:f>
        <x:v>15</x:v>
      </x:c>
      <x:c r="M670" s="103" t="n">
        <x:f>I670*'Inputs &amp; Guide'!$B$6</x:f>
        <x:v>31.702574564557796</x:v>
      </x:c>
      <x:c r="N670" s="103" t="n">
        <x:f>MAX(0,MIN(K670-L670,M670))</x:f>
        <x:v>31.702574564557796</x:v>
      </x:c>
      <x:c r="O670" s="103" t="n">
        <x:f>MAX(0,N670-'Inputs &amp; Guide'!$B$7)</x:f>
        <x:v>0</x:v>
      </x:c>
      <x:c r="P670" s="103" t="n">
        <x:f>N670-O670</x:f>
        <x:v>31.702574564557796</x:v>
      </x:c>
      <x:c r="Q670" s="103" t="n">
        <x:f>I670*'Inputs &amp; Guide'!$B$8</x:f>
        <x:v>1.0375388039309823</x:v>
      </x:c>
      <x:c r="R670" s="104" t="n">
        <x:f>IFERROR(P670/Q670,0)</x:f>
        <x:v>30.55555555555556</x:v>
      </x:c>
      <x:c r="S670" s="105" t="n">
        <x:f>ROUND(E670*XLOOKUP(C670,'Reference Tables'!$E$4:$E$12,'Reference Tables'!$G$4:$G$12,1),1)</x:f>
        <x:v>3.1</x:v>
      </x:c>
      <x:c r="T670" s="106" t="str">
        <x:f>IF(R670&gt;='Inputs &amp; Guide'!$B$9,"HIGH",IF(R670&gt;=0.45,"WATCH","NORMAL"))</x:f>
        <x:v>HIGH</x:v>
      </x:c>
    </x:row>
    <x:row r="671">
      <x:c r="A671" s="95" t="n">
        <x:v>5337</x:v>
      </x:c>
      <x:c r="B671" s="96" t="n">
        <x:v>45514.104166666664</x:v>
      </x:c>
      <x:c r="C671" s="97" t="str">
        <x:v>Flood</x:v>
      </x:c>
      <x:c r="D671" s="97" t="str">
        <x:v>Japan</x:v>
      </x:c>
      <x:c r="E671" s="98" t="n">
        <x:v>9.313812947042479</x:v>
      </x:c>
      <x:c r="F671" s="99" t="n">
        <x:v>295.3594765463527</x:v>
      </x:c>
      <x:c r="G671" s="100" t="str">
        <x:f>XLOOKUP(D671,'Reference Tables'!$A$4:$A$23,'Reference Tables'!$B$4:$B$23,"Other")</x:f>
        <x:v>Asia Pacific</x:v>
      </x:c>
      <x:c r="H671" s="100" t="str">
        <x:f>VLOOKUP(G671,'Reference Tables'!$I$4:$J$9,2,FALSE)</x:f>
        <x:v>High</x:v>
      </x:c>
      <x:c r="I671" s="101" t="n">
        <x:f>F671*'Inputs &amp; Guide'!$B$4*XLOOKUP(D671,'Reference Tables'!$A$4:$A$23,'Reference Tables'!$C$4:$C$23,0.75)</x:f>
        <x:v>55.76386917195139</x:v>
      </x:c>
      <x:c r="J671" s="102" t="n">
        <x:f>XLOOKUP(C671,'Reference Tables'!$E$4:$E$12,'Reference Tables'!$F$4:$F$12,0.05)</x:f>
        <x:v>0.12</x:v>
      </x:c>
      <x:c r="K671" s="103" t="n">
        <x:f>MIN(I671,F671*J671)</x:f>
        <x:v>35.44313718556232</x:v>
      </x:c>
      <x:c r="L671" s="103" t="n">
        <x:f>'Inputs &amp; Guide'!$B$5</x:f>
        <x:v>15</x:v>
      </x:c>
      <x:c r="M671" s="103" t="n">
        <x:f>I671*'Inputs &amp; Guide'!$B$6</x:f>
        <x:v>30.670128044573268</x:v>
      </x:c>
      <x:c r="N671" s="103" t="n">
        <x:f>MAX(0,MIN(K671-L671,M671))</x:f>
        <x:v>20.44313718556232</x:v>
      </x:c>
      <x:c r="O671" s="103" t="n">
        <x:f>MAX(0,N671-'Inputs &amp; Guide'!$B$7)</x:f>
        <x:v>0</x:v>
      </x:c>
      <x:c r="P671" s="103" t="n">
        <x:f>N671-O671</x:f>
        <x:v>20.44313718556232</x:v>
      </x:c>
      <x:c r="Q671" s="103" t="n">
        <x:f>I671*'Inputs &amp; Guide'!$B$8</x:f>
        <x:v>1.0037496450951249</x:v>
      </x:c>
      <x:c r="R671" s="104" t="n">
        <x:f>IFERROR(P671/Q671,0)</x:f>
        <x:v>20.36676902996557</x:v>
      </x:c>
      <x:c r="S671" s="105" t="n">
        <x:f>ROUND(E671*XLOOKUP(C671,'Reference Tables'!$E$4:$E$12,'Reference Tables'!$G$4:$G$12,1),1)</x:f>
        <x:v>11.6</x:v>
      </x:c>
      <x:c r="T671" s="106" t="str">
        <x:f>IF(R671&gt;='Inputs &amp; Guide'!$B$9,"HIGH",IF(R671&gt;=0.45,"WATCH","NORMAL"))</x:f>
        <x:v>HIGH</x:v>
      </x:c>
    </x:row>
    <x:row r="672">
      <x:c r="A672" s="95" t="n">
        <x:v>5345</x:v>
      </x:c>
      <x:c r="B672" s="96" t="n">
        <x:v>45514.4375</x:v>
      </x:c>
      <x:c r="C672" s="97" t="str">
        <x:v>Earthquake</x:v>
      </x:c>
      <x:c r="D672" s="97" t="str">
        <x:v>Indonesia</x:v>
      </x:c>
      <x:c r="E672" s="98" t="n">
        <x:v>1.2680432726576003</x:v>
      </x:c>
      <x:c r="F672" s="99" t="n">
        <x:v>489.5038540773158</x:v>
      </x:c>
      <x:c r="G672" s="100" t="str">
        <x:f>XLOOKUP(D672,'Reference Tables'!$A$4:$A$23,'Reference Tables'!$B$4:$B$23,"Other")</x:f>
        <x:v>Asia Pacific</x:v>
      </x:c>
      <x:c r="H672" s="100" t="str">
        <x:f>VLOOKUP(G672,'Reference Tables'!$I$4:$J$9,2,FALSE)</x:f>
        <x:v>High</x:v>
      </x:c>
      <x:c r="I672" s="101" t="n">
        <x:f>F672*'Inputs &amp; Guide'!$B$4*XLOOKUP(D672,'Reference Tables'!$A$4:$A$23,'Reference Tables'!$C$4:$C$23,0.75)</x:f>
        <x:v>80.67023515194165</x:v>
      </x:c>
      <x:c r="J672" s="102" t="n">
        <x:f>XLOOKUP(C672,'Reference Tables'!$E$4:$E$12,'Reference Tables'!$F$4:$F$12,0.05)</x:f>
        <x:v>0.14</x:v>
      </x:c>
      <x:c r="K672" s="103" t="n">
        <x:f>MIN(I672,F672*J672)</x:f>
        <x:v>68.53053957082422</x:v>
      </x:c>
      <x:c r="L672" s="103" t="n">
        <x:f>'Inputs &amp; Guide'!$B$5</x:f>
        <x:v>15</x:v>
      </x:c>
      <x:c r="M672" s="103" t="n">
        <x:f>I672*'Inputs &amp; Guide'!$B$6</x:f>
        <x:v>44.36862933356792</x:v>
      </x:c>
      <x:c r="N672" s="103" t="n">
        <x:f>MAX(0,MIN(K672-L672,M672))</x:f>
        <x:v>44.36862933356792</x:v>
      </x:c>
      <x:c r="O672" s="103" t="n">
        <x:f>MAX(0,N672-'Inputs &amp; Guide'!$B$7)</x:f>
        <x:v>0</x:v>
      </x:c>
      <x:c r="P672" s="103" t="n">
        <x:f>N672-O672</x:f>
        <x:v>44.36862933356792</x:v>
      </x:c>
      <x:c r="Q672" s="103" t="n">
        <x:f>I672*'Inputs &amp; Guide'!$B$8</x:f>
        <x:v>1.4520642327349496</x:v>
      </x:c>
      <x:c r="R672" s="104" t="n">
        <x:f>IFERROR(P672/Q672,0)</x:f>
        <x:v>30.555555555555564</x:v>
      </x:c>
      <x:c r="S672" s="105" t="n">
        <x:f>ROUND(E672*XLOOKUP(C672,'Reference Tables'!$E$4:$E$12,'Reference Tables'!$G$4:$G$12,1),1)</x:f>
        <x:v>1.9</x:v>
      </x:c>
      <x:c r="T672" s="106" t="str">
        <x:f>IF(R672&gt;='Inputs &amp; Guide'!$B$9,"HIGH",IF(R672&gt;=0.45,"WATCH","NORMAL"))</x:f>
        <x:v>HIGH</x:v>
      </x:c>
    </x:row>
    <x:row r="673">
      <x:c r="A673" s="95" t="n">
        <x:v>5353</x:v>
      </x:c>
      <x:c r="B673" s="96" t="n">
        <x:v>45515</x:v>
      </x:c>
      <x:c r="C673" s="97" t="str">
        <x:v>Flood</x:v>
      </x:c>
      <x:c r="D673" s="97" t="str">
        <x:v>India</x:v>
      </x:c>
      <x:c r="E673" s="98" t="n">
        <x:v>5.171321803176326</x:v>
      </x:c>
      <x:c r="F673" s="99" t="n">
        <x:v>551.0707465131926</x:v>
      </x:c>
      <x:c r="G673" s="100" t="str">
        <x:f>XLOOKUP(D673,'Reference Tables'!$A$4:$A$23,'Reference Tables'!$B$4:$B$23,"Other")</x:f>
        <x:v>Asia Pacific</x:v>
      </x:c>
      <x:c r="H673" s="100" t="str">
        <x:f>VLOOKUP(G673,'Reference Tables'!$I$4:$J$9,2,FALSE)</x:f>
        <x:v>High</x:v>
      </x:c>
      <x:c r="I673" s="101" t="n">
        <x:f>F673*'Inputs &amp; Guide'!$B$4*XLOOKUP(D673,'Reference Tables'!$A$4:$A$23,'Reference Tables'!$C$4:$C$23,0.75)</x:f>
        <x:v>80.23590069232084</x:v>
      </x:c>
      <x:c r="J673" s="102" t="n">
        <x:f>XLOOKUP(C673,'Reference Tables'!$E$4:$E$12,'Reference Tables'!$F$4:$F$12,0.05)</x:f>
        <x:v>0.12</x:v>
      </x:c>
      <x:c r="K673" s="103" t="n">
        <x:f>MIN(I673,F673*J673)</x:f>
        <x:v>66.12848958158311</x:v>
      </x:c>
      <x:c r="L673" s="103" t="n">
        <x:f>'Inputs &amp; Guide'!$B$5</x:f>
        <x:v>15</x:v>
      </x:c>
      <x:c r="M673" s="103" t="n">
        <x:f>I673*'Inputs &amp; Guide'!$B$6</x:f>
        <x:v>44.12974538077646</x:v>
      </x:c>
      <x:c r="N673" s="103" t="n">
        <x:f>MAX(0,MIN(K673-L673,M673))</x:f>
        <x:v>44.12974538077646</x:v>
      </x:c>
      <x:c r="O673" s="103" t="n">
        <x:f>MAX(0,N673-'Inputs &amp; Guide'!$B$7)</x:f>
        <x:v>0</x:v>
      </x:c>
      <x:c r="P673" s="103" t="n">
        <x:f>N673-O673</x:f>
        <x:v>44.12974538077646</x:v>
      </x:c>
      <x:c r="Q673" s="103" t="n">
        <x:f>I673*'Inputs &amp; Guide'!$B$8</x:f>
        <x:v>1.444246212461775</x:v>
      </x:c>
      <x:c r="R673" s="104" t="n">
        <x:f>IFERROR(P673/Q673,0)</x:f>
        <x:v>30.555555555555557</x:v>
      </x:c>
      <x:c r="S673" s="105" t="n">
        <x:f>ROUND(E673*XLOOKUP(C673,'Reference Tables'!$E$4:$E$12,'Reference Tables'!$G$4:$G$12,1),1)</x:f>
        <x:v>6.5</x:v>
      </x:c>
      <x:c r="T673" s="106" t="str">
        <x:f>IF(R673&gt;='Inputs &amp; Guide'!$B$9,"HIGH",IF(R673&gt;=0.45,"WATCH","NORMAL"))</x:f>
        <x:v>HIGH</x:v>
      </x:c>
    </x:row>
    <x:row r="674">
      <x:c r="A674" s="95" t="n">
        <x:v>5361</x:v>
      </x:c>
      <x:c r="B674" s="96" t="n">
        <x:v>45515.104166666664</x:v>
      </x:c>
      <x:c r="C674" s="97" t="str">
        <x:v>Hurricane</x:v>
      </x:c>
      <x:c r="D674" s="97" t="str">
        <x:v>Japan</x:v>
      </x:c>
      <x:c r="E674" s="98" t="n">
        <x:v>3.6785395173775894</x:v>
      </x:c>
      <x:c r="F674" s="99" t="n">
        <x:v>167.94267716519494</x:v>
      </x:c>
      <x:c r="G674" s="100" t="str">
        <x:f>XLOOKUP(D674,'Reference Tables'!$A$4:$A$23,'Reference Tables'!$B$4:$B$23,"Other")</x:f>
        <x:v>Asia Pacific</x:v>
      </x:c>
      <x:c r="H674" s="100" t="str">
        <x:f>VLOOKUP(G674,'Reference Tables'!$I$4:$J$9,2,FALSE)</x:f>
        <x:v>High</x:v>
      </x:c>
      <x:c r="I674" s="101" t="n">
        <x:f>F674*'Inputs &amp; Guide'!$B$4*XLOOKUP(D674,'Reference Tables'!$A$4:$A$23,'Reference Tables'!$C$4:$C$23,0.75)</x:f>
        <x:v>31.7075774487888</x:v>
      </x:c>
      <x:c r="J674" s="102" t="n">
        <x:f>XLOOKUP(C674,'Reference Tables'!$E$4:$E$12,'Reference Tables'!$F$4:$F$12,0.05)</x:f>
        <x:v>0.18</x:v>
      </x:c>
      <x:c r="K674" s="103" t="n">
        <x:f>MIN(I674,F674*J674)</x:f>
        <x:v>30.229681889735087</x:v>
      </x:c>
      <x:c r="L674" s="103" t="n">
        <x:f>'Inputs &amp; Guide'!$B$5</x:f>
        <x:v>15</x:v>
      </x:c>
      <x:c r="M674" s="103" t="n">
        <x:f>I674*'Inputs &amp; Guide'!$B$6</x:f>
        <x:v>17.43916759683384</x:v>
      </x:c>
      <x:c r="N674" s="103" t="n">
        <x:f>MAX(0,MIN(K674-L674,M674))</x:f>
        <x:v>15.229681889735087</x:v>
      </x:c>
      <x:c r="O674" s="103" t="n">
        <x:f>MAX(0,N674-'Inputs &amp; Guide'!$B$7)</x:f>
        <x:v>0</x:v>
      </x:c>
      <x:c r="P674" s="103" t="n">
        <x:f>N674-O674</x:f>
        <x:v>15.229681889735087</x:v>
      </x:c>
      <x:c r="Q674" s="103" t="n">
        <x:f>I674*'Inputs &amp; Guide'!$B$8</x:f>
        <x:v>0.5707363940781983</x:v>
      </x:c>
      <x:c r="R674" s="104" t="n">
        <x:f>IFERROR(P674/Q674,0)</x:f>
        <x:v>26.684266235260306</x:v>
      </x:c>
      <x:c r="S674" s="105" t="n">
        <x:f>ROUND(E674*XLOOKUP(C674,'Reference Tables'!$E$4:$E$12,'Reference Tables'!$G$4:$G$12,1),1)</x:f>
        <x:v>5.1</x:v>
      </x:c>
      <x:c r="T674" s="106" t="str">
        <x:f>IF(R674&gt;='Inputs &amp; Guide'!$B$9,"HIGH",IF(R674&gt;=0.45,"WATCH","NORMAL"))</x:f>
        <x:v>HIGH</x:v>
      </x:c>
    </x:row>
    <x:row r="675">
      <x:c r="A675" s="95" t="n">
        <x:v>5369</x:v>
      </x:c>
      <x:c r="B675" s="96" t="n">
        <x:v>45515.4375</x:v>
      </x:c>
      <x:c r="C675" s="97" t="str">
        <x:v>Tornado</x:v>
      </x:c>
      <x:c r="D675" s="97" t="str">
        <x:v>Indonesia</x:v>
      </x:c>
      <x:c r="E675" s="98" t="n">
        <x:v>8.083004451335777</x:v>
      </x:c>
      <x:c r="F675" s="99" t="n">
        <x:v>902.0097544698932</x:v>
      </x:c>
      <x:c r="G675" s="100" t="str">
        <x:f>XLOOKUP(D675,'Reference Tables'!$A$4:$A$23,'Reference Tables'!$B$4:$B$23,"Other")</x:f>
        <x:v>Asia Pacific</x:v>
      </x:c>
      <x:c r="H675" s="100" t="str">
        <x:f>VLOOKUP(G675,'Reference Tables'!$I$4:$J$9,2,FALSE)</x:f>
        <x:v>High</x:v>
      </x:c>
      <x:c r="I675" s="101" t="n">
        <x:f>F675*'Inputs &amp; Guide'!$B$4*XLOOKUP(D675,'Reference Tables'!$A$4:$A$23,'Reference Tables'!$C$4:$C$23,0.75)</x:f>
        <x:v>148.65120753663842</x:v>
      </x:c>
      <x:c r="J675" s="102" t="n">
        <x:f>XLOOKUP(C675,'Reference Tables'!$E$4:$E$12,'Reference Tables'!$F$4:$F$12,0.05)</x:f>
        <x:v>0.09</x:v>
      </x:c>
      <x:c r="K675" s="103" t="n">
        <x:f>MIN(I675,F675*J675)</x:f>
        <x:v>81.18087790229039</x:v>
      </x:c>
      <x:c r="L675" s="103" t="n">
        <x:f>'Inputs &amp; Guide'!$B$5</x:f>
        <x:v>15</x:v>
      </x:c>
      <x:c r="M675" s="103" t="n">
        <x:f>I675*'Inputs &amp; Guide'!$B$6</x:f>
        <x:v>81.75816414515114</x:v>
      </x:c>
      <x:c r="N675" s="103" t="n">
        <x:f>MAX(0,MIN(K675-L675,M675))</x:f>
        <x:v>66.18087790229039</x:v>
      </x:c>
      <x:c r="O675" s="103" t="n">
        <x:f>MAX(0,N675-'Inputs &amp; Guide'!$B$7)</x:f>
        <x:v>6.180877902290391</x:v>
      </x:c>
      <x:c r="P675" s="103" t="n">
        <x:f>N675-O675</x:f>
        <x:v>60</x:v>
      </x:c>
      <x:c r="Q675" s="103" t="n">
        <x:f>I675*'Inputs &amp; Guide'!$B$8</x:f>
        <x:v>2.6757217356594913</x:v>
      </x:c>
      <x:c r="R675" s="104" t="n">
        <x:f>IFERROR(P675/Q675,0)</x:f>
        <x:v>22.423856412412654</x:v>
      </x:c>
      <x:c r="S675" s="105" t="n">
        <x:f>ROUND(E675*XLOOKUP(C675,'Reference Tables'!$E$4:$E$12,'Reference Tables'!$G$4:$G$12,1),1)</x:f>
        <x:v>8.5</x:v>
      </x:c>
      <x:c r="T675" s="106" t="str">
        <x:f>IF(R675&gt;='Inputs &amp; Guide'!$B$9,"HIGH",IF(R675&gt;=0.45,"WATCH","NORMAL"))</x:f>
        <x:v>HIGH</x:v>
      </x:c>
    </x:row>
    <x:row r="676">
      <x:c r="A676" s="95" t="n">
        <x:v>5377</x:v>
      </x:c>
      <x:c r="B676" s="96" t="n">
        <x:v>45516</x:v>
      </x:c>
      <x:c r="C676" s="97" t="str">
        <x:v>Hurricane</x:v>
      </x:c>
      <x:c r="D676" s="97" t="str">
        <x:v>USA</x:v>
      </x:c>
      <x:c r="E676" s="98" t="n">
        <x:v>6.141425036182309</x:v>
      </x:c>
      <x:c r="F676" s="99" t="n">
        <x:v>473.0136267568256</x:v>
      </x:c>
      <x:c r="G676" s="100" t="str">
        <x:f>XLOOKUP(D676,'Reference Tables'!$A$4:$A$23,'Reference Tables'!$B$4:$B$23,"Other")</x:f>
        <x:v>Other</x:v>
      </x:c>
      <x:c r="H676" s="100" t="str">
        <x:f>VLOOKUP(G676,'Reference Tables'!$I$4:$J$9,2,FALSE)</x:f>
        <x:v>Moderate</x:v>
      </x:c>
      <x:c r="I676" s="101" t="n">
        <x:f>F676*'Inputs &amp; Guide'!$B$4*XLOOKUP(D676,'Reference Tables'!$A$4:$A$23,'Reference Tables'!$C$4:$C$23,0.75)</x:f>
        <x:v>56.76163521081908</x:v>
      </x:c>
      <x:c r="J676" s="102" t="n">
        <x:f>XLOOKUP(C676,'Reference Tables'!$E$4:$E$12,'Reference Tables'!$F$4:$F$12,0.05)</x:f>
        <x:v>0.18</x:v>
      </x:c>
      <x:c r="K676" s="103" t="n">
        <x:f>MIN(I676,F676*J676)</x:f>
        <x:v>56.76163521081908</x:v>
      </x:c>
      <x:c r="L676" s="103" t="n">
        <x:f>'Inputs &amp; Guide'!$B$5</x:f>
        <x:v>15</x:v>
      </x:c>
      <x:c r="M676" s="103" t="n">
        <x:f>I676*'Inputs &amp; Guide'!$B$6</x:f>
        <x:v>31.218899365950495</x:v>
      </x:c>
      <x:c r="N676" s="103" t="n">
        <x:f>MAX(0,MIN(K676-L676,M676))</x:f>
        <x:v>31.218899365950495</x:v>
      </x:c>
      <x:c r="O676" s="103" t="n">
        <x:f>MAX(0,N676-'Inputs &amp; Guide'!$B$7)</x:f>
        <x:v>0</x:v>
      </x:c>
      <x:c r="P676" s="103" t="n">
        <x:f>N676-O676</x:f>
        <x:v>31.218899365950495</x:v>
      </x:c>
      <x:c r="Q676" s="103" t="n">
        <x:f>I676*'Inputs &amp; Guide'!$B$8</x:f>
        <x:v>1.0217094337947434</x:v>
      </x:c>
      <x:c r="R676" s="104" t="n">
        <x:f>IFERROR(P676/Q676,0)</x:f>
        <x:v>30.555555555555557</x:v>
      </x:c>
      <x:c r="S676" s="105" t="n">
        <x:f>ROUND(E676*XLOOKUP(C676,'Reference Tables'!$E$4:$E$12,'Reference Tables'!$G$4:$G$12,1),1)</x:f>
        <x:v>8.6</x:v>
      </x:c>
      <x:c r="T676" s="106" t="str">
        <x:f>IF(R676&gt;='Inputs &amp; Guide'!$B$9,"HIGH",IF(R676&gt;=0.45,"WATCH","NORMAL"))</x:f>
        <x:v>HIGH</x:v>
      </x:c>
    </x:row>
    <x:row r="677">
      <x:c r="A677" s="95" t="n">
        <x:v>5385</x:v>
      </x:c>
      <x:c r="B677" s="96" t="n">
        <x:v>45516.104166666664</x:v>
      </x:c>
      <x:c r="C677" s="97" t="str">
        <x:v>Flood</x:v>
      </x:c>
      <x:c r="D677" s="97" t="str">
        <x:v>Brazil</x:v>
      </x:c>
      <x:c r="E677" s="98" t="n">
        <x:v>1.9314546869876321</x:v>
      </x:c>
      <x:c r="F677" s="99" t="n">
        <x:v>615.4001192249956</x:v>
      </x:c>
      <x:c r="G677" s="100" t="str">
        <x:f>XLOOKUP(D677,'Reference Tables'!$A$4:$A$23,'Reference Tables'!$B$4:$B$23,"Other")</x:f>
        <x:v>Latin America</x:v>
      </x:c>
      <x:c r="H677" s="100" t="str">
        <x:f>VLOOKUP(G677,'Reference Tables'!$I$4:$J$9,2,FALSE)</x:f>
        <x:v>Moderate</x:v>
      </x:c>
      <x:c r="I677" s="101" t="n">
        <x:f>F677*'Inputs &amp; Guide'!$B$4*XLOOKUP(D677,'Reference Tables'!$A$4:$A$23,'Reference Tables'!$C$4:$C$23,0.75)</x:f>
        <x:v>80.74049564231943</x:v>
      </x:c>
      <x:c r="J677" s="102" t="n">
        <x:f>XLOOKUP(C677,'Reference Tables'!$E$4:$E$12,'Reference Tables'!$F$4:$F$12,0.05)</x:f>
        <x:v>0.12</x:v>
      </x:c>
      <x:c r="K677" s="103" t="n">
        <x:f>MIN(I677,F677*J677)</x:f>
        <x:v>73.84801430699947</x:v>
      </x:c>
      <x:c r="L677" s="103" t="n">
        <x:f>'Inputs &amp; Guide'!$B$5</x:f>
        <x:v>15</x:v>
      </x:c>
      <x:c r="M677" s="103" t="n">
        <x:f>I677*'Inputs &amp; Guide'!$B$6</x:f>
        <x:v>44.40727260327569</x:v>
      </x:c>
      <x:c r="N677" s="103" t="n">
        <x:f>MAX(0,MIN(K677-L677,M677))</x:f>
        <x:v>44.40727260327569</x:v>
      </x:c>
      <x:c r="O677" s="103" t="n">
        <x:f>MAX(0,N677-'Inputs &amp; Guide'!$B$7)</x:f>
        <x:v>0</x:v>
      </x:c>
      <x:c r="P677" s="103" t="n">
        <x:f>N677-O677</x:f>
        <x:v>44.40727260327569</x:v>
      </x:c>
      <x:c r="Q677" s="103" t="n">
        <x:f>I677*'Inputs &amp; Guide'!$B$8</x:f>
        <x:v>1.4533289215617495</x:v>
      </x:c>
      <x:c r="R677" s="104" t="n">
        <x:f>IFERROR(P677/Q677,0)</x:f>
        <x:v>30.555555555555564</x:v>
      </x:c>
      <x:c r="S677" s="105" t="n">
        <x:f>ROUND(E677*XLOOKUP(C677,'Reference Tables'!$E$4:$E$12,'Reference Tables'!$G$4:$G$12,1),1)</x:f>
        <x:v>2.4</x:v>
      </x:c>
      <x:c r="T677" s="106" t="str">
        <x:f>IF(R677&gt;='Inputs &amp; Guide'!$B$9,"HIGH",IF(R677&gt;=0.45,"WATCH","NORMAL"))</x:f>
        <x:v>HIGH</x:v>
      </x:c>
    </x:row>
    <x:row r="678">
      <x:c r="A678" s="95" t="n">
        <x:v>5393</x:v>
      </x:c>
      <x:c r="B678" s="96" t="n">
        <x:v>45516.4375</x:v>
      </x:c>
      <x:c r="C678" s="97" t="str">
        <x:v>Hurricane</x:v>
      </x:c>
      <x:c r="D678" s="97" t="str">
        <x:v>India</x:v>
      </x:c>
      <x:c r="E678" s="98" t="n">
        <x:v>3.4052344969344657</x:v>
      </x:c>
      <x:c r="F678" s="99" t="n">
        <x:v>850.8822350293761</x:v>
      </x:c>
      <x:c r="G678" s="100" t="str">
        <x:f>XLOOKUP(D678,'Reference Tables'!$A$4:$A$23,'Reference Tables'!$B$4:$B$23,"Other")</x:f>
        <x:v>Asia Pacific</x:v>
      </x:c>
      <x:c r="H678" s="100" t="str">
        <x:f>VLOOKUP(G678,'Reference Tables'!$I$4:$J$9,2,FALSE)</x:f>
        <x:v>High</x:v>
      </x:c>
      <x:c r="I678" s="101" t="n">
        <x:f>F678*'Inputs &amp; Guide'!$B$4*XLOOKUP(D678,'Reference Tables'!$A$4:$A$23,'Reference Tables'!$C$4:$C$23,0.75)</x:f>
        <x:v>123.88845342027719</x:v>
      </x:c>
      <x:c r="J678" s="102" t="n">
        <x:f>XLOOKUP(C678,'Reference Tables'!$E$4:$E$12,'Reference Tables'!$F$4:$F$12,0.05)</x:f>
        <x:v>0.18</x:v>
      </x:c>
      <x:c r="K678" s="103" t="n">
        <x:f>MIN(I678,F678*J678)</x:f>
        <x:v>123.88845342027719</x:v>
      </x:c>
      <x:c r="L678" s="103" t="n">
        <x:f>'Inputs &amp; Guide'!$B$5</x:f>
        <x:v>15</x:v>
      </x:c>
      <x:c r="M678" s="103" t="n">
        <x:f>I678*'Inputs &amp; Guide'!$B$6</x:f>
        <x:v>68.13864938115246</x:v>
      </x:c>
      <x:c r="N678" s="103" t="n">
        <x:f>MAX(0,MIN(K678-L678,M678))</x:f>
        <x:v>68.13864938115246</x:v>
      </x:c>
      <x:c r="O678" s="103" t="n">
        <x:f>MAX(0,N678-'Inputs &amp; Guide'!$B$7)</x:f>
        <x:v>8.138649381152462</x:v>
      </x:c>
      <x:c r="P678" s="103" t="n">
        <x:f>N678-O678</x:f>
        <x:v>60</x:v>
      </x:c>
      <x:c r="Q678" s="103" t="n">
        <x:f>I678*'Inputs &amp; Guide'!$B$8</x:f>
        <x:v>2.229992161564989</x:v>
      </x:c>
      <x:c r="R678" s="104" t="n">
        <x:f>IFERROR(P678/Q678,0)</x:f>
        <x:v>26.905924170555163</x:v>
      </x:c>
      <x:c r="S678" s="105" t="n">
        <x:f>ROUND(E678*XLOOKUP(C678,'Reference Tables'!$E$4:$E$12,'Reference Tables'!$G$4:$G$12,1),1)</x:f>
        <x:v>4.8</x:v>
      </x:c>
      <x:c r="T678" s="106" t="str">
        <x:f>IF(R678&gt;='Inputs &amp; Guide'!$B$9,"HIGH",IF(R678&gt;=0.45,"WATCH","NORMAL"))</x:f>
        <x:v>HIGH</x:v>
      </x:c>
    </x:row>
    <x:row r="679">
      <x:c r="A679" s="95" t="n">
        <x:v>5401</x:v>
      </x:c>
      <x:c r="B679" s="96" t="n">
        <x:v>45517</x:v>
      </x:c>
      <x:c r="C679" s="97" t="str">
        <x:v>Hurricane</x:v>
      </x:c>
      <x:c r="D679" s="97" t="str">
        <x:v>Brazil</x:v>
      </x:c>
      <x:c r="E679" s="98" t="n">
        <x:v>2.0470318392029716</x:v>
      </x:c>
      <x:c r="F679" s="99" t="n">
        <x:v>690.7192939816375</x:v>
      </x:c>
      <x:c r="G679" s="100" t="str">
        <x:f>XLOOKUP(D679,'Reference Tables'!$A$4:$A$23,'Reference Tables'!$B$4:$B$23,"Other")</x:f>
        <x:v>Latin America</x:v>
      </x:c>
      <x:c r="H679" s="100" t="str">
        <x:f>VLOOKUP(G679,'Reference Tables'!$I$4:$J$9,2,FALSE)</x:f>
        <x:v>Moderate</x:v>
      </x:c>
      <x:c r="I679" s="101" t="n">
        <x:f>F679*'Inputs &amp; Guide'!$B$4*XLOOKUP(D679,'Reference Tables'!$A$4:$A$23,'Reference Tables'!$C$4:$C$23,0.75)</x:f>
        <x:v>90.62237137039084</x:v>
      </x:c>
      <x:c r="J679" s="102" t="n">
        <x:f>XLOOKUP(C679,'Reference Tables'!$E$4:$E$12,'Reference Tables'!$F$4:$F$12,0.05)</x:f>
        <x:v>0.18</x:v>
      </x:c>
      <x:c r="K679" s="103" t="n">
        <x:f>MIN(I679,F679*J679)</x:f>
        <x:v>90.62237137039084</x:v>
      </x:c>
      <x:c r="L679" s="103" t="n">
        <x:f>'Inputs &amp; Guide'!$B$5</x:f>
        <x:v>15</x:v>
      </x:c>
      <x:c r="M679" s="103" t="n">
        <x:f>I679*'Inputs &amp; Guide'!$B$6</x:f>
        <x:v>49.842304253714964</x:v>
      </x:c>
      <x:c r="N679" s="103" t="n">
        <x:f>MAX(0,MIN(K679-L679,M679))</x:f>
        <x:v>49.842304253714964</x:v>
      </x:c>
      <x:c r="O679" s="103" t="n">
        <x:f>MAX(0,N679-'Inputs &amp; Guide'!$B$7)</x:f>
        <x:v>0</x:v>
      </x:c>
      <x:c r="P679" s="103" t="n">
        <x:f>N679-O679</x:f>
        <x:v>49.842304253714964</x:v>
      </x:c>
      <x:c r="Q679" s="103" t="n">
        <x:f>I679*'Inputs &amp; Guide'!$B$8</x:f>
        <x:v>1.6312026846670349</x:v>
      </x:c>
      <x:c r="R679" s="104" t="n">
        <x:f>IFERROR(P679/Q679,0)</x:f>
        <x:v>30.55555555555556</x:v>
      </x:c>
      <x:c r="S679" s="105" t="n">
        <x:f>ROUND(E679*XLOOKUP(C679,'Reference Tables'!$E$4:$E$12,'Reference Tables'!$G$4:$G$12,1),1)</x:f>
        <x:v>2.9</x:v>
      </x:c>
      <x:c r="T679" s="106" t="str">
        <x:f>IF(R679&gt;='Inputs &amp; Guide'!$B$9,"HIGH",IF(R679&gt;=0.45,"WATCH","NORMAL"))</x:f>
        <x:v>HIGH</x:v>
      </x:c>
    </x:row>
    <x:row r="680">
      <x:c r="A680" s="95" t="n">
        <x:v>5409</x:v>
      </x:c>
      <x:c r="B680" s="96" t="n">
        <x:v>45517.104166666664</x:v>
      </x:c>
      <x:c r="C680" s="97" t="str">
        <x:v>Hurricane</x:v>
      </x:c>
      <x:c r="D680" s="97" t="str">
        <x:v>USA</x:v>
      </x:c>
      <x:c r="E680" s="98" t="n">
        <x:v>9.282979241423732</x:v>
      </x:c>
      <x:c r="F680" s="99" t="n">
        <x:v>652.6367764630213</x:v>
      </x:c>
      <x:c r="G680" s="100" t="str">
        <x:f>XLOOKUP(D680,'Reference Tables'!$A$4:$A$23,'Reference Tables'!$B$4:$B$23,"Other")</x:f>
        <x:v>Other</x:v>
      </x:c>
      <x:c r="H680" s="100" t="str">
        <x:f>VLOOKUP(G680,'Reference Tables'!$I$4:$J$9,2,FALSE)</x:f>
        <x:v>Moderate</x:v>
      </x:c>
      <x:c r="I680" s="101" t="n">
        <x:f>F680*'Inputs &amp; Guide'!$B$4*XLOOKUP(D680,'Reference Tables'!$A$4:$A$23,'Reference Tables'!$C$4:$C$23,0.75)</x:f>
        <x:v>78.31641317556256</x:v>
      </x:c>
      <x:c r="J680" s="102" t="n">
        <x:f>XLOOKUP(C680,'Reference Tables'!$E$4:$E$12,'Reference Tables'!$F$4:$F$12,0.05)</x:f>
        <x:v>0.18</x:v>
      </x:c>
      <x:c r="K680" s="103" t="n">
        <x:f>MIN(I680,F680*J680)</x:f>
        <x:v>78.31641317556256</x:v>
      </x:c>
      <x:c r="L680" s="103" t="n">
        <x:f>'Inputs &amp; Guide'!$B$5</x:f>
        <x:v>15</x:v>
      </x:c>
      <x:c r="M680" s="103" t="n">
        <x:f>I680*'Inputs &amp; Guide'!$B$6</x:f>
        <x:v>43.07402724655941</x:v>
      </x:c>
      <x:c r="N680" s="103" t="n">
        <x:f>MAX(0,MIN(K680-L680,M680))</x:f>
        <x:v>43.07402724655941</x:v>
      </x:c>
      <x:c r="O680" s="103" t="n">
        <x:f>MAX(0,N680-'Inputs &amp; Guide'!$B$7)</x:f>
        <x:v>0</x:v>
      </x:c>
      <x:c r="P680" s="103" t="n">
        <x:f>N680-O680</x:f>
        <x:v>43.07402724655941</x:v>
      </x:c>
      <x:c r="Q680" s="103" t="n">
        <x:f>I680*'Inputs &amp; Guide'!$B$8</x:f>
        <x:v>1.409695437160126</x:v>
      </x:c>
      <x:c r="R680" s="104" t="n">
        <x:f>IFERROR(P680/Q680,0)</x:f>
        <x:v>30.555555555555557</x:v>
      </x:c>
      <x:c r="S680" s="105" t="n">
        <x:f>ROUND(E680*XLOOKUP(C680,'Reference Tables'!$E$4:$E$12,'Reference Tables'!$G$4:$G$12,1),1)</x:f>
        <x:v>13</x:v>
      </x:c>
      <x:c r="T680" s="106" t="str">
        <x:f>IF(R680&gt;='Inputs &amp; Guide'!$B$9,"HIGH",IF(R680&gt;=0.45,"WATCH","NORMAL"))</x:f>
        <x:v>HIGH</x:v>
      </x:c>
    </x:row>
    <x:row r="681">
      <x:c r="A681" s="95" t="n">
        <x:v>5417</x:v>
      </x:c>
      <x:c r="B681" s="96" t="n">
        <x:v>45517.4375</x:v>
      </x:c>
      <x:c r="C681" s="97" t="str">
        <x:v>Earthquake</x:v>
      </x:c>
      <x:c r="D681" s="97" t="str">
        <x:v>Japan</x:v>
      </x:c>
      <x:c r="E681" s="98" t="n">
        <x:v>5.639224685402737</x:v>
      </x:c>
      <x:c r="F681" s="99" t="n">
        <x:v>493.13747021796496</x:v>
      </x:c>
      <x:c r="G681" s="100" t="str">
        <x:f>XLOOKUP(D681,'Reference Tables'!$A$4:$A$23,'Reference Tables'!$B$4:$B$23,"Other")</x:f>
        <x:v>Asia Pacific</x:v>
      </x:c>
      <x:c r="H681" s="100" t="str">
        <x:f>VLOOKUP(G681,'Reference Tables'!$I$4:$J$9,2,FALSE)</x:f>
        <x:v>High</x:v>
      </x:c>
      <x:c r="I681" s="101" t="n">
        <x:f>F681*'Inputs &amp; Guide'!$B$4*XLOOKUP(D681,'Reference Tables'!$A$4:$A$23,'Reference Tables'!$C$4:$C$23,0.75)</x:f>
        <x:v>93.10435437715178</x:v>
      </x:c>
      <x:c r="J681" s="102" t="n">
        <x:f>XLOOKUP(C681,'Reference Tables'!$E$4:$E$12,'Reference Tables'!$F$4:$F$12,0.05)</x:f>
        <x:v>0.14</x:v>
      </x:c>
      <x:c r="K681" s="103" t="n">
        <x:f>MIN(I681,F681*J681)</x:f>
        <x:v>69.0392458305151</x:v>
      </x:c>
      <x:c r="L681" s="103" t="n">
        <x:f>'Inputs &amp; Guide'!$B$5</x:f>
        <x:v>15</x:v>
      </x:c>
      <x:c r="M681" s="103" t="n">
        <x:f>I681*'Inputs &amp; Guide'!$B$6</x:f>
        <x:v>51.20739490743348</x:v>
      </x:c>
      <x:c r="N681" s="103" t="n">
        <x:f>MAX(0,MIN(K681-L681,M681))</x:f>
        <x:v>51.20739490743348</x:v>
      </x:c>
      <x:c r="O681" s="103" t="n">
        <x:f>MAX(0,N681-'Inputs &amp; Guide'!$B$7)</x:f>
        <x:v>0</x:v>
      </x:c>
      <x:c r="P681" s="103" t="n">
        <x:f>N681-O681</x:f>
        <x:v>51.20739490743348</x:v>
      </x:c>
      <x:c r="Q681" s="103" t="n">
        <x:f>I681*'Inputs &amp; Guide'!$B$8</x:f>
        <x:v>1.675878378788732</x:v>
      </x:c>
      <x:c r="R681" s="104" t="n">
        <x:f>IFERROR(P681/Q681,0)</x:f>
        <x:v>30.55555555555556</x:v>
      </x:c>
      <x:c r="S681" s="105" t="n">
        <x:f>ROUND(E681*XLOOKUP(C681,'Reference Tables'!$E$4:$E$12,'Reference Tables'!$G$4:$G$12,1),1)</x:f>
        <x:v>8.5</x:v>
      </x:c>
      <x:c r="T681" s="106" t="str">
        <x:f>IF(R681&gt;='Inputs &amp; Guide'!$B$9,"HIGH",IF(R681&gt;=0.45,"WATCH","NORMAL"))</x:f>
        <x:v>HIGH</x:v>
      </x:c>
    </x:row>
    <x:row r="682">
      <x:c r="A682" s="95" t="n">
        <x:v>5425</x:v>
      </x:c>
      <x:c r="B682" s="96" t="n">
        <x:v>45518</x:v>
      </x:c>
      <x:c r="C682" s="97" t="str">
        <x:v>Hurricane</x:v>
      </x:c>
      <x:c r="D682" s="97" t="str">
        <x:v>India</x:v>
      </x:c>
      <x:c r="E682" s="98" t="n">
        <x:v>2.064686841203893</x:v>
      </x:c>
      <x:c r="F682" s="99" t="n">
        <x:v>88.73587534485762</x:v>
      </x:c>
      <x:c r="G682" s="100" t="str">
        <x:f>XLOOKUP(D682,'Reference Tables'!$A$4:$A$23,'Reference Tables'!$B$4:$B$23,"Other")</x:f>
        <x:v>Asia Pacific</x:v>
      </x:c>
      <x:c r="H682" s="100" t="str">
        <x:f>VLOOKUP(G682,'Reference Tables'!$I$4:$J$9,2,FALSE)</x:f>
        <x:v>High</x:v>
      </x:c>
      <x:c r="I682" s="101" t="n">
        <x:f>F682*'Inputs &amp; Guide'!$B$4*XLOOKUP(D682,'Reference Tables'!$A$4:$A$23,'Reference Tables'!$C$4:$C$23,0.75)</x:f>
        <x:v>12.919943450211269</x:v>
      </x:c>
      <x:c r="J682" s="102" t="n">
        <x:f>XLOOKUP(C682,'Reference Tables'!$E$4:$E$12,'Reference Tables'!$F$4:$F$12,0.05)</x:f>
        <x:v>0.18</x:v>
      </x:c>
      <x:c r="K682" s="103" t="n">
        <x:f>MIN(I682,F682*J682)</x:f>
        <x:v>12.919943450211269</x:v>
      </x:c>
      <x:c r="L682" s="103" t="n">
        <x:f>'Inputs &amp; Guide'!$B$5</x:f>
        <x:v>15</x:v>
      </x:c>
      <x:c r="M682" s="103" t="n">
        <x:f>I682*'Inputs &amp; Guide'!$B$6</x:f>
        <x:v>7.105968897616199</x:v>
      </x:c>
      <x:c r="N682" s="103" t="n">
        <x:f>MAX(0,MIN(K682-L682,M682))</x:f>
        <x:v>0</x:v>
      </x:c>
      <x:c r="O682" s="103" t="n">
        <x:f>MAX(0,N682-'Inputs &amp; Guide'!$B$7)</x:f>
        <x:v>0</x:v>
      </x:c>
      <x:c r="P682" s="103" t="n">
        <x:f>N682-O682</x:f>
        <x:v>0</x:v>
      </x:c>
      <x:c r="Q682" s="103" t="n">
        <x:f>I682*'Inputs &amp; Guide'!$B$8</x:f>
        <x:v>0.23255898210380282</x:v>
      </x:c>
      <x:c r="R682" s="104" t="n">
        <x:f>IFERROR(P682/Q682,0)</x:f>
        <x:v>0</x:v>
      </x:c>
      <x:c r="S682" s="105" t="n">
        <x:f>ROUND(E682*XLOOKUP(C682,'Reference Tables'!$E$4:$E$12,'Reference Tables'!$G$4:$G$12,1),1)</x:f>
        <x:v>2.9</x:v>
      </x:c>
      <x:c r="T682" s="106" t="str">
        <x:f>IF(R682&gt;='Inputs &amp; Guide'!$B$9,"HIGH",IF(R682&gt;=0.45,"WATCH","NORMAL"))</x:f>
        <x:v>NORMAL</x:v>
      </x:c>
    </x:row>
    <x:row r="683">
      <x:c r="A683" s="95" t="n">
        <x:v>5433</x:v>
      </x:c>
      <x:c r="B683" s="96" t="n">
        <x:v>45518.104166666664</x:v>
      </x:c>
      <x:c r="C683" s="97" t="str">
        <x:v>Hurricane</x:v>
      </x:c>
      <x:c r="D683" s="97" t="str">
        <x:v>Indonesia</x:v>
      </x:c>
      <x:c r="E683" s="98" t="n">
        <x:v>4.603494179259487</x:v>
      </x:c>
      <x:c r="F683" s="99" t="n">
        <x:v>346.52559186652707</x:v>
      </x:c>
      <x:c r="G683" s="100" t="str">
        <x:f>XLOOKUP(D683,'Reference Tables'!$A$4:$A$23,'Reference Tables'!$B$4:$B$23,"Other")</x:f>
        <x:v>Asia Pacific</x:v>
      </x:c>
      <x:c r="H683" s="100" t="str">
        <x:f>VLOOKUP(G683,'Reference Tables'!$I$4:$J$9,2,FALSE)</x:f>
        <x:v>High</x:v>
      </x:c>
      <x:c r="I683" s="101" t="n">
        <x:f>F683*'Inputs &amp; Guide'!$B$4*XLOOKUP(D683,'Reference Tables'!$A$4:$A$23,'Reference Tables'!$C$4:$C$23,0.75)</x:f>
        <x:v>57.10741753960367</x:v>
      </x:c>
      <x:c r="J683" s="102" t="n">
        <x:f>XLOOKUP(C683,'Reference Tables'!$E$4:$E$12,'Reference Tables'!$F$4:$F$12,0.05)</x:f>
        <x:v>0.18</x:v>
      </x:c>
      <x:c r="K683" s="103" t="n">
        <x:f>MIN(I683,F683*J683)</x:f>
        <x:v>57.10741753960367</x:v>
      </x:c>
      <x:c r="L683" s="103" t="n">
        <x:f>'Inputs &amp; Guide'!$B$5</x:f>
        <x:v>15</x:v>
      </x:c>
      <x:c r="M683" s="103" t="n">
        <x:f>I683*'Inputs &amp; Guide'!$B$6</x:f>
        <x:v>31.40907964678202</x:v>
      </x:c>
      <x:c r="N683" s="103" t="n">
        <x:f>MAX(0,MIN(K683-L683,M683))</x:f>
        <x:v>31.40907964678202</x:v>
      </x:c>
      <x:c r="O683" s="103" t="n">
        <x:f>MAX(0,N683-'Inputs &amp; Guide'!$B$7)</x:f>
        <x:v>0</x:v>
      </x:c>
      <x:c r="P683" s="103" t="n">
        <x:f>N683-O683</x:f>
        <x:v>31.40907964678202</x:v>
      </x:c>
      <x:c r="Q683" s="103" t="n">
        <x:f>I683*'Inputs &amp; Guide'!$B$8</x:f>
        <x:v>1.027933515712866</x:v>
      </x:c>
      <x:c r="R683" s="104" t="n">
        <x:f>IFERROR(P683/Q683,0)</x:f>
        <x:v>30.555555555555557</x:v>
      </x:c>
      <x:c r="S683" s="105" t="n">
        <x:f>ROUND(E683*XLOOKUP(C683,'Reference Tables'!$E$4:$E$12,'Reference Tables'!$G$4:$G$12,1),1)</x:f>
        <x:v>6.4</x:v>
      </x:c>
      <x:c r="T683" s="106" t="str">
        <x:f>IF(R683&gt;='Inputs &amp; Guide'!$B$9,"HIGH",IF(R683&gt;=0.45,"WATCH","NORMAL"))</x:f>
        <x:v>HIGH</x:v>
      </x:c>
    </x:row>
    <x:row r="684">
      <x:c r="A684" s="95" t="n">
        <x:v>5441</x:v>
      </x:c>
      <x:c r="B684" s="96" t="n">
        <x:v>45518.4375</x:v>
      </x:c>
      <x:c r="C684" s="97" t="str">
        <x:v>Wildfire</x:v>
      </x:c>
      <x:c r="D684" s="97" t="str">
        <x:v>China</x:v>
      </x:c>
      <x:c r="E684" s="98" t="n">
        <x:v>5.484542229899766</x:v>
      </x:c>
      <x:c r="F684" s="99" t="n">
        <x:v>933.1969945711508</x:v>
      </x:c>
      <x:c r="G684" s="100" t="str">
        <x:f>XLOOKUP(D684,'Reference Tables'!$A$4:$A$23,'Reference Tables'!$B$4:$B$23,"Other")</x:f>
        <x:v>Asia Pacific</x:v>
      </x:c>
      <x:c r="H684" s="100" t="str">
        <x:f>VLOOKUP(G684,'Reference Tables'!$I$4:$J$9,2,FALSE)</x:f>
        <x:v>High</x:v>
      </x:c>
      <x:c r="I684" s="101" t="n">
        <x:f>F684*'Inputs &amp; Guide'!$B$4*XLOOKUP(D684,'Reference Tables'!$A$4:$A$23,'Reference Tables'!$C$4:$C$23,0.75)</x:f>
        <x:v>161.25644066189489</x:v>
      </x:c>
      <x:c r="J684" s="102" t="n">
        <x:f>XLOOKUP(C684,'Reference Tables'!$E$4:$E$12,'Reference Tables'!$F$4:$F$12,0.05)</x:f>
        <x:v>0.1</x:v>
      </x:c>
      <x:c r="K684" s="103" t="n">
        <x:f>MIN(I684,F684*J684)</x:f>
        <x:v>93.31969945711508</x:v>
      </x:c>
      <x:c r="L684" s="103" t="n">
        <x:f>'Inputs &amp; Guide'!$B$5</x:f>
        <x:v>15</x:v>
      </x:c>
      <x:c r="M684" s="103" t="n">
        <x:f>I684*'Inputs &amp; Guide'!$B$6</x:f>
        <x:v>88.69104236404219</x:v>
      </x:c>
      <x:c r="N684" s="103" t="n">
        <x:f>MAX(0,MIN(K684-L684,M684))</x:f>
        <x:v>78.31969945711508</x:v>
      </x:c>
      <x:c r="O684" s="103" t="n">
        <x:f>MAX(0,N684-'Inputs &amp; Guide'!$B$7)</x:f>
        <x:v>18.319699457115078</x:v>
      </x:c>
      <x:c r="P684" s="103" t="n">
        <x:f>N684-O684</x:f>
        <x:v>60</x:v>
      </x:c>
      <x:c r="Q684" s="103" t="n">
        <x:f>I684*'Inputs &amp; Guide'!$B$8</x:f>
        <x:v>2.9026159319141076</x:v>
      </x:c>
      <x:c r="R684" s="104" t="n">
        <x:f>IFERROR(P684/Q684,0)</x:f>
        <x:v>20.671008982036927</x:v>
      </x:c>
      <x:c r="S684" s="105" t="n">
        <x:f>ROUND(E684*XLOOKUP(C684,'Reference Tables'!$E$4:$E$12,'Reference Tables'!$G$4:$G$12,1),1)</x:f>
        <x:v>6.3</x:v>
      </x:c>
      <x:c r="T684" s="106" t="str">
        <x:f>IF(R684&gt;='Inputs &amp; Guide'!$B$9,"HIGH",IF(R684&gt;=0.45,"WATCH","NORMAL"))</x:f>
        <x:v>HIGH</x:v>
      </x:c>
    </x:row>
    <x:row r="685">
      <x:c r="A685" s="95" t="n">
        <x:v>5449</x:v>
      </x:c>
      <x:c r="B685" s="96" t="n">
        <x:v>45519</x:v>
      </x:c>
      <x:c r="C685" s="97" t="str">
        <x:v>Earthquake</x:v>
      </x:c>
      <x:c r="D685" s="97" t="str">
        <x:v>USA</x:v>
      </x:c>
      <x:c r="E685" s="98" t="n">
        <x:v>7.965417561788417</x:v>
      </x:c>
      <x:c r="F685" s="99" t="n">
        <x:v>149.23836194472432</x:v>
      </x:c>
      <x:c r="G685" s="100" t="str">
        <x:f>XLOOKUP(D685,'Reference Tables'!$A$4:$A$23,'Reference Tables'!$B$4:$B$23,"Other")</x:f>
        <x:v>Other</x:v>
      </x:c>
      <x:c r="H685" s="100" t="str">
        <x:f>VLOOKUP(G685,'Reference Tables'!$I$4:$J$9,2,FALSE)</x:f>
        <x:v>Moderate</x:v>
      </x:c>
      <x:c r="I685" s="101" t="n">
        <x:f>F685*'Inputs &amp; Guide'!$B$4*XLOOKUP(D685,'Reference Tables'!$A$4:$A$23,'Reference Tables'!$C$4:$C$23,0.75)</x:f>
        <x:v>17.90860343336692</x:v>
      </x:c>
      <x:c r="J685" s="102" t="n">
        <x:f>XLOOKUP(C685,'Reference Tables'!$E$4:$E$12,'Reference Tables'!$F$4:$F$12,0.05)</x:f>
        <x:v>0.14</x:v>
      </x:c>
      <x:c r="K685" s="103" t="n">
        <x:f>MIN(I685,F685*J685)</x:f>
        <x:v>17.90860343336692</x:v>
      </x:c>
      <x:c r="L685" s="103" t="n">
        <x:f>'Inputs &amp; Guide'!$B$5</x:f>
        <x:v>15</x:v>
      </x:c>
      <x:c r="M685" s="103" t="n">
        <x:f>I685*'Inputs &amp; Guide'!$B$6</x:f>
        <x:v>9.849731888351807</x:v>
      </x:c>
      <x:c r="N685" s="103" t="n">
        <x:f>MAX(0,MIN(K685-L685,M685))</x:f>
        <x:v>2.9086034333669204</x:v>
      </x:c>
      <x:c r="O685" s="103" t="n">
        <x:f>MAX(0,N685-'Inputs &amp; Guide'!$B$7)</x:f>
        <x:v>0</x:v>
      </x:c>
      <x:c r="P685" s="103" t="n">
        <x:f>N685-O685</x:f>
        <x:v>2.9086034333669204</x:v>
      </x:c>
      <x:c r="Q685" s="103" t="n">
        <x:f>I685*'Inputs &amp; Guide'!$B$8</x:f>
        <x:v>0.3223548618006045</x:v>
      </x:c>
      <x:c r="R685" s="104" t="n">
        <x:f>IFERROR(P685/Q685,0)</x:f>
        <x:v>9.02298608781667</x:v>
      </x:c>
      <x:c r="S685" s="105" t="n">
        <x:f>ROUND(E685*XLOOKUP(C685,'Reference Tables'!$E$4:$E$12,'Reference Tables'!$G$4:$G$12,1),1)</x:f>
        <x:v>11.9</x:v>
      </x:c>
      <x:c r="T685" s="106" t="str">
        <x:f>IF(R685&gt;='Inputs &amp; Guide'!$B$9,"HIGH",IF(R685&gt;=0.45,"WATCH","NORMAL"))</x:f>
        <x:v>HIGH</x:v>
      </x:c>
    </x:row>
    <x:row r="686">
      <x:c r="A686" s="95" t="n">
        <x:v>5457</x:v>
      </x:c>
      <x:c r="B686" s="96" t="n">
        <x:v>45519.104166666664</x:v>
      </x:c>
      <x:c r="C686" s="97" t="str">
        <x:v>Flood</x:v>
      </x:c>
      <x:c r="D686" s="97" t="str">
        <x:v>India</x:v>
      </x:c>
      <x:c r="E686" s="98" t="n">
        <x:v>3.694299360548815</x:v>
      </x:c>
      <x:c r="F686" s="99" t="n">
        <x:v>692.5809614865354</x:v>
      </x:c>
      <x:c r="G686" s="100" t="str">
        <x:f>XLOOKUP(D686,'Reference Tables'!$A$4:$A$23,'Reference Tables'!$B$4:$B$23,"Other")</x:f>
        <x:v>Asia Pacific</x:v>
      </x:c>
      <x:c r="H686" s="100" t="str">
        <x:f>VLOOKUP(G686,'Reference Tables'!$I$4:$J$9,2,FALSE)</x:f>
        <x:v>High</x:v>
      </x:c>
      <x:c r="I686" s="101" t="n">
        <x:f>F686*'Inputs &amp; Guide'!$B$4*XLOOKUP(D686,'Reference Tables'!$A$4:$A$23,'Reference Tables'!$C$4:$C$23,0.75)</x:f>
        <x:v>100.83978799243957</x:v>
      </x:c>
      <x:c r="J686" s="102" t="n">
        <x:f>XLOOKUP(C686,'Reference Tables'!$E$4:$E$12,'Reference Tables'!$F$4:$F$12,0.05)</x:f>
        <x:v>0.12</x:v>
      </x:c>
      <x:c r="K686" s="103" t="n">
        <x:f>MIN(I686,F686*J686)</x:f>
        <x:v>83.10971537838425</x:v>
      </x:c>
      <x:c r="L686" s="103" t="n">
        <x:f>'Inputs &amp; Guide'!$B$5</x:f>
        <x:v>15</x:v>
      </x:c>
      <x:c r="M686" s="103" t="n">
        <x:f>I686*'Inputs &amp; Guide'!$B$6</x:f>
        <x:v>55.46188339584177</x:v>
      </x:c>
      <x:c r="N686" s="103" t="n">
        <x:f>MAX(0,MIN(K686-L686,M686))</x:f>
        <x:v>55.46188339584177</x:v>
      </x:c>
      <x:c r="O686" s="103" t="n">
        <x:f>MAX(0,N686-'Inputs &amp; Guide'!$B$7)</x:f>
        <x:v>0</x:v>
      </x:c>
      <x:c r="P686" s="103" t="n">
        <x:f>N686-O686</x:f>
        <x:v>55.46188339584177</x:v>
      </x:c>
      <x:c r="Q686" s="103" t="n">
        <x:f>I686*'Inputs &amp; Guide'!$B$8</x:f>
        <x:v>1.815116183863912</x:v>
      </x:c>
      <x:c r="R686" s="104" t="n">
        <x:f>IFERROR(P686/Q686,0)</x:f>
        <x:v>30.55555555555556</x:v>
      </x:c>
      <x:c r="S686" s="105" t="n">
        <x:f>ROUND(E686*XLOOKUP(C686,'Reference Tables'!$E$4:$E$12,'Reference Tables'!$G$4:$G$12,1),1)</x:f>
        <x:v>4.6</x:v>
      </x:c>
      <x:c r="T686" s="106" t="str">
        <x:f>IF(R686&gt;='Inputs &amp; Guide'!$B$9,"HIGH",IF(R686&gt;=0.45,"WATCH","NORMAL"))</x:f>
        <x:v>HIGH</x:v>
      </x:c>
    </x:row>
    <x:row r="687">
      <x:c r="A687" s="95" t="n">
        <x:v>5465</x:v>
      </x:c>
      <x:c r="B687" s="96" t="n">
        <x:v>45519.4375</x:v>
      </x:c>
      <x:c r="C687" s="97" t="str">
        <x:v>Tornado</x:v>
      </x:c>
      <x:c r="D687" s="97" t="str">
        <x:v>USA</x:v>
      </x:c>
      <x:c r="E687" s="98" t="n">
        <x:v>1.9777883350955996</x:v>
      </x:c>
      <x:c r="F687" s="99" t="n">
        <x:v>391.0739130291373</x:v>
      </x:c>
      <x:c r="G687" s="100" t="str">
        <x:f>XLOOKUP(D687,'Reference Tables'!$A$4:$A$23,'Reference Tables'!$B$4:$B$23,"Other")</x:f>
        <x:v>Other</x:v>
      </x:c>
      <x:c r="H687" s="100" t="str">
        <x:f>VLOOKUP(G687,'Reference Tables'!$I$4:$J$9,2,FALSE)</x:f>
        <x:v>Moderate</x:v>
      </x:c>
      <x:c r="I687" s="101" t="n">
        <x:f>F687*'Inputs &amp; Guide'!$B$4*XLOOKUP(D687,'Reference Tables'!$A$4:$A$23,'Reference Tables'!$C$4:$C$23,0.75)</x:f>
        <x:v>46.92886956349648</x:v>
      </x:c>
      <x:c r="J687" s="102" t="n">
        <x:f>XLOOKUP(C687,'Reference Tables'!$E$4:$E$12,'Reference Tables'!$F$4:$F$12,0.05)</x:f>
        <x:v>0.09</x:v>
      </x:c>
      <x:c r="K687" s="103" t="n">
        <x:f>MIN(I687,F687*J687)</x:f>
        <x:v>35.19665217262236</x:v>
      </x:c>
      <x:c r="L687" s="103" t="n">
        <x:f>'Inputs &amp; Guide'!$B$5</x:f>
        <x:v>15</x:v>
      </x:c>
      <x:c r="M687" s="103" t="n">
        <x:f>I687*'Inputs &amp; Guide'!$B$6</x:f>
        <x:v>25.810878259923065</x:v>
      </x:c>
      <x:c r="N687" s="103" t="n">
        <x:f>MAX(0,MIN(K687-L687,M687))</x:f>
        <x:v>20.196652172622358</x:v>
      </x:c>
      <x:c r="O687" s="103" t="n">
        <x:f>MAX(0,N687-'Inputs &amp; Guide'!$B$7)</x:f>
        <x:v>0</x:v>
      </x:c>
      <x:c r="P687" s="103" t="n">
        <x:f>N687-O687</x:f>
        <x:v>20.196652172622358</x:v>
      </x:c>
      <x:c r="Q687" s="103" t="n">
        <x:f>I687*'Inputs &amp; Guide'!$B$8</x:f>
        <x:v>0.8447196521429365</x:v>
      </x:c>
      <x:c r="R687" s="104" t="n">
        <x:f>IFERROR(P687/Q687,0)</x:f>
        <x:v>23.909295967468324</x:v>
      </x:c>
      <x:c r="S687" s="105" t="n">
        <x:f>ROUND(E687*XLOOKUP(C687,'Reference Tables'!$E$4:$E$12,'Reference Tables'!$G$4:$G$12,1),1)</x:f>
        <x:v>2.1</x:v>
      </x:c>
      <x:c r="T687" s="106" t="str">
        <x:f>IF(R687&gt;='Inputs &amp; Guide'!$B$9,"HIGH",IF(R687&gt;=0.45,"WATCH","NORMAL"))</x:f>
        <x:v>HIGH</x:v>
      </x:c>
    </x:row>
    <x:row r="688">
      <x:c r="A688" s="95" t="n">
        <x:v>5473</x:v>
      </x:c>
      <x:c r="B688" s="96" t="n">
        <x:v>45520</x:v>
      </x:c>
      <x:c r="C688" s="97" t="str">
        <x:v>Hurricane</x:v>
      </x:c>
      <x:c r="D688" s="97" t="str">
        <x:v>India</x:v>
      </x:c>
      <x:c r="E688" s="98" t="n">
        <x:v>6.626231757513363</x:v>
      </x:c>
      <x:c r="F688" s="99" t="n">
        <x:v>826.1458730521585</x:v>
      </x:c>
      <x:c r="G688" s="100" t="str">
        <x:f>XLOOKUP(D688,'Reference Tables'!$A$4:$A$23,'Reference Tables'!$B$4:$B$23,"Other")</x:f>
        <x:v>Asia Pacific</x:v>
      </x:c>
      <x:c r="H688" s="100" t="str">
        <x:f>VLOOKUP(G688,'Reference Tables'!$I$4:$J$9,2,FALSE)</x:f>
        <x:v>High</x:v>
      </x:c>
      <x:c r="I688" s="101" t="n">
        <x:f>F688*'Inputs &amp; Guide'!$B$4*XLOOKUP(D688,'Reference Tables'!$A$4:$A$23,'Reference Tables'!$C$4:$C$23,0.75)</x:f>
        <x:v>120.28683911639429</x:v>
      </x:c>
      <x:c r="J688" s="102" t="n">
        <x:f>XLOOKUP(C688,'Reference Tables'!$E$4:$E$12,'Reference Tables'!$F$4:$F$12,0.05)</x:f>
        <x:v>0.18</x:v>
      </x:c>
      <x:c r="K688" s="103" t="n">
        <x:f>MIN(I688,F688*J688)</x:f>
        <x:v>120.28683911639429</x:v>
      </x:c>
      <x:c r="L688" s="103" t="n">
        <x:f>'Inputs &amp; Guide'!$B$5</x:f>
        <x:v>15</x:v>
      </x:c>
      <x:c r="M688" s="103" t="n">
        <x:f>I688*'Inputs &amp; Guide'!$B$6</x:f>
        <x:v>66.15776151401687</x:v>
      </x:c>
      <x:c r="N688" s="103" t="n">
        <x:f>MAX(0,MIN(K688-L688,M688))</x:f>
        <x:v>66.15776151401687</x:v>
      </x:c>
      <x:c r="O688" s="103" t="n">
        <x:f>MAX(0,N688-'Inputs &amp; Guide'!$B$7)</x:f>
        <x:v>6.157761514016869</x:v>
      </x:c>
      <x:c r="P688" s="103" t="n">
        <x:f>N688-O688</x:f>
        <x:v>60</x:v>
      </x:c>
      <x:c r="Q688" s="103" t="n">
        <x:f>I688*'Inputs &amp; Guide'!$B$8</x:f>
        <x:v>2.165163104095097</x:v>
      </x:c>
      <x:c r="R688" s="104" t="n">
        <x:f>IFERROR(P688/Q688,0)</x:f>
        <x:v>27.71153816842646</x:v>
      </x:c>
      <x:c r="S688" s="105" t="n">
        <x:f>ROUND(E688*XLOOKUP(C688,'Reference Tables'!$E$4:$E$12,'Reference Tables'!$G$4:$G$12,1),1)</x:f>
        <x:v>9.3</x:v>
      </x:c>
      <x:c r="T688" s="106" t="str">
        <x:f>IF(R688&gt;='Inputs &amp; Guide'!$B$9,"HIGH",IF(R688&gt;=0.45,"WATCH","NORMAL"))</x:f>
        <x:v>HIGH</x:v>
      </x:c>
    </x:row>
    <x:row r="689">
      <x:c r="A689" s="95" t="n">
        <x:v>5481</x:v>
      </x:c>
      <x:c r="B689" s="96" t="n">
        <x:v>45520.104166666664</x:v>
      </x:c>
      <x:c r="C689" s="97" t="str">
        <x:v>Wildfire</x:v>
      </x:c>
      <x:c r="D689" s="97" t="str">
        <x:v>Japan</x:v>
      </x:c>
      <x:c r="E689" s="98" t="n">
        <x:v>9.144454075674064</x:v>
      </x:c>
      <x:c r="F689" s="99" t="n">
        <x:v>378.83160280785313</x:v>
      </x:c>
      <x:c r="G689" s="100" t="str">
        <x:f>XLOOKUP(D689,'Reference Tables'!$A$4:$A$23,'Reference Tables'!$B$4:$B$23,"Other")</x:f>
        <x:v>Asia Pacific</x:v>
      </x:c>
      <x:c r="H689" s="100" t="str">
        <x:f>VLOOKUP(G689,'Reference Tables'!$I$4:$J$9,2,FALSE)</x:f>
        <x:v>High</x:v>
      </x:c>
      <x:c r="I689" s="101" t="n">
        <x:f>F689*'Inputs &amp; Guide'!$B$4*XLOOKUP(D689,'Reference Tables'!$A$4:$A$23,'Reference Tables'!$C$4:$C$23,0.75)</x:f>
        <x:v>71.52340661012268</x:v>
      </x:c>
      <x:c r="J689" s="102" t="n">
        <x:f>XLOOKUP(C689,'Reference Tables'!$E$4:$E$12,'Reference Tables'!$F$4:$F$12,0.05)</x:f>
        <x:v>0.1</x:v>
      </x:c>
      <x:c r="K689" s="103" t="n">
        <x:f>MIN(I689,F689*J689)</x:f>
        <x:v>37.88316028078531</x:v>
      </x:c>
      <x:c r="L689" s="103" t="n">
        <x:f>'Inputs &amp; Guide'!$B$5</x:f>
        <x:v>15</x:v>
      </x:c>
      <x:c r="M689" s="103" t="n">
        <x:f>I689*'Inputs &amp; Guide'!$B$6</x:f>
        <x:v>39.337873635567476</x:v>
      </x:c>
      <x:c r="N689" s="103" t="n">
        <x:f>MAX(0,MIN(K689-L689,M689))</x:f>
        <x:v>22.88316028078531</x:v>
      </x:c>
      <x:c r="O689" s="103" t="n">
        <x:f>MAX(0,N689-'Inputs &amp; Guide'!$B$7)</x:f>
        <x:v>0</x:v>
      </x:c>
      <x:c r="P689" s="103" t="n">
        <x:f>N689-O689</x:f>
        <x:v>22.88316028078531</x:v>
      </x:c>
      <x:c r="Q689" s="103" t="n">
        <x:f>I689*'Inputs &amp; Guide'!$B$8</x:f>
        <x:v>1.2874213189822081</x:v>
      </x:c>
      <x:c r="R689" s="104" t="n">
        <x:f>IFERROR(P689/Q689,0)</x:f>
        <x:v>17.77441459403202</x:v>
      </x:c>
      <x:c r="S689" s="105" t="n">
        <x:f>ROUND(E689*XLOOKUP(C689,'Reference Tables'!$E$4:$E$12,'Reference Tables'!$G$4:$G$12,1),1)</x:f>
        <x:v>10.5</x:v>
      </x:c>
      <x:c r="T689" s="106" t="str">
        <x:f>IF(R689&gt;='Inputs &amp; Guide'!$B$9,"HIGH",IF(R689&gt;=0.45,"WATCH","NORMAL"))</x:f>
        <x:v>HIGH</x:v>
      </x:c>
    </x:row>
    <x:row r="690">
      <x:c r="A690" s="95" t="n">
        <x:v>5489</x:v>
      </x:c>
      <x:c r="B690" s="96" t="n">
        <x:v>45520.4375</x:v>
      </x:c>
      <x:c r="C690" s="97" t="str">
        <x:v>Flood</x:v>
      </x:c>
      <x:c r="D690" s="97" t="str">
        <x:v>Brazil</x:v>
      </x:c>
      <x:c r="E690" s="98" t="n">
        <x:v>1.0335954738759638</x:v>
      </x:c>
      <x:c r="F690" s="99" t="n">
        <x:v>296.13628710582935</x:v>
      </x:c>
      <x:c r="G690" s="100" t="str">
        <x:f>XLOOKUP(D690,'Reference Tables'!$A$4:$A$23,'Reference Tables'!$B$4:$B$23,"Other")</x:f>
        <x:v>Latin America</x:v>
      </x:c>
      <x:c r="H690" s="100" t="str">
        <x:f>VLOOKUP(G690,'Reference Tables'!$I$4:$J$9,2,FALSE)</x:f>
        <x:v>Moderate</x:v>
      </x:c>
      <x:c r="I690" s="101" t="n">
        <x:f>F690*'Inputs &amp; Guide'!$B$4*XLOOKUP(D690,'Reference Tables'!$A$4:$A$23,'Reference Tables'!$C$4:$C$23,0.75)</x:f>
        <x:v>38.85308086828481</x:v>
      </x:c>
      <x:c r="J690" s="102" t="n">
        <x:f>XLOOKUP(C690,'Reference Tables'!$E$4:$E$12,'Reference Tables'!$F$4:$F$12,0.05)</x:f>
        <x:v>0.12</x:v>
      </x:c>
      <x:c r="K690" s="103" t="n">
        <x:f>MIN(I690,F690*J690)</x:f>
        <x:v>35.53635445269952</x:v>
      </x:c>
      <x:c r="L690" s="103" t="n">
        <x:f>'Inputs &amp; Guide'!$B$5</x:f>
        <x:v>15</x:v>
      </x:c>
      <x:c r="M690" s="103" t="n">
        <x:f>I690*'Inputs &amp; Guide'!$B$6</x:f>
        <x:v>21.36919447755665</x:v>
      </x:c>
      <x:c r="N690" s="103" t="n">
        <x:f>MAX(0,MIN(K690-L690,M690))</x:f>
        <x:v>20.53635445269952</x:v>
      </x:c>
      <x:c r="O690" s="103" t="n">
        <x:f>MAX(0,N690-'Inputs &amp; Guide'!$B$7)</x:f>
        <x:v>0</x:v>
      </x:c>
      <x:c r="P690" s="103" t="n">
        <x:f>N690-O690</x:f>
        <x:v>20.53635445269952</x:v>
      </x:c>
      <x:c r="Q690" s="103" t="n">
        <x:f>I690*'Inputs &amp; Guide'!$B$8</x:f>
        <x:v>0.6993554556291266</x:v>
      </x:c>
      <x:c r="R690" s="104" t="n">
        <x:f>IFERROR(P690/Q690,0)</x:f>
        <x:v>29.364687566818812</x:v>
      </x:c>
      <x:c r="S690" s="105" t="n">
        <x:f>ROUND(E690*XLOOKUP(C690,'Reference Tables'!$E$4:$E$12,'Reference Tables'!$G$4:$G$12,1),1)</x:f>
        <x:v>1.3</x:v>
      </x:c>
      <x:c r="T690" s="106" t="str">
        <x:f>IF(R690&gt;='Inputs &amp; Guide'!$B$9,"HIGH",IF(R690&gt;=0.45,"WATCH","NORMAL"))</x:f>
        <x:v>HIGH</x:v>
      </x:c>
    </x:row>
    <x:row r="691">
      <x:c r="A691" s="95" t="n">
        <x:v>5497</x:v>
      </x:c>
      <x:c r="B691" s="96" t="n">
        <x:v>45521</x:v>
      </x:c>
      <x:c r="C691" s="97" t="str">
        <x:v>Earthquake</x:v>
      </x:c>
      <x:c r="D691" s="97" t="str">
        <x:v>India</x:v>
      </x:c>
      <x:c r="E691" s="98" t="n">
        <x:v>8.162981107096506</x:v>
      </x:c>
      <x:c r="F691" s="99" t="n">
        <x:v>448.676243112783</x:v>
      </x:c>
      <x:c r="G691" s="100" t="str">
        <x:f>XLOOKUP(D691,'Reference Tables'!$A$4:$A$23,'Reference Tables'!$B$4:$B$23,"Other")</x:f>
        <x:v>Asia Pacific</x:v>
      </x:c>
      <x:c r="H691" s="100" t="str">
        <x:f>VLOOKUP(G691,'Reference Tables'!$I$4:$J$9,2,FALSE)</x:f>
        <x:v>High</x:v>
      </x:c>
      <x:c r="I691" s="101" t="n">
        <x:f>F691*'Inputs &amp; Guide'!$B$4*XLOOKUP(D691,'Reference Tables'!$A$4:$A$23,'Reference Tables'!$C$4:$C$23,0.75)</x:f>
        <x:v>65.3272609972212</x:v>
      </x:c>
      <x:c r="J691" s="102" t="n">
        <x:f>XLOOKUP(C691,'Reference Tables'!$E$4:$E$12,'Reference Tables'!$F$4:$F$12,0.05)</x:f>
        <x:v>0.14</x:v>
      </x:c>
      <x:c r="K691" s="103" t="n">
        <x:f>MIN(I691,F691*J691)</x:f>
        <x:v>62.81467403578963</x:v>
      </x:c>
      <x:c r="L691" s="103" t="n">
        <x:f>'Inputs &amp; Guide'!$B$5</x:f>
        <x:v>15</x:v>
      </x:c>
      <x:c r="M691" s="103" t="n">
        <x:f>I691*'Inputs &amp; Guide'!$B$6</x:f>
        <x:v>35.929993548471664</x:v>
      </x:c>
      <x:c r="N691" s="103" t="n">
        <x:f>MAX(0,MIN(K691-L691,M691))</x:f>
        <x:v>35.929993548471664</x:v>
      </x:c>
      <x:c r="O691" s="103" t="n">
        <x:f>MAX(0,N691-'Inputs &amp; Guide'!$B$7)</x:f>
        <x:v>0</x:v>
      </x:c>
      <x:c r="P691" s="103" t="n">
        <x:f>N691-O691</x:f>
        <x:v>35.929993548471664</x:v>
      </x:c>
      <x:c r="Q691" s="103" t="n">
        <x:f>I691*'Inputs &amp; Guide'!$B$8</x:f>
        <x:v>1.1758906979499815</x:v>
      </x:c>
      <x:c r="R691" s="104" t="n">
        <x:f>IFERROR(P691/Q691,0)</x:f>
        <x:v>30.555555555555564</x:v>
      </x:c>
      <x:c r="S691" s="105" t="n">
        <x:f>ROUND(E691*XLOOKUP(C691,'Reference Tables'!$E$4:$E$12,'Reference Tables'!$G$4:$G$12,1),1)</x:f>
        <x:v>12.2</x:v>
      </x:c>
      <x:c r="T691" s="106" t="str">
        <x:f>IF(R691&gt;='Inputs &amp; Guide'!$B$9,"HIGH",IF(R691&gt;=0.45,"WATCH","NORMAL"))</x:f>
        <x:v>HIGH</x:v>
      </x:c>
    </x:row>
    <x:row r="692">
      <x:c r="A692" s="95" t="n">
        <x:v>5505</x:v>
      </x:c>
      <x:c r="B692" s="96" t="n">
        <x:v>45521.104166666664</x:v>
      </x:c>
      <x:c r="C692" s="97" t="str">
        <x:v>Flood</x:v>
      </x:c>
      <x:c r="D692" s="97" t="str">
        <x:v>Japan</x:v>
      </x:c>
      <x:c r="E692" s="98" t="n">
        <x:v>5.1241389654598954</x:v>
      </x:c>
      <x:c r="F692" s="99" t="n">
        <x:v>136.67240362903235</x:v>
      </x:c>
      <x:c r="G692" s="100" t="str">
        <x:f>XLOOKUP(D692,'Reference Tables'!$A$4:$A$23,'Reference Tables'!$B$4:$B$23,"Other")</x:f>
        <x:v>Asia Pacific</x:v>
      </x:c>
      <x:c r="H692" s="100" t="str">
        <x:f>VLOOKUP(G692,'Reference Tables'!$I$4:$J$9,2,FALSE)</x:f>
        <x:v>High</x:v>
      </x:c>
      <x:c r="I692" s="101" t="n">
        <x:f>F692*'Inputs &amp; Guide'!$B$4*XLOOKUP(D692,'Reference Tables'!$A$4:$A$23,'Reference Tables'!$C$4:$C$23,0.75)</x:f>
        <x:v>25.803749805161306</x:v>
      </x:c>
      <x:c r="J692" s="102" t="n">
        <x:f>XLOOKUP(C692,'Reference Tables'!$E$4:$E$12,'Reference Tables'!$F$4:$F$12,0.05)</x:f>
        <x:v>0.12</x:v>
      </x:c>
      <x:c r="K692" s="103" t="n">
        <x:f>MIN(I692,F692*J692)</x:f>
        <x:v>16.400688435483882</x:v>
      </x:c>
      <x:c r="L692" s="103" t="n">
        <x:f>'Inputs &amp; Guide'!$B$5</x:f>
        <x:v>15</x:v>
      </x:c>
      <x:c r="M692" s="103" t="n">
        <x:f>I692*'Inputs &amp; Guide'!$B$6</x:f>
        <x:v>14.19206239283872</x:v>
      </x:c>
      <x:c r="N692" s="103" t="n">
        <x:f>MAX(0,MIN(K692-L692,M692))</x:f>
        <x:v>1.4006884354838824</x:v>
      </x:c>
      <x:c r="O692" s="103" t="n">
        <x:f>MAX(0,N692-'Inputs &amp; Guide'!$B$7)</x:f>
        <x:v>0</x:v>
      </x:c>
      <x:c r="P692" s="103" t="n">
        <x:f>N692-O692</x:f>
        <x:v>1.4006884354838824</x:v>
      </x:c>
      <x:c r="Q692" s="103" t="n">
        <x:f>I692*'Inputs &amp; Guide'!$B$8</x:f>
        <x:v>0.4644674964929035</x:v>
      </x:c>
      <x:c r="R692" s="104" t="n">
        <x:f>IFERROR(P692/Q692,0)</x:f>
        <x:v>3.015686664966196</x:v>
      </x:c>
      <x:c r="S692" s="105" t="n">
        <x:f>ROUND(E692*XLOOKUP(C692,'Reference Tables'!$E$4:$E$12,'Reference Tables'!$G$4:$G$12,1),1)</x:f>
        <x:v>6.4</x:v>
      </x:c>
      <x:c r="T692" s="106" t="str">
        <x:f>IF(R692&gt;='Inputs &amp; Guide'!$B$9,"HIGH",IF(R692&gt;=0.45,"WATCH","NORMAL"))</x:f>
        <x:v>HIGH</x:v>
      </x:c>
    </x:row>
    <x:row r="693">
      <x:c r="A693" s="95" t="n">
        <x:v>5513</x:v>
      </x:c>
      <x:c r="B693" s="96" t="n">
        <x:v>45521.4375</x:v>
      </x:c>
      <x:c r="C693" s="97" t="str">
        <x:v>Flood</x:v>
      </x:c>
      <x:c r="D693" s="97" t="str">
        <x:v>China</x:v>
      </x:c>
      <x:c r="E693" s="98" t="n">
        <x:v>7.811722508834479</x:v>
      </x:c>
      <x:c r="F693" s="99" t="n">
        <x:v>320.83040029954384</x:v>
      </x:c>
      <x:c r="G693" s="100" t="str">
        <x:f>XLOOKUP(D693,'Reference Tables'!$A$4:$A$23,'Reference Tables'!$B$4:$B$23,"Other")</x:f>
        <x:v>Asia Pacific</x:v>
      </x:c>
      <x:c r="H693" s="100" t="str">
        <x:f>VLOOKUP(G693,'Reference Tables'!$I$4:$J$9,2,FALSE)</x:f>
        <x:v>High</x:v>
      </x:c>
      <x:c r="I693" s="101" t="n">
        <x:f>F693*'Inputs &amp; Guide'!$B$4*XLOOKUP(D693,'Reference Tables'!$A$4:$A$23,'Reference Tables'!$C$4:$C$23,0.75)</x:f>
        <x:v>55.439493171761185</x:v>
      </x:c>
      <x:c r="J693" s="102" t="n">
        <x:f>XLOOKUP(C693,'Reference Tables'!$E$4:$E$12,'Reference Tables'!$F$4:$F$12,0.05)</x:f>
        <x:v>0.12</x:v>
      </x:c>
      <x:c r="K693" s="103" t="n">
        <x:f>MIN(I693,F693*J693)</x:f>
        <x:v>38.499648035945256</x:v>
      </x:c>
      <x:c r="L693" s="103" t="n">
        <x:f>'Inputs &amp; Guide'!$B$5</x:f>
        <x:v>15</x:v>
      </x:c>
      <x:c r="M693" s="103" t="n">
        <x:f>I693*'Inputs &amp; Guide'!$B$6</x:f>
        <x:v>30.491721244468653</x:v>
      </x:c>
      <x:c r="N693" s="103" t="n">
        <x:f>MAX(0,MIN(K693-L693,M693))</x:f>
        <x:v>23.499648035945256</x:v>
      </x:c>
      <x:c r="O693" s="103" t="n">
        <x:f>MAX(0,N693-'Inputs &amp; Guide'!$B$7)</x:f>
        <x:v>0</x:v>
      </x:c>
      <x:c r="P693" s="103" t="n">
        <x:f>N693-O693</x:f>
        <x:v>23.499648035945256</x:v>
      </x:c>
      <x:c r="Q693" s="103" t="n">
        <x:f>I693*'Inputs &amp; Guide'!$B$8</x:f>
        <x:v>0.9979108770917012</x:v>
      </x:c>
      <x:c r="R693" s="104" t="n">
        <x:f>IFERROR(P693/Q693,0)</x:f>
        <x:v>23.548844466383944</x:v>
      </x:c>
      <x:c r="S693" s="105" t="n">
        <x:f>ROUND(E693*XLOOKUP(C693,'Reference Tables'!$E$4:$E$12,'Reference Tables'!$G$4:$G$12,1),1)</x:f>
        <x:v>9.8</x:v>
      </x:c>
      <x:c r="T693" s="106" t="str">
        <x:f>IF(R693&gt;='Inputs &amp; Guide'!$B$9,"HIGH",IF(R693&gt;=0.45,"WATCH","NORMAL"))</x:f>
        <x:v>HIGH</x:v>
      </x:c>
    </x:row>
    <x:row r="694">
      <x:c r="A694" s="95" t="n">
        <x:v>5521</x:v>
      </x:c>
      <x:c r="B694" s="96" t="n">
        <x:v>45522</x:v>
      </x:c>
      <x:c r="C694" s="97" t="str">
        <x:v>Wildfire</x:v>
      </x:c>
      <x:c r="D694" s="97" t="str">
        <x:v>China</x:v>
      </x:c>
      <x:c r="E694" s="98" t="n">
        <x:v>9.23453888342822</x:v>
      </x:c>
      <x:c r="F694" s="99" t="n">
        <x:v>293.9766011441188</x:v>
      </x:c>
      <x:c r="G694" s="100" t="str">
        <x:f>XLOOKUP(D694,'Reference Tables'!$A$4:$A$23,'Reference Tables'!$B$4:$B$23,"Other")</x:f>
        <x:v>Asia Pacific</x:v>
      </x:c>
      <x:c r="H694" s="100" t="str">
        <x:f>VLOOKUP(G694,'Reference Tables'!$I$4:$J$9,2,FALSE)</x:f>
        <x:v>High</x:v>
      </x:c>
      <x:c r="I694" s="101" t="n">
        <x:f>F694*'Inputs &amp; Guide'!$B$4*XLOOKUP(D694,'Reference Tables'!$A$4:$A$23,'Reference Tables'!$C$4:$C$23,0.75)</x:f>
        <x:v>50.79915667770373</x:v>
      </x:c>
      <x:c r="J694" s="102" t="n">
        <x:f>XLOOKUP(C694,'Reference Tables'!$E$4:$E$12,'Reference Tables'!$F$4:$F$12,0.05)</x:f>
        <x:v>0.1</x:v>
      </x:c>
      <x:c r="K694" s="103" t="n">
        <x:f>MIN(I694,F694*J694)</x:f>
        <x:v>29.397660114411877</x:v>
      </x:c>
      <x:c r="L694" s="103" t="n">
        <x:f>'Inputs &amp; Guide'!$B$5</x:f>
        <x:v>15</x:v>
      </x:c>
      <x:c r="M694" s="103" t="n">
        <x:f>I694*'Inputs &amp; Guide'!$B$6</x:f>
        <x:v>27.939536172737053</x:v>
      </x:c>
      <x:c r="N694" s="103" t="n">
        <x:f>MAX(0,MIN(K694-L694,M694))</x:f>
        <x:v>14.397660114411877</x:v>
      </x:c>
      <x:c r="O694" s="103" t="n">
        <x:f>MAX(0,N694-'Inputs &amp; Guide'!$B$7)</x:f>
        <x:v>0</x:v>
      </x:c>
      <x:c r="P694" s="103" t="n">
        <x:f>N694-O694</x:f>
        <x:v>14.397660114411877</x:v>
      </x:c>
      <x:c r="Q694" s="103" t="n">
        <x:f>I694*'Inputs &amp; Guide'!$B$8</x:f>
        <x:v>0.9143848201986671</x:v>
      </x:c>
      <x:c r="R694" s="104" t="n">
        <x:f>IFERROR(P694/Q694,0)</x:f>
        <x:v>15.7457339583609</x:v>
      </x:c>
      <x:c r="S694" s="105" t="n">
        <x:f>ROUND(E694*XLOOKUP(C694,'Reference Tables'!$E$4:$E$12,'Reference Tables'!$G$4:$G$12,1),1)</x:f>
        <x:v>10.6</x:v>
      </x:c>
      <x:c r="T694" s="106" t="str">
        <x:f>IF(R694&gt;='Inputs &amp; Guide'!$B$9,"HIGH",IF(R694&gt;=0.45,"WATCH","NORMAL"))</x:f>
        <x:v>HIGH</x:v>
      </x:c>
    </x:row>
    <x:row r="695">
      <x:c r="A695" s="95" t="n">
        <x:v>5529</x:v>
      </x:c>
      <x:c r="B695" s="96" t="n">
        <x:v>45522.104166666664</x:v>
      </x:c>
      <x:c r="C695" s="97" t="str">
        <x:v>Flood</x:v>
      </x:c>
      <x:c r="D695" s="97" t="str">
        <x:v>USA</x:v>
      </x:c>
      <x:c r="E695" s="98" t="n">
        <x:v>7.5623824075368695</x:v>
      </x:c>
      <x:c r="F695" s="99" t="n">
        <x:v>168.06204236745518</x:v>
      </x:c>
      <x:c r="G695" s="100" t="str">
        <x:f>XLOOKUP(D695,'Reference Tables'!$A$4:$A$23,'Reference Tables'!$B$4:$B$23,"Other")</x:f>
        <x:v>Other</x:v>
      </x:c>
      <x:c r="H695" s="100" t="str">
        <x:f>VLOOKUP(G695,'Reference Tables'!$I$4:$J$9,2,FALSE)</x:f>
        <x:v>Moderate</x:v>
      </x:c>
      <x:c r="I695" s="101" t="n">
        <x:f>F695*'Inputs &amp; Guide'!$B$4*XLOOKUP(D695,'Reference Tables'!$A$4:$A$23,'Reference Tables'!$C$4:$C$23,0.75)</x:f>
        <x:v>20.167445084094624</x:v>
      </x:c>
      <x:c r="J695" s="102" t="n">
        <x:f>XLOOKUP(C695,'Reference Tables'!$E$4:$E$12,'Reference Tables'!$F$4:$F$12,0.05)</x:f>
        <x:v>0.12</x:v>
      </x:c>
      <x:c r="K695" s="103" t="n">
        <x:f>MIN(I695,F695*J695)</x:f>
        <x:v>20.16744508409462</x:v>
      </x:c>
      <x:c r="L695" s="103" t="n">
        <x:f>'Inputs &amp; Guide'!$B$5</x:f>
        <x:v>15</x:v>
      </x:c>
      <x:c r="M695" s="103" t="n">
        <x:f>I695*'Inputs &amp; Guide'!$B$6</x:f>
        <x:v>11.092094796252043</x:v>
      </x:c>
      <x:c r="N695" s="103" t="n">
        <x:f>MAX(0,MIN(K695-L695,M695))</x:f>
        <x:v>5.16744508409462</x:v>
      </x:c>
      <x:c r="O695" s="103" t="n">
        <x:f>MAX(0,N695-'Inputs &amp; Guide'!$B$7)</x:f>
        <x:v>0</x:v>
      </x:c>
      <x:c r="P695" s="103" t="n">
        <x:f>N695-O695</x:f>
        <x:v>5.16744508409462</x:v>
      </x:c>
      <x:c r="Q695" s="103" t="n">
        <x:f>I695*'Inputs &amp; Guide'!$B$8</x:f>
        <x:v>0.3630140115137032</x:v>
      </x:c>
      <x:c r="R695" s="104" t="n">
        <x:f>IFERROR(P695/Q695,0)</x:f>
        <x:v>14.234836453136623</x:v>
      </x:c>
      <x:c r="S695" s="105" t="n">
        <x:f>ROUND(E695*XLOOKUP(C695,'Reference Tables'!$E$4:$E$12,'Reference Tables'!$G$4:$G$12,1),1)</x:f>
        <x:v>9.5</x:v>
      </x:c>
      <x:c r="T695" s="106" t="str">
        <x:f>IF(R695&gt;='Inputs &amp; Guide'!$B$9,"HIGH",IF(R695&gt;=0.45,"WATCH","NORMAL"))</x:f>
        <x:v>HIGH</x:v>
      </x:c>
    </x:row>
    <x:row r="696">
      <x:c r="A696" s="95" t="n">
        <x:v>5537</x:v>
      </x:c>
      <x:c r="B696" s="96" t="n">
        <x:v>45522.4375</x:v>
      </x:c>
      <x:c r="C696" s="97" t="str">
        <x:v>Hurricane</x:v>
      </x:c>
      <x:c r="D696" s="97" t="str">
        <x:v>Brazil</x:v>
      </x:c>
      <x:c r="E696" s="98" t="n">
        <x:v>2.587337326079922</x:v>
      </x:c>
      <x:c r="F696" s="99" t="n">
        <x:v>502.4634790849024</x:v>
      </x:c>
      <x:c r="G696" s="100" t="str">
        <x:f>XLOOKUP(D696,'Reference Tables'!$A$4:$A$23,'Reference Tables'!$B$4:$B$23,"Other")</x:f>
        <x:v>Latin America</x:v>
      </x:c>
      <x:c r="H696" s="100" t="str">
        <x:f>VLOOKUP(G696,'Reference Tables'!$I$4:$J$9,2,FALSE)</x:f>
        <x:v>Moderate</x:v>
      </x:c>
      <x:c r="I696" s="101" t="n">
        <x:f>F696*'Inputs &amp; Guide'!$B$4*XLOOKUP(D696,'Reference Tables'!$A$4:$A$23,'Reference Tables'!$C$4:$C$23,0.75)</x:f>
        <x:v>65.92320845593919</x:v>
      </x:c>
      <x:c r="J696" s="102" t="n">
        <x:f>XLOOKUP(C696,'Reference Tables'!$E$4:$E$12,'Reference Tables'!$F$4:$F$12,0.05)</x:f>
        <x:v>0.18</x:v>
      </x:c>
      <x:c r="K696" s="103" t="n">
        <x:f>MIN(I696,F696*J696)</x:f>
        <x:v>65.92320845593919</x:v>
      </x:c>
      <x:c r="L696" s="103" t="n">
        <x:f>'Inputs &amp; Guide'!$B$5</x:f>
        <x:v>15</x:v>
      </x:c>
      <x:c r="M696" s="103" t="n">
        <x:f>I696*'Inputs &amp; Guide'!$B$6</x:f>
        <x:v>36.25776465076656</x:v>
      </x:c>
      <x:c r="N696" s="103" t="n">
        <x:f>MAX(0,MIN(K696-L696,M696))</x:f>
        <x:v>36.25776465076656</x:v>
      </x:c>
      <x:c r="O696" s="103" t="n">
        <x:f>MAX(0,N696-'Inputs &amp; Guide'!$B$7)</x:f>
        <x:v>0</x:v>
      </x:c>
      <x:c r="P696" s="103" t="n">
        <x:f>N696-O696</x:f>
        <x:v>36.25776465076656</x:v>
      </x:c>
      <x:c r="Q696" s="103" t="n">
        <x:f>I696*'Inputs &amp; Guide'!$B$8</x:f>
        <x:v>1.1866177522069052</x:v>
      </x:c>
      <x:c r="R696" s="104" t="n">
        <x:f>IFERROR(P696/Q696,0)</x:f>
        <x:v>30.555555555555564</x:v>
      </x:c>
      <x:c r="S696" s="105" t="n">
        <x:f>ROUND(E696*XLOOKUP(C696,'Reference Tables'!$E$4:$E$12,'Reference Tables'!$G$4:$G$12,1),1)</x:f>
        <x:v>3.6</x:v>
      </x:c>
      <x:c r="T696" s="106" t="str">
        <x:f>IF(R696&gt;='Inputs &amp; Guide'!$B$9,"HIGH",IF(R696&gt;=0.45,"WATCH","NORMAL"))</x:f>
        <x:v>HIGH</x:v>
      </x:c>
    </x:row>
    <x:row r="697">
      <x:c r="A697" s="95" t="n">
        <x:v>5545</x:v>
      </x:c>
      <x:c r="B697" s="96" t="n">
        <x:v>45523</x:v>
      </x:c>
      <x:c r="C697" s="97" t="str">
        <x:v>Tornado</x:v>
      </x:c>
      <x:c r="D697" s="97" t="str">
        <x:v>Indonesia</x:v>
      </x:c>
      <x:c r="E697" s="98" t="n">
        <x:v>3.824264343582297</x:v>
      </x:c>
      <x:c r="F697" s="99" t="n">
        <x:v>366.9125574062453</x:v>
      </x:c>
      <x:c r="G697" s="100" t="str">
        <x:f>XLOOKUP(D697,'Reference Tables'!$A$4:$A$23,'Reference Tables'!$B$4:$B$23,"Other")</x:f>
        <x:v>Asia Pacific</x:v>
      </x:c>
      <x:c r="H697" s="100" t="str">
        <x:f>VLOOKUP(G697,'Reference Tables'!$I$4:$J$9,2,FALSE)</x:f>
        <x:v>High</x:v>
      </x:c>
      <x:c r="I697" s="101" t="n">
        <x:f>F697*'Inputs &amp; Guide'!$B$4*XLOOKUP(D697,'Reference Tables'!$A$4:$A$23,'Reference Tables'!$C$4:$C$23,0.75)</x:f>
        <x:v>60.46718946054923</x:v>
      </x:c>
      <x:c r="J697" s="102" t="n">
        <x:f>XLOOKUP(C697,'Reference Tables'!$E$4:$E$12,'Reference Tables'!$F$4:$F$12,0.05)</x:f>
        <x:v>0.09</x:v>
      </x:c>
      <x:c r="K697" s="103" t="n">
        <x:f>MIN(I697,F697*J697)</x:f>
        <x:v>33.02213016656208</x:v>
      </x:c>
      <x:c r="L697" s="103" t="n">
        <x:f>'Inputs &amp; Guide'!$B$5</x:f>
        <x:v>15</x:v>
      </x:c>
      <x:c r="M697" s="103" t="n">
        <x:f>I697*'Inputs &amp; Guide'!$B$6</x:f>
        <x:v>33.25695420330208</x:v>
      </x:c>
      <x:c r="N697" s="103" t="n">
        <x:f>MAX(0,MIN(K697-L697,M697))</x:f>
        <x:v>18.02213016656208</x:v>
      </x:c>
      <x:c r="O697" s="103" t="n">
        <x:f>MAX(0,N697-'Inputs &amp; Guide'!$B$7)</x:f>
        <x:v>0</x:v>
      </x:c>
      <x:c r="P697" s="103" t="n">
        <x:f>N697-O697</x:f>
        <x:v>18.02213016656208</x:v>
      </x:c>
      <x:c r="Q697" s="103" t="n">
        <x:f>I697*'Inputs &amp; Guide'!$B$8</x:f>
        <x:v>1.088409410289886</x:v>
      </x:c>
      <x:c r="R697" s="104" t="n">
        <x:f>IFERROR(P697/Q697,0)</x:f>
        <x:v>16.55822707538157</x:v>
      </x:c>
      <x:c r="S697" s="105" t="n">
        <x:f>ROUND(E697*XLOOKUP(C697,'Reference Tables'!$E$4:$E$12,'Reference Tables'!$G$4:$G$12,1),1)</x:f>
        <x:v>4</x:v>
      </x:c>
      <x:c r="T697" s="106" t="str">
        <x:f>IF(R697&gt;='Inputs &amp; Guide'!$B$9,"HIGH",IF(R697&gt;=0.45,"WATCH","NORMAL"))</x:f>
        <x:v>HIGH</x:v>
      </x:c>
    </x:row>
    <x:row r="698">
      <x:c r="A698" s="95" t="n">
        <x:v>5553</x:v>
      </x:c>
      <x:c r="B698" s="96" t="n">
        <x:v>45523.104166666664</x:v>
      </x:c>
      <x:c r="C698" s="97" t="str">
        <x:v>Hurricane</x:v>
      </x:c>
      <x:c r="D698" s="97" t="str">
        <x:v>Brazil</x:v>
      </x:c>
      <x:c r="E698" s="98" t="n">
        <x:v>1.4046432623436502</x:v>
      </x:c>
      <x:c r="F698" s="99" t="n">
        <x:v>218.45253397186826</x:v>
      </x:c>
      <x:c r="G698" s="100" t="str">
        <x:f>XLOOKUP(D698,'Reference Tables'!$A$4:$A$23,'Reference Tables'!$B$4:$B$23,"Other")</x:f>
        <x:v>Latin America</x:v>
      </x:c>
      <x:c r="H698" s="100" t="str">
        <x:f>VLOOKUP(G698,'Reference Tables'!$I$4:$J$9,2,FALSE)</x:f>
        <x:v>Moderate</x:v>
      </x:c>
      <x:c r="I698" s="101" t="n">
        <x:f>F698*'Inputs &amp; Guide'!$B$4*XLOOKUP(D698,'Reference Tables'!$A$4:$A$23,'Reference Tables'!$C$4:$C$23,0.75)</x:f>
        <x:v>28.660972457109118</x:v>
      </x:c>
      <x:c r="J698" s="102" t="n">
        <x:f>XLOOKUP(C698,'Reference Tables'!$E$4:$E$12,'Reference Tables'!$F$4:$F$12,0.05)</x:f>
        <x:v>0.18</x:v>
      </x:c>
      <x:c r="K698" s="103" t="n">
        <x:f>MIN(I698,F698*J698)</x:f>
        <x:v>28.660972457109118</x:v>
      </x:c>
      <x:c r="L698" s="103" t="n">
        <x:f>'Inputs &amp; Guide'!$B$5</x:f>
        <x:v>15</x:v>
      </x:c>
      <x:c r="M698" s="103" t="n">
        <x:f>I698*'Inputs &amp; Guide'!$B$6</x:f>
        <x:v>15.763534851410016</x:v>
      </x:c>
      <x:c r="N698" s="103" t="n">
        <x:f>MAX(0,MIN(K698-L698,M698))</x:f>
        <x:v>13.660972457109118</x:v>
      </x:c>
      <x:c r="O698" s="103" t="n">
        <x:f>MAX(0,N698-'Inputs &amp; Guide'!$B$7)</x:f>
        <x:v>0</x:v>
      </x:c>
      <x:c r="P698" s="103" t="n">
        <x:f>N698-O698</x:f>
        <x:v>13.660972457109118</x:v>
      </x:c>
      <x:c r="Q698" s="103" t="n">
        <x:f>I698*'Inputs &amp; Guide'!$B$8</x:f>
        <x:v>0.5158975042279641</x:v>
      </x:c>
      <x:c r="R698" s="104" t="n">
        <x:f>IFERROR(P698/Q698,0)</x:f>
        <x:v>26.48001268692439</x:v>
      </x:c>
      <x:c r="S698" s="105" t="n">
        <x:f>ROUND(E698*XLOOKUP(C698,'Reference Tables'!$E$4:$E$12,'Reference Tables'!$G$4:$G$12,1),1)</x:f>
        <x:v>2</x:v>
      </x:c>
      <x:c r="T698" s="106" t="str">
        <x:f>IF(R698&gt;='Inputs &amp; Guide'!$B$9,"HIGH",IF(R698&gt;=0.45,"WATCH","NORMAL"))</x:f>
        <x:v>HIGH</x:v>
      </x:c>
    </x:row>
    <x:row r="699">
      <x:c r="A699" s="95" t="n">
        <x:v>5561</x:v>
      </x:c>
      <x:c r="B699" s="96" t="n">
        <x:v>45523.4375</x:v>
      </x:c>
      <x:c r="C699" s="97" t="str">
        <x:v>Wildfire</x:v>
      </x:c>
      <x:c r="D699" s="97" t="str">
        <x:v>Indonesia</x:v>
      </x:c>
      <x:c r="E699" s="98" t="n">
        <x:v>4.2634990140873406</x:v>
      </x:c>
      <x:c r="F699" s="99" t="n">
        <x:v>323.78191441043117</x:v>
      </x:c>
      <x:c r="G699" s="100" t="str">
        <x:f>XLOOKUP(D699,'Reference Tables'!$A$4:$A$23,'Reference Tables'!$B$4:$B$23,"Other")</x:f>
        <x:v>Asia Pacific</x:v>
      </x:c>
      <x:c r="H699" s="100" t="str">
        <x:f>VLOOKUP(G699,'Reference Tables'!$I$4:$J$9,2,FALSE)</x:f>
        <x:v>High</x:v>
      </x:c>
      <x:c r="I699" s="101" t="n">
        <x:f>F699*'Inputs &amp; Guide'!$B$4*XLOOKUP(D699,'Reference Tables'!$A$4:$A$23,'Reference Tables'!$C$4:$C$23,0.75)</x:f>
        <x:v>53.35925949483906</x:v>
      </x:c>
      <x:c r="J699" s="102" t="n">
        <x:f>XLOOKUP(C699,'Reference Tables'!$E$4:$E$12,'Reference Tables'!$F$4:$F$12,0.05)</x:f>
        <x:v>0.1</x:v>
      </x:c>
      <x:c r="K699" s="103" t="n">
        <x:f>MIN(I699,F699*J699)</x:f>
        <x:v>32.37819144104312</x:v>
      </x:c>
      <x:c r="L699" s="103" t="n">
        <x:f>'Inputs &amp; Guide'!$B$5</x:f>
        <x:v>15</x:v>
      </x:c>
      <x:c r="M699" s="103" t="n">
        <x:f>I699*'Inputs &amp; Guide'!$B$6</x:f>
        <x:v>29.347592722161483</x:v>
      </x:c>
      <x:c r="N699" s="103" t="n">
        <x:f>MAX(0,MIN(K699-L699,M699))</x:f>
        <x:v>17.37819144104312</x:v>
      </x:c>
      <x:c r="O699" s="103" t="n">
        <x:f>MAX(0,N699-'Inputs &amp; Guide'!$B$7)</x:f>
        <x:v>0</x:v>
      </x:c>
      <x:c r="P699" s="103" t="n">
        <x:f>N699-O699</x:f>
        <x:v>17.37819144104312</x:v>
      </x:c>
      <x:c r="Q699" s="103" t="n">
        <x:f>I699*'Inputs &amp; Guide'!$B$8</x:f>
        <x:v>0.960466670907103</x:v>
      </x:c>
      <x:c r="R699" s="104" t="n">
        <x:f>IFERROR(P699/Q699,0)</x:f>
        <x:v>18.09348722598616</x:v>
      </x:c>
      <x:c r="S699" s="105" t="n">
        <x:f>ROUND(E699*XLOOKUP(C699,'Reference Tables'!$E$4:$E$12,'Reference Tables'!$G$4:$G$12,1),1)</x:f>
        <x:v>4.9</x:v>
      </x:c>
      <x:c r="T699" s="106" t="str">
        <x:f>IF(R699&gt;='Inputs &amp; Guide'!$B$9,"HIGH",IF(R699&gt;=0.45,"WATCH","NORMAL"))</x:f>
        <x:v>HIGH</x:v>
      </x:c>
    </x:row>
    <x:row r="700">
      <x:c r="A700" s="95" t="n">
        <x:v>5569</x:v>
      </x:c>
      <x:c r="B700" s="96" t="n">
        <x:v>45524</x:v>
      </x:c>
      <x:c r="C700" s="97" t="str">
        <x:v>Earthquake</x:v>
      </x:c>
      <x:c r="D700" s="97" t="str">
        <x:v>Indonesia</x:v>
      </x:c>
      <x:c r="E700" s="98" t="n">
        <x:v>7.349218288401559</x:v>
      </x:c>
      <x:c r="F700" s="99" t="n">
        <x:v>567.024429514853</x:v>
      </x:c>
      <x:c r="G700" s="100" t="str">
        <x:f>XLOOKUP(D700,'Reference Tables'!$A$4:$A$23,'Reference Tables'!$B$4:$B$23,"Other")</x:f>
        <x:v>Asia Pacific</x:v>
      </x:c>
      <x:c r="H700" s="100" t="str">
        <x:f>VLOOKUP(G700,'Reference Tables'!$I$4:$J$9,2,FALSE)</x:f>
        <x:v>High</x:v>
      </x:c>
      <x:c r="I700" s="101" t="n">
        <x:f>F700*'Inputs &amp; Guide'!$B$4*XLOOKUP(D700,'Reference Tables'!$A$4:$A$23,'Reference Tables'!$C$4:$C$23,0.75)</x:f>
        <x:v>93.44562598404778</x:v>
      </x:c>
      <x:c r="J700" s="102" t="n">
        <x:f>XLOOKUP(C700,'Reference Tables'!$E$4:$E$12,'Reference Tables'!$F$4:$F$12,0.05)</x:f>
        <x:v>0.14</x:v>
      </x:c>
      <x:c r="K700" s="103" t="n">
        <x:f>MIN(I700,F700*J700)</x:f>
        <x:v>79.38342013207942</x:v>
      </x:c>
      <x:c r="L700" s="103" t="n">
        <x:f>'Inputs &amp; Guide'!$B$5</x:f>
        <x:v>15</x:v>
      </x:c>
      <x:c r="M700" s="103" t="n">
        <x:f>I700*'Inputs &amp; Guide'!$B$6</x:f>
        <x:v>51.395094291226286</x:v>
      </x:c>
      <x:c r="N700" s="103" t="n">
        <x:f>MAX(0,MIN(K700-L700,M700))</x:f>
        <x:v>51.395094291226286</x:v>
      </x:c>
      <x:c r="O700" s="103" t="n">
        <x:f>MAX(0,N700-'Inputs &amp; Guide'!$B$7)</x:f>
        <x:v>0</x:v>
      </x:c>
      <x:c r="P700" s="103" t="n">
        <x:f>N700-O700</x:f>
        <x:v>51.395094291226286</x:v>
      </x:c>
      <x:c r="Q700" s="103" t="n">
        <x:f>I700*'Inputs &amp; Guide'!$B$8</x:f>
        <x:v>1.6820212677128599</x:v>
      </x:c>
      <x:c r="R700" s="104" t="n">
        <x:f>IFERROR(P700/Q700,0)</x:f>
        <x:v>30.555555555555564</x:v>
      </x:c>
      <x:c r="S700" s="105" t="n">
        <x:f>ROUND(E700*XLOOKUP(C700,'Reference Tables'!$E$4:$E$12,'Reference Tables'!$G$4:$G$12,1),1)</x:f>
        <x:v>11</x:v>
      </x:c>
      <x:c r="T700" s="106" t="str">
        <x:f>IF(R700&gt;='Inputs &amp; Guide'!$B$9,"HIGH",IF(R700&gt;=0.45,"WATCH","NORMAL"))</x:f>
        <x:v>HIGH</x:v>
      </x:c>
    </x:row>
    <x:row r="701">
      <x:c r="A701" s="95" t="n">
        <x:v>5577</x:v>
      </x:c>
      <x:c r="B701" s="96" t="n">
        <x:v>45524.104166666664</x:v>
      </x:c>
      <x:c r="C701" s="97" t="str">
        <x:v>Tornado</x:v>
      </x:c>
      <x:c r="D701" s="97" t="str">
        <x:v>Brazil</x:v>
      </x:c>
      <x:c r="E701" s="98" t="n">
        <x:v>4.138278874738919</x:v>
      </x:c>
      <x:c r="F701" s="99" t="n">
        <x:v>858.6956257960225</x:v>
      </x:c>
      <x:c r="G701" s="100" t="str">
        <x:f>XLOOKUP(D701,'Reference Tables'!$A$4:$A$23,'Reference Tables'!$B$4:$B$23,"Other")</x:f>
        <x:v>Latin America</x:v>
      </x:c>
      <x:c r="H701" s="100" t="str">
        <x:f>VLOOKUP(G701,'Reference Tables'!$I$4:$J$9,2,FALSE)</x:f>
        <x:v>Moderate</x:v>
      </x:c>
      <x:c r="I701" s="101" t="n">
        <x:f>F701*'Inputs &amp; Guide'!$B$4*XLOOKUP(D701,'Reference Tables'!$A$4:$A$23,'Reference Tables'!$C$4:$C$23,0.75)</x:f>
        <x:v>112.66086610443814</x:v>
      </x:c>
      <x:c r="J701" s="102" t="n">
        <x:f>XLOOKUP(C701,'Reference Tables'!$E$4:$E$12,'Reference Tables'!$F$4:$F$12,0.05)</x:f>
        <x:v>0.09</x:v>
      </x:c>
      <x:c r="K701" s="103" t="n">
        <x:f>MIN(I701,F701*J701)</x:f>
        <x:v>77.28260632164202</x:v>
      </x:c>
      <x:c r="L701" s="103" t="n">
        <x:f>'Inputs &amp; Guide'!$B$5</x:f>
        <x:v>15</x:v>
      </x:c>
      <x:c r="M701" s="103" t="n">
        <x:f>I701*'Inputs &amp; Guide'!$B$6</x:f>
        <x:v>61.96347635744098</x:v>
      </x:c>
      <x:c r="N701" s="103" t="n">
        <x:f>MAX(0,MIN(K701-L701,M701))</x:f>
        <x:v>61.96347635744098</x:v>
      </x:c>
      <x:c r="O701" s="103" t="n">
        <x:f>MAX(0,N701-'Inputs &amp; Guide'!$B$7)</x:f>
        <x:v>1.9634763574409817</x:v>
      </x:c>
      <x:c r="P701" s="103" t="n">
        <x:f>N701-O701</x:f>
        <x:v>60</x:v>
      </x:c>
      <x:c r="Q701" s="103" t="n">
        <x:f>I701*'Inputs &amp; Guide'!$B$8</x:f>
        <x:v>2.0278955898798863</x:v>
      </x:c>
      <x:c r="R701" s="104" t="n">
        <x:f>IFERROR(P701/Q701,0)</x:f>
        <x:v>29.587322098547414</x:v>
      </x:c>
      <x:c r="S701" s="105" t="n">
        <x:f>ROUND(E701*XLOOKUP(C701,'Reference Tables'!$E$4:$E$12,'Reference Tables'!$G$4:$G$12,1),1)</x:f>
        <x:v>4.3</x:v>
      </x:c>
      <x:c r="T701" s="106" t="str">
        <x:f>IF(R701&gt;='Inputs &amp; Guide'!$B$9,"HIGH",IF(R701&gt;=0.45,"WATCH","NORMAL"))</x:f>
        <x:v>HIGH</x:v>
      </x:c>
    </x:row>
    <x:row r="702">
      <x:c r="A702" s="95" t="n">
        <x:v>5585</x:v>
      </x:c>
      <x:c r="B702" s="96" t="n">
        <x:v>45524.4375</x:v>
      </x:c>
      <x:c r="C702" s="97" t="str">
        <x:v>Tornado</x:v>
      </x:c>
      <x:c r="D702" s="97" t="str">
        <x:v>India</x:v>
      </x:c>
      <x:c r="E702" s="98" t="n">
        <x:v>5.061704676133285</x:v>
      </x:c>
      <x:c r="F702" s="99" t="n">
        <x:v>585.7115062862347</x:v>
      </x:c>
      <x:c r="G702" s="100" t="str">
        <x:f>XLOOKUP(D702,'Reference Tables'!$A$4:$A$23,'Reference Tables'!$B$4:$B$23,"Other")</x:f>
        <x:v>Asia Pacific</x:v>
      </x:c>
      <x:c r="H702" s="100" t="str">
        <x:f>VLOOKUP(G702,'Reference Tables'!$I$4:$J$9,2,FALSE)</x:f>
        <x:v>High</x:v>
      </x:c>
      <x:c r="I702" s="101" t="n">
        <x:f>F702*'Inputs &amp; Guide'!$B$4*XLOOKUP(D702,'Reference Tables'!$A$4:$A$23,'Reference Tables'!$C$4:$C$23,0.75)</x:f>
        <x:v>85.27959531527577</x:v>
      </x:c>
      <x:c r="J702" s="102" t="n">
        <x:f>XLOOKUP(C702,'Reference Tables'!$E$4:$E$12,'Reference Tables'!$F$4:$F$12,0.05)</x:f>
        <x:v>0.09</x:v>
      </x:c>
      <x:c r="K702" s="103" t="n">
        <x:f>MIN(I702,F702*J702)</x:f>
        <x:v>52.71403556576112</x:v>
      </x:c>
      <x:c r="L702" s="103" t="n">
        <x:f>'Inputs &amp; Guide'!$B$5</x:f>
        <x:v>15</x:v>
      </x:c>
      <x:c r="M702" s="103" t="n">
        <x:f>I702*'Inputs &amp; Guide'!$B$6</x:f>
        <x:v>46.90377742340168</x:v>
      </x:c>
      <x:c r="N702" s="103" t="n">
        <x:f>MAX(0,MIN(K702-L702,M702))</x:f>
        <x:v>37.71403556576112</x:v>
      </x:c>
      <x:c r="O702" s="103" t="n">
        <x:f>MAX(0,N702-'Inputs &amp; Guide'!$B$7)</x:f>
        <x:v>0</x:v>
      </x:c>
      <x:c r="P702" s="103" t="n">
        <x:f>N702-O702</x:f>
        <x:v>37.71403556576112</x:v>
      </x:c>
      <x:c r="Q702" s="103" t="n">
        <x:f>I702*'Inputs &amp; Guide'!$B$8</x:f>
        <x:v>1.5350327156749637</x:v>
      </x:c>
      <x:c r="R702" s="104" t="n">
        <x:f>IFERROR(P702/Q702,0)</x:f>
        <x:v>24.568880637295095</x:v>
      </x:c>
      <x:c r="S702" s="105" t="n">
        <x:f>ROUND(E702*XLOOKUP(C702,'Reference Tables'!$E$4:$E$12,'Reference Tables'!$G$4:$G$12,1),1)</x:f>
        <x:v>5.3</x:v>
      </x:c>
      <x:c r="T702" s="106" t="str">
        <x:f>IF(R702&gt;='Inputs &amp; Guide'!$B$9,"HIGH",IF(R702&gt;=0.45,"WATCH","NORMAL"))</x:f>
        <x:v>HIGH</x:v>
      </x:c>
    </x:row>
    <x:row r="703">
      <x:c r="A703" s="95" t="n">
        <x:v>5593</x:v>
      </x:c>
      <x:c r="B703" s="96" t="n">
        <x:v>45525</x:v>
      </x:c>
      <x:c r="C703" s="97" t="str">
        <x:v>Wildfire</x:v>
      </x:c>
      <x:c r="D703" s="97" t="str">
        <x:v>Indonesia</x:v>
      </x:c>
      <x:c r="E703" s="98" t="n">
        <x:v>3.322449564493516</x:v>
      </x:c>
      <x:c r="F703" s="99" t="n">
        <x:v>634.8017704535763</x:v>
      </x:c>
      <x:c r="G703" s="100" t="str">
        <x:f>XLOOKUP(D703,'Reference Tables'!$A$4:$A$23,'Reference Tables'!$B$4:$B$23,"Other")</x:f>
        <x:v>Asia Pacific</x:v>
      </x:c>
      <x:c r="H703" s="100" t="str">
        <x:f>VLOOKUP(G703,'Reference Tables'!$I$4:$J$9,2,FALSE)</x:f>
        <x:v>High</x:v>
      </x:c>
      <x:c r="I703" s="101" t="n">
        <x:f>F703*'Inputs &amp; Guide'!$B$4*XLOOKUP(D703,'Reference Tables'!$A$4:$A$23,'Reference Tables'!$C$4:$C$23,0.75)</x:f>
        <x:v>104.61533177074939</x:v>
      </x:c>
      <x:c r="J703" s="102" t="n">
        <x:f>XLOOKUP(C703,'Reference Tables'!$E$4:$E$12,'Reference Tables'!$F$4:$F$12,0.05)</x:f>
        <x:v>0.1</x:v>
      </x:c>
      <x:c r="K703" s="103" t="n">
        <x:f>MIN(I703,F703*J703)</x:f>
        <x:v>63.480177045357635</x:v>
      </x:c>
      <x:c r="L703" s="103" t="n">
        <x:f>'Inputs &amp; Guide'!$B$5</x:f>
        <x:v>15</x:v>
      </x:c>
      <x:c r="M703" s="103" t="n">
        <x:f>I703*'Inputs &amp; Guide'!$B$6</x:f>
        <x:v>57.538432473912174</x:v>
      </x:c>
      <x:c r="N703" s="103" t="n">
        <x:f>MAX(0,MIN(K703-L703,M703))</x:f>
        <x:v>48.480177045357635</x:v>
      </x:c>
      <x:c r="O703" s="103" t="n">
        <x:f>MAX(0,N703-'Inputs &amp; Guide'!$B$7)</x:f>
        <x:v>0</x:v>
      </x:c>
      <x:c r="P703" s="103" t="n">
        <x:f>N703-O703</x:f>
        <x:v>48.480177045357635</x:v>
      </x:c>
      <x:c r="Q703" s="103" t="n">
        <x:f>I703*'Inputs &amp; Guide'!$B$8</x:f>
        <x:v>1.8830759718734889</x:v>
      </x:c>
      <x:c r="R703" s="104" t="n">
        <x:f>IFERROR(P703/Q703,0)</x:f>
        <x:v>25.7452050631416</x:v>
      </x:c>
      <x:c r="S703" s="105" t="n">
        <x:f>ROUND(E703*XLOOKUP(C703,'Reference Tables'!$E$4:$E$12,'Reference Tables'!$G$4:$G$12,1),1)</x:f>
        <x:v>3.8</x:v>
      </x:c>
      <x:c r="T703" s="106" t="str">
        <x:f>IF(R703&gt;='Inputs &amp; Guide'!$B$9,"HIGH",IF(R703&gt;=0.45,"WATCH","NORMAL"))</x:f>
        <x:v>HIGH</x:v>
      </x:c>
    </x:row>
    <x:row r="704">
      <x:c r="A704" s="95" t="n">
        <x:v>5601</x:v>
      </x:c>
      <x:c r="B704" s="96" t="n">
        <x:v>45525.104166666664</x:v>
      </x:c>
      <x:c r="C704" s="97" t="str">
        <x:v>Flood</x:v>
      </x:c>
      <x:c r="D704" s="97" t="str">
        <x:v>India</x:v>
      </x:c>
      <x:c r="E704" s="98" t="n">
        <x:v>5.410133678189536</x:v>
      </x:c>
      <x:c r="F704" s="99" t="n">
        <x:v>317.83324699542794</x:v>
      </x:c>
      <x:c r="G704" s="100" t="str">
        <x:f>XLOOKUP(D704,'Reference Tables'!$A$4:$A$23,'Reference Tables'!$B$4:$B$23,"Other")</x:f>
        <x:v>Asia Pacific</x:v>
      </x:c>
      <x:c r="H704" s="100" t="str">
        <x:f>VLOOKUP(G704,'Reference Tables'!$I$4:$J$9,2,FALSE)</x:f>
        <x:v>High</x:v>
      </x:c>
      <x:c r="I704" s="101" t="n">
        <x:f>F704*'Inputs &amp; Guide'!$B$4*XLOOKUP(D704,'Reference Tables'!$A$4:$A$23,'Reference Tables'!$C$4:$C$23,0.75)</x:f>
        <x:v>46.27652076253431</x:v>
      </x:c>
      <x:c r="J704" s="102" t="n">
        <x:f>XLOOKUP(C704,'Reference Tables'!$E$4:$E$12,'Reference Tables'!$F$4:$F$12,0.05)</x:f>
        <x:v>0.12</x:v>
      </x:c>
      <x:c r="K704" s="103" t="n">
        <x:f>MIN(I704,F704*J704)</x:f>
        <x:v>38.13998963945135</x:v>
      </x:c>
      <x:c r="L704" s="103" t="n">
        <x:f>'Inputs &amp; Guide'!$B$5</x:f>
        <x:v>15</x:v>
      </x:c>
      <x:c r="M704" s="103" t="n">
        <x:f>I704*'Inputs &amp; Guide'!$B$6</x:f>
        <x:v>25.452086419393872</x:v>
      </x:c>
      <x:c r="N704" s="103" t="n">
        <x:f>MAX(0,MIN(K704-L704,M704))</x:f>
        <x:v>23.13998963945135</x:v>
      </x:c>
      <x:c r="O704" s="103" t="n">
        <x:f>MAX(0,N704-'Inputs &amp; Guide'!$B$7)</x:f>
        <x:v>0</x:v>
      </x:c>
      <x:c r="P704" s="103" t="n">
        <x:f>N704-O704</x:f>
        <x:v>23.13998963945135</x:v>
      </x:c>
      <x:c r="Q704" s="103" t="n">
        <x:f>I704*'Inputs &amp; Guide'!$B$8</x:f>
        <x:v>0.8329773737256175</x:v>
      </x:c>
      <x:c r="R704" s="104" t="n">
        <x:f>IFERROR(P704/Q704,0)</x:f>
        <x:v>27.779853774363932</x:v>
      </x:c>
      <x:c r="S704" s="105" t="n">
        <x:f>ROUND(E704*XLOOKUP(C704,'Reference Tables'!$E$4:$E$12,'Reference Tables'!$G$4:$G$12,1),1)</x:f>
        <x:v>6.8</x:v>
      </x:c>
      <x:c r="T704" s="106" t="str">
        <x:f>IF(R704&gt;='Inputs &amp; Guide'!$B$9,"HIGH",IF(R704&gt;=0.45,"WATCH","NORMAL"))</x:f>
        <x:v>HIGH</x:v>
      </x:c>
    </x:row>
    <x:row r="705">
      <x:c r="A705" s="95" t="n">
        <x:v>5609</x:v>
      </x:c>
      <x:c r="B705" s="96" t="n">
        <x:v>45525.4375</x:v>
      </x:c>
      <x:c r="C705" s="97" t="str">
        <x:v>Tornado</x:v>
      </x:c>
      <x:c r="D705" s="97" t="str">
        <x:v>India</x:v>
      </x:c>
      <x:c r="E705" s="98" t="n">
        <x:v>3.637776858787803</x:v>
      </x:c>
      <x:c r="F705" s="99" t="n">
        <x:v>731.049756586343</x:v>
      </x:c>
      <x:c r="G705" s="100" t="str">
        <x:f>XLOOKUP(D705,'Reference Tables'!$A$4:$A$23,'Reference Tables'!$B$4:$B$23,"Other")</x:f>
        <x:v>Asia Pacific</x:v>
      </x:c>
      <x:c r="H705" s="100" t="str">
        <x:f>VLOOKUP(G705,'Reference Tables'!$I$4:$J$9,2,FALSE)</x:f>
        <x:v>High</x:v>
      </x:c>
      <x:c r="I705" s="101" t="n">
        <x:f>F705*'Inputs &amp; Guide'!$B$4*XLOOKUP(D705,'Reference Tables'!$A$4:$A$23,'Reference Tables'!$C$4:$C$23,0.75)</x:f>
        <x:v>106.44084455897155</x:v>
      </x:c>
      <x:c r="J705" s="102" t="n">
        <x:f>XLOOKUP(C705,'Reference Tables'!$E$4:$E$12,'Reference Tables'!$F$4:$F$12,0.05)</x:f>
        <x:v>0.09</x:v>
      </x:c>
      <x:c r="K705" s="103" t="n">
        <x:f>MIN(I705,F705*J705)</x:f>
        <x:v>65.79447809277087</x:v>
      </x:c>
      <x:c r="L705" s="103" t="n">
        <x:f>'Inputs &amp; Guide'!$B$5</x:f>
        <x:v>15</x:v>
      </x:c>
      <x:c r="M705" s="103" t="n">
        <x:f>I705*'Inputs &amp; Guide'!$B$6</x:f>
        <x:v>58.54246450743435</x:v>
      </x:c>
      <x:c r="N705" s="103" t="n">
        <x:f>MAX(0,MIN(K705-L705,M705))</x:f>
        <x:v>50.79447809277087</x:v>
      </x:c>
      <x:c r="O705" s="103" t="n">
        <x:f>MAX(0,N705-'Inputs &amp; Guide'!$B$7)</x:f>
        <x:v>0</x:v>
      </x:c>
      <x:c r="P705" s="103" t="n">
        <x:f>N705-O705</x:f>
        <x:v>50.79447809277087</x:v>
      </x:c>
      <x:c r="Q705" s="103" t="n">
        <x:f>I705*'Inputs &amp; Guide'!$B$8</x:f>
        <x:v>1.9159352020614877</x:v>
      </x:c>
      <x:c r="R705" s="104" t="n">
        <x:f>IFERROR(P705/Q705,0)</x:f>
        <x:v>26.511584545300682</x:v>
      </x:c>
      <x:c r="S705" s="105" t="n">
        <x:f>ROUND(E705*XLOOKUP(C705,'Reference Tables'!$E$4:$E$12,'Reference Tables'!$G$4:$G$12,1),1)</x:f>
        <x:v>3.8</x:v>
      </x:c>
      <x:c r="T705" s="106" t="str">
        <x:f>IF(R705&gt;='Inputs &amp; Guide'!$B$9,"HIGH",IF(R705&gt;=0.45,"WATCH","NORMAL"))</x:f>
        <x:v>HIGH</x:v>
      </x:c>
    </x:row>
    <x:row r="706">
      <x:c r="A706" s="95" t="n">
        <x:v>5617</x:v>
      </x:c>
      <x:c r="B706" s="96" t="n">
        <x:v>45526</x:v>
      </x:c>
      <x:c r="C706" s="97" t="str">
        <x:v>Hurricane</x:v>
      </x:c>
      <x:c r="D706" s="97" t="str">
        <x:v>USA</x:v>
      </x:c>
      <x:c r="E706" s="98" t="n">
        <x:v>5.420370412513801</x:v>
      </x:c>
      <x:c r="F706" s="99" t="n">
        <x:v>418.842528227739</x:v>
      </x:c>
      <x:c r="G706" s="100" t="str">
        <x:f>XLOOKUP(D706,'Reference Tables'!$A$4:$A$23,'Reference Tables'!$B$4:$B$23,"Other")</x:f>
        <x:v>Other</x:v>
      </x:c>
      <x:c r="H706" s="100" t="str">
        <x:f>VLOOKUP(G706,'Reference Tables'!$I$4:$J$9,2,FALSE)</x:f>
        <x:v>Moderate</x:v>
      </x:c>
      <x:c r="I706" s="101" t="n">
        <x:f>F706*'Inputs &amp; Guide'!$B$4*XLOOKUP(D706,'Reference Tables'!$A$4:$A$23,'Reference Tables'!$C$4:$C$23,0.75)</x:f>
        <x:v>50.26110338732869</x:v>
      </x:c>
      <x:c r="J706" s="102" t="n">
        <x:f>XLOOKUP(C706,'Reference Tables'!$E$4:$E$12,'Reference Tables'!$F$4:$F$12,0.05)</x:f>
        <x:v>0.18</x:v>
      </x:c>
      <x:c r="K706" s="103" t="n">
        <x:f>MIN(I706,F706*J706)</x:f>
        <x:v>50.26110338732869</x:v>
      </x:c>
      <x:c r="L706" s="103" t="n">
        <x:f>'Inputs &amp; Guide'!$B$5</x:f>
        <x:v>15</x:v>
      </x:c>
      <x:c r="M706" s="103" t="n">
        <x:f>I706*'Inputs &amp; Guide'!$B$6</x:f>
        <x:v>27.64360686303078</x:v>
      </x:c>
      <x:c r="N706" s="103" t="n">
        <x:f>MAX(0,MIN(K706-L706,M706))</x:f>
        <x:v>27.64360686303078</x:v>
      </x:c>
      <x:c r="O706" s="103" t="n">
        <x:f>MAX(0,N706-'Inputs &amp; Guide'!$B$7)</x:f>
        <x:v>0</x:v>
      </x:c>
      <x:c r="P706" s="103" t="n">
        <x:f>N706-O706</x:f>
        <x:v>27.64360686303078</x:v>
      </x:c>
      <x:c r="Q706" s="103" t="n">
        <x:f>I706*'Inputs &amp; Guide'!$B$8</x:f>
        <x:v>0.9046998609719163</x:v>
      </x:c>
      <x:c r="R706" s="104" t="n">
        <x:f>IFERROR(P706/Q706,0)</x:f>
        <x:v>30.555555555555557</x:v>
      </x:c>
      <x:c r="S706" s="105" t="n">
        <x:f>ROUND(E706*XLOOKUP(C706,'Reference Tables'!$E$4:$E$12,'Reference Tables'!$G$4:$G$12,1),1)</x:f>
        <x:v>7.6</x:v>
      </x:c>
      <x:c r="T706" s="106" t="str">
        <x:f>IF(R706&gt;='Inputs &amp; Guide'!$B$9,"HIGH",IF(R706&gt;=0.45,"WATCH","NORMAL"))</x:f>
        <x:v>HIGH</x:v>
      </x:c>
    </x:row>
    <x:row r="707">
      <x:c r="A707" s="95" t="n">
        <x:v>5625</x:v>
      </x:c>
      <x:c r="B707" s="96" t="n">
        <x:v>45526.104166666664</x:v>
      </x:c>
      <x:c r="C707" s="97" t="str">
        <x:v>Tornado</x:v>
      </x:c>
      <x:c r="D707" s="97" t="str">
        <x:v>China</x:v>
      </x:c>
      <x:c r="E707" s="98" t="n">
        <x:v>6.009042129733112</x:v>
      </x:c>
      <x:c r="F707" s="99" t="n">
        <x:v>774.7485550005933</x:v>
      </x:c>
      <x:c r="G707" s="100" t="str">
        <x:f>XLOOKUP(D707,'Reference Tables'!$A$4:$A$23,'Reference Tables'!$B$4:$B$23,"Other")</x:f>
        <x:v>Asia Pacific</x:v>
      </x:c>
      <x:c r="H707" s="100" t="str">
        <x:f>VLOOKUP(G707,'Reference Tables'!$I$4:$J$9,2,FALSE)</x:f>
        <x:v>High</x:v>
      </x:c>
      <x:c r="I707" s="101" t="n">
        <x:f>F707*'Inputs &amp; Guide'!$B$4*XLOOKUP(D707,'Reference Tables'!$A$4:$A$23,'Reference Tables'!$C$4:$C$23,0.75)</x:f>
        <x:v>133.87655030410255</x:v>
      </x:c>
      <x:c r="J707" s="102" t="n">
        <x:f>XLOOKUP(C707,'Reference Tables'!$E$4:$E$12,'Reference Tables'!$F$4:$F$12,0.05)</x:f>
        <x:v>0.09</x:v>
      </x:c>
      <x:c r="K707" s="103" t="n">
        <x:f>MIN(I707,F707*J707)</x:f>
        <x:v>69.7273699500534</x:v>
      </x:c>
      <x:c r="L707" s="103" t="n">
        <x:f>'Inputs &amp; Guide'!$B$5</x:f>
        <x:v>15</x:v>
      </x:c>
      <x:c r="M707" s="103" t="n">
        <x:f>I707*'Inputs &amp; Guide'!$B$6</x:f>
        <x:v>73.6321026672564</x:v>
      </x:c>
      <x:c r="N707" s="103" t="n">
        <x:f>MAX(0,MIN(K707-L707,M707))</x:f>
        <x:v>54.7273699500534</x:v>
      </x:c>
      <x:c r="O707" s="103" t="n">
        <x:f>MAX(0,N707-'Inputs &amp; Guide'!$B$7)</x:f>
        <x:v>0</x:v>
      </x:c>
      <x:c r="P707" s="103" t="n">
        <x:f>N707-O707</x:f>
        <x:v>54.7273699500534</x:v>
      </x:c>
      <x:c r="Q707" s="103" t="n">
        <x:f>I707*'Inputs &amp; Guide'!$B$8</x:f>
        <x:v>2.4097779054738457</x:v>
      </x:c>
      <x:c r="R707" s="104" t="n">
        <x:f>IFERROR(P707/Q707,0)</x:f>
        <x:v>22.710545160921004</x:v>
      </x:c>
      <x:c r="S707" s="105" t="n">
        <x:f>ROUND(E707*XLOOKUP(C707,'Reference Tables'!$E$4:$E$12,'Reference Tables'!$G$4:$G$12,1),1)</x:f>
        <x:v>6.3</x:v>
      </x:c>
      <x:c r="T707" s="106" t="str">
        <x:f>IF(R707&gt;='Inputs &amp; Guide'!$B$9,"HIGH",IF(R707&gt;=0.45,"WATCH","NORMAL"))</x:f>
        <x:v>HIGH</x:v>
      </x:c>
    </x:row>
    <x:row r="708">
      <x:c r="A708" s="95" t="n">
        <x:v>5633</x:v>
      </x:c>
      <x:c r="B708" s="96" t="n">
        <x:v>45526.4375</x:v>
      </x:c>
      <x:c r="C708" s="97" t="str">
        <x:v>Tornado</x:v>
      </x:c>
      <x:c r="D708" s="97" t="str">
        <x:v>Japan</x:v>
      </x:c>
      <x:c r="E708" s="98" t="n">
        <x:v>7.148148844208378</x:v>
      </x:c>
      <x:c r="F708" s="99" t="n">
        <x:v>318.87798659451875</x:v>
      </x:c>
      <x:c r="G708" s="100" t="str">
        <x:f>XLOOKUP(D708,'Reference Tables'!$A$4:$A$23,'Reference Tables'!$B$4:$B$23,"Other")</x:f>
        <x:v>Asia Pacific</x:v>
      </x:c>
      <x:c r="H708" s="100" t="str">
        <x:f>VLOOKUP(G708,'Reference Tables'!$I$4:$J$9,2,FALSE)</x:f>
        <x:v>High</x:v>
      </x:c>
      <x:c r="I708" s="101" t="n">
        <x:f>F708*'Inputs &amp; Guide'!$B$4*XLOOKUP(D708,'Reference Tables'!$A$4:$A$23,'Reference Tables'!$C$4:$C$23,0.75)</x:f>
        <x:v>60.20416386904513</x:v>
      </x:c>
      <x:c r="J708" s="102" t="n">
        <x:f>XLOOKUP(C708,'Reference Tables'!$E$4:$E$12,'Reference Tables'!$F$4:$F$12,0.05)</x:f>
        <x:v>0.09</x:v>
      </x:c>
      <x:c r="K708" s="103" t="n">
        <x:f>MIN(I708,F708*J708)</x:f>
        <x:v>28.699018793506685</x:v>
      </x:c>
      <x:c r="L708" s="103" t="n">
        <x:f>'Inputs &amp; Guide'!$B$5</x:f>
        <x:v>15</x:v>
      </x:c>
      <x:c r="M708" s="103" t="n">
        <x:f>I708*'Inputs &amp; Guide'!$B$6</x:f>
        <x:v>33.11229012797482</x:v>
      </x:c>
      <x:c r="N708" s="103" t="n">
        <x:f>MAX(0,MIN(K708-L708,M708))</x:f>
        <x:v>13.699018793506685</x:v>
      </x:c>
      <x:c r="O708" s="103" t="n">
        <x:f>MAX(0,N708-'Inputs &amp; Guide'!$B$7)</x:f>
        <x:v>0</x:v>
      </x:c>
      <x:c r="P708" s="103" t="n">
        <x:f>N708-O708</x:f>
        <x:v>13.699018793506685</x:v>
      </x:c>
      <x:c r="Q708" s="103" t="n">
        <x:f>I708*'Inputs &amp; Guide'!$B$8</x:f>
        <x:v>1.0836749496428122</x:v>
      </x:c>
      <x:c r="R708" s="104" t="n">
        <x:f>IFERROR(P708/Q708,0)</x:f>
        <x:v>12.6412618451889</x:v>
      </x:c>
      <x:c r="S708" s="105" t="n">
        <x:f>ROUND(E708*XLOOKUP(C708,'Reference Tables'!$E$4:$E$12,'Reference Tables'!$G$4:$G$12,1),1)</x:f>
        <x:v>7.5</x:v>
      </x:c>
      <x:c r="T708" s="106" t="str">
        <x:f>IF(R708&gt;='Inputs &amp; Guide'!$B$9,"HIGH",IF(R708&gt;=0.45,"WATCH","NORMAL"))</x:f>
        <x:v>HIGH</x:v>
      </x:c>
    </x:row>
    <x:row r="709">
      <x:c r="A709" s="95" t="n">
        <x:v>5641</x:v>
      </x:c>
      <x:c r="B709" s="96" t="n">
        <x:v>45527</x:v>
      </x:c>
      <x:c r="C709" s="97" t="str">
        <x:v>Earthquake</x:v>
      </x:c>
      <x:c r="D709" s="97" t="str">
        <x:v>India</x:v>
      </x:c>
      <x:c r="E709" s="98" t="n">
        <x:v>3.510186111002308</x:v>
      </x:c>
      <x:c r="F709" s="99" t="n">
        <x:v>686.9309817192263</x:v>
      </x:c>
      <x:c r="G709" s="100" t="str">
        <x:f>XLOOKUP(D709,'Reference Tables'!$A$4:$A$23,'Reference Tables'!$B$4:$B$23,"Other")</x:f>
        <x:v>Asia Pacific</x:v>
      </x:c>
      <x:c r="H709" s="100" t="str">
        <x:f>VLOOKUP(G709,'Reference Tables'!$I$4:$J$9,2,FALSE)</x:f>
        <x:v>High</x:v>
      </x:c>
      <x:c r="I709" s="101" t="n">
        <x:f>F709*'Inputs &amp; Guide'!$B$4*XLOOKUP(D709,'Reference Tables'!$A$4:$A$23,'Reference Tables'!$C$4:$C$23,0.75)</x:f>
        <x:v>100.01715093831936</x:v>
      </x:c>
      <x:c r="J709" s="102" t="n">
        <x:f>XLOOKUP(C709,'Reference Tables'!$E$4:$E$12,'Reference Tables'!$F$4:$F$12,0.05)</x:f>
        <x:v>0.14</x:v>
      </x:c>
      <x:c r="K709" s="103" t="n">
        <x:f>MIN(I709,F709*J709)</x:f>
        <x:v>96.1703374406917</x:v>
      </x:c>
      <x:c r="L709" s="103" t="n">
        <x:f>'Inputs &amp; Guide'!$B$5</x:f>
        <x:v>15</x:v>
      </x:c>
      <x:c r="M709" s="103" t="n">
        <x:f>I709*'Inputs &amp; Guide'!$B$6</x:f>
        <x:v>55.009433016075654</x:v>
      </x:c>
      <x:c r="N709" s="103" t="n">
        <x:f>MAX(0,MIN(K709-L709,M709))</x:f>
        <x:v>55.009433016075654</x:v>
      </x:c>
      <x:c r="O709" s="103" t="n">
        <x:f>MAX(0,N709-'Inputs &amp; Guide'!$B$7)</x:f>
        <x:v>0</x:v>
      </x:c>
      <x:c r="P709" s="103" t="n">
        <x:f>N709-O709</x:f>
        <x:v>55.009433016075654</x:v>
      </x:c>
      <x:c r="Q709" s="103" t="n">
        <x:f>I709*'Inputs &amp; Guide'!$B$8</x:f>
        <x:v>1.8003087168897483</x:v>
      </x:c>
      <x:c r="R709" s="104" t="n">
        <x:f>IFERROR(P709/Q709,0)</x:f>
        <x:v>30.555555555555564</x:v>
      </x:c>
      <x:c r="S709" s="105" t="n">
        <x:f>ROUND(E709*XLOOKUP(C709,'Reference Tables'!$E$4:$E$12,'Reference Tables'!$G$4:$G$12,1),1)</x:f>
        <x:v>5.3</x:v>
      </x:c>
      <x:c r="T709" s="106" t="str">
        <x:f>IF(R709&gt;='Inputs &amp; Guide'!$B$9,"HIGH",IF(R709&gt;=0.45,"WATCH","NORMAL"))</x:f>
        <x:v>HIGH</x:v>
      </x:c>
    </x:row>
    <x:row r="710">
      <x:c r="A710" s="95" t="n">
        <x:v>5649</x:v>
      </x:c>
      <x:c r="B710" s="96" t="n">
        <x:v>45527.104166666664</x:v>
      </x:c>
      <x:c r="C710" s="97" t="str">
        <x:v>Earthquake</x:v>
      </x:c>
      <x:c r="D710" s="97" t="str">
        <x:v>Indonesia</x:v>
      </x:c>
      <x:c r="E710" s="98" t="n">
        <x:v>1.6510666792361217</x:v>
      </x:c>
      <x:c r="F710" s="99" t="n">
        <x:v>945.3538692773114</x:v>
      </x:c>
      <x:c r="G710" s="100" t="str">
        <x:f>XLOOKUP(D710,'Reference Tables'!$A$4:$A$23,'Reference Tables'!$B$4:$B$23,"Other")</x:f>
        <x:v>Asia Pacific</x:v>
      </x:c>
      <x:c r="H710" s="100" t="str">
        <x:f>VLOOKUP(G710,'Reference Tables'!$I$4:$J$9,2,FALSE)</x:f>
        <x:v>High</x:v>
      </x:c>
      <x:c r="I710" s="101" t="n">
        <x:f>F710*'Inputs &amp; Guide'!$B$4*XLOOKUP(D710,'Reference Tables'!$A$4:$A$23,'Reference Tables'!$C$4:$C$23,0.75)</x:f>
        <x:v>155.79431765690094</x:v>
      </x:c>
      <x:c r="J710" s="102" t="n">
        <x:f>XLOOKUP(C710,'Reference Tables'!$E$4:$E$12,'Reference Tables'!$F$4:$F$12,0.05)</x:f>
        <x:v>0.14</x:v>
      </x:c>
      <x:c r="K710" s="103" t="n">
        <x:f>MIN(I710,F710*J710)</x:f>
        <x:v>132.34954169882363</x:v>
      </x:c>
      <x:c r="L710" s="103" t="n">
        <x:f>'Inputs &amp; Guide'!$B$5</x:f>
        <x:v>15</x:v>
      </x:c>
      <x:c r="M710" s="103" t="n">
        <x:f>I710*'Inputs &amp; Guide'!$B$6</x:f>
        <x:v>85.68687471129553</x:v>
      </x:c>
      <x:c r="N710" s="103" t="n">
        <x:f>MAX(0,MIN(K710-L710,M710))</x:f>
        <x:v>85.68687471129553</x:v>
      </x:c>
      <x:c r="O710" s="103" t="n">
        <x:f>MAX(0,N710-'Inputs &amp; Guide'!$B$7)</x:f>
        <x:v>25.68687471129553</x:v>
      </x:c>
      <x:c r="P710" s="103" t="n">
        <x:f>N710-O710</x:f>
        <x:v>60</x:v>
      </x:c>
      <x:c r="Q710" s="103" t="n">
        <x:f>I710*'Inputs &amp; Guide'!$B$8</x:f>
        <x:v>2.804297717824217</x:v>
      </x:c>
      <x:c r="R710" s="104" t="n">
        <x:f>IFERROR(P710/Q710,0)</x:f>
        <x:v>21.3957311374744</x:v>
      </x:c>
      <x:c r="S710" s="105" t="n">
        <x:f>ROUND(E710*XLOOKUP(C710,'Reference Tables'!$E$4:$E$12,'Reference Tables'!$G$4:$G$12,1),1)</x:f>
        <x:v>2.5</x:v>
      </x:c>
      <x:c r="T710" s="106" t="str">
        <x:f>IF(R710&gt;='Inputs &amp; Guide'!$B$9,"HIGH",IF(R710&gt;=0.45,"WATCH","NORMAL"))</x:f>
        <x:v>HIGH</x:v>
      </x:c>
    </x:row>
    <x:row r="711">
      <x:c r="A711" s="95" t="n">
        <x:v>5657</x:v>
      </x:c>
      <x:c r="B711" s="96" t="n">
        <x:v>45527.4375</x:v>
      </x:c>
      <x:c r="C711" s="97" t="str">
        <x:v>Hurricane</x:v>
      </x:c>
      <x:c r="D711" s="97" t="str">
        <x:v>India</x:v>
      </x:c>
      <x:c r="E711" s="98" t="n">
        <x:v>8.672383616688997</x:v>
      </x:c>
      <x:c r="F711" s="99" t="n">
        <x:v>32.949624822031694</x:v>
      </x:c>
      <x:c r="G711" s="100" t="str">
        <x:f>XLOOKUP(D711,'Reference Tables'!$A$4:$A$23,'Reference Tables'!$B$4:$B$23,"Other")</x:f>
        <x:v>Asia Pacific</x:v>
      </x:c>
      <x:c r="H711" s="100" t="str">
        <x:f>VLOOKUP(G711,'Reference Tables'!$I$4:$J$9,2,FALSE)</x:f>
        <x:v>High</x:v>
      </x:c>
      <x:c r="I711" s="101" t="n">
        <x:f>F711*'Inputs &amp; Guide'!$B$4*XLOOKUP(D711,'Reference Tables'!$A$4:$A$23,'Reference Tables'!$C$4:$C$23,0.75)</x:f>
        <x:v>4.797465374087815</x:v>
      </x:c>
      <x:c r="J711" s="102" t="n">
        <x:f>XLOOKUP(C711,'Reference Tables'!$E$4:$E$12,'Reference Tables'!$F$4:$F$12,0.05)</x:f>
        <x:v>0.18</x:v>
      </x:c>
      <x:c r="K711" s="103" t="n">
        <x:f>MIN(I711,F711*J711)</x:f>
        <x:v>4.797465374087815</x:v>
      </x:c>
      <x:c r="L711" s="103" t="n">
        <x:f>'Inputs &amp; Guide'!$B$5</x:f>
        <x:v>15</x:v>
      </x:c>
      <x:c r="M711" s="103" t="n">
        <x:f>I711*'Inputs &amp; Guide'!$B$6</x:f>
        <x:v>2.6386059557482984</x:v>
      </x:c>
      <x:c r="N711" s="103" t="n">
        <x:f>MAX(0,MIN(K711-L711,M711))</x:f>
        <x:v>0</x:v>
      </x:c>
      <x:c r="O711" s="103" t="n">
        <x:f>MAX(0,N711-'Inputs &amp; Guide'!$B$7)</x:f>
        <x:v>0</x:v>
      </x:c>
      <x:c r="P711" s="103" t="n">
        <x:f>N711-O711</x:f>
        <x:v>0</x:v>
      </x:c>
      <x:c r="Q711" s="103" t="n">
        <x:f>I711*'Inputs &amp; Guide'!$B$8</x:f>
        <x:v>0.08635437673358067</x:v>
      </x:c>
      <x:c r="R711" s="104" t="n">
        <x:f>IFERROR(P711/Q711,0)</x:f>
        <x:v>0</x:v>
      </x:c>
      <x:c r="S711" s="105" t="n">
        <x:f>ROUND(E711*XLOOKUP(C711,'Reference Tables'!$E$4:$E$12,'Reference Tables'!$G$4:$G$12,1),1)</x:f>
        <x:v>12.1</x:v>
      </x:c>
      <x:c r="T711" s="106" t="str">
        <x:f>IF(R711&gt;='Inputs &amp; Guide'!$B$9,"HIGH",IF(R711&gt;=0.45,"WATCH","NORMAL"))</x:f>
        <x:v>NORMAL</x:v>
      </x:c>
    </x:row>
    <x:row r="712">
      <x:c r="A712" s="95" t="n">
        <x:v>5665</x:v>
      </x:c>
      <x:c r="B712" s="96" t="n">
        <x:v>45528</x:v>
      </x:c>
      <x:c r="C712" s="97" t="str">
        <x:v>Tornado</x:v>
      </x:c>
      <x:c r="D712" s="97" t="str">
        <x:v>China</x:v>
      </x:c>
      <x:c r="E712" s="98" t="n">
        <x:v>5.742742949431754</x:v>
      </x:c>
      <x:c r="F712" s="99" t="n">
        <x:v>583.1531353263405</x:v>
      </x:c>
      <x:c r="G712" s="100" t="str">
        <x:f>XLOOKUP(D712,'Reference Tables'!$A$4:$A$23,'Reference Tables'!$B$4:$B$23,"Other")</x:f>
        <x:v>Asia Pacific</x:v>
      </x:c>
      <x:c r="H712" s="100" t="str">
        <x:f>VLOOKUP(G712,'Reference Tables'!$I$4:$J$9,2,FALSE)</x:f>
        <x:v>High</x:v>
      </x:c>
      <x:c r="I712" s="101" t="n">
        <x:f>F712*'Inputs &amp; Guide'!$B$4*XLOOKUP(D712,'Reference Tables'!$A$4:$A$23,'Reference Tables'!$C$4:$C$23,0.75)</x:f>
        <x:v>100.76886178439165</x:v>
      </x:c>
      <x:c r="J712" s="102" t="n">
        <x:f>XLOOKUP(C712,'Reference Tables'!$E$4:$E$12,'Reference Tables'!$F$4:$F$12,0.05)</x:f>
        <x:v>0.09</x:v>
      </x:c>
      <x:c r="K712" s="103" t="n">
        <x:f>MIN(I712,F712*J712)</x:f>
        <x:v>52.48378217937064</x:v>
      </x:c>
      <x:c r="L712" s="103" t="n">
        <x:f>'Inputs &amp; Guide'!$B$5</x:f>
        <x:v>15</x:v>
      </x:c>
      <x:c r="M712" s="103" t="n">
        <x:f>I712*'Inputs &amp; Guide'!$B$6</x:f>
        <x:v>55.42287398141541</x:v>
      </x:c>
      <x:c r="N712" s="103" t="n">
        <x:f>MAX(0,MIN(K712-L712,M712))</x:f>
        <x:v>37.48378217937064</x:v>
      </x:c>
      <x:c r="O712" s="103" t="n">
        <x:f>MAX(0,N712-'Inputs &amp; Guide'!$B$7)</x:f>
        <x:v>0</x:v>
      </x:c>
      <x:c r="P712" s="103" t="n">
        <x:f>N712-O712</x:f>
        <x:v>37.48378217937064</x:v>
      </x:c>
      <x:c r="Q712" s="103" t="n">
        <x:f>I712*'Inputs &amp; Guide'!$B$8</x:f>
        <x:v>1.8138395121190496</x:v>
      </x:c>
      <x:c r="R712" s="104" t="n">
        <x:f>IFERROR(P712/Q712,0)</x:f>
        <x:v>20.665434802211117</x:v>
      </x:c>
      <x:c r="S712" s="105" t="n">
        <x:f>ROUND(E712*XLOOKUP(C712,'Reference Tables'!$E$4:$E$12,'Reference Tables'!$G$4:$G$12,1),1)</x:f>
        <x:v>6</x:v>
      </x:c>
      <x:c r="T712" s="106" t="str">
        <x:f>IF(R712&gt;='Inputs &amp; Guide'!$B$9,"HIGH",IF(R712&gt;=0.45,"WATCH","NORMAL"))</x:f>
        <x:v>HIGH</x:v>
      </x:c>
    </x:row>
    <x:row r="713">
      <x:c r="A713" s="95" t="n">
        <x:v>5673</x:v>
      </x:c>
      <x:c r="B713" s="96" t="n">
        <x:v>45528.104166666664</x:v>
      </x:c>
      <x:c r="C713" s="97" t="str">
        <x:v>Tornado</x:v>
      </x:c>
      <x:c r="D713" s="97" t="str">
        <x:v>Indonesia</x:v>
      </x:c>
      <x:c r="E713" s="98" t="n">
        <x:v>1.366184672021963</x:v>
      </x:c>
      <x:c r="F713" s="99" t="n">
        <x:v>775.3852928441028</x:v>
      </x:c>
      <x:c r="G713" s="100" t="str">
        <x:f>XLOOKUP(D713,'Reference Tables'!$A$4:$A$23,'Reference Tables'!$B$4:$B$23,"Other")</x:f>
        <x:v>Asia Pacific</x:v>
      </x:c>
      <x:c r="H713" s="100" t="str">
        <x:f>VLOOKUP(G713,'Reference Tables'!$I$4:$J$9,2,FALSE)</x:f>
        <x:v>High</x:v>
      </x:c>
      <x:c r="I713" s="101" t="n">
        <x:f>F713*'Inputs &amp; Guide'!$B$4*XLOOKUP(D713,'Reference Tables'!$A$4:$A$23,'Reference Tables'!$C$4:$C$23,0.75)</x:f>
        <x:v>127.78349626070815</x:v>
      </x:c>
      <x:c r="J713" s="102" t="n">
        <x:f>XLOOKUP(C713,'Reference Tables'!$E$4:$E$12,'Reference Tables'!$F$4:$F$12,0.05)</x:f>
        <x:v>0.09</x:v>
      </x:c>
      <x:c r="K713" s="103" t="n">
        <x:f>MIN(I713,F713*J713)</x:f>
        <x:v>69.78467635596924</x:v>
      </x:c>
      <x:c r="L713" s="103" t="n">
        <x:f>'Inputs &amp; Guide'!$B$5</x:f>
        <x:v>15</x:v>
      </x:c>
      <x:c r="M713" s="103" t="n">
        <x:f>I713*'Inputs &amp; Guide'!$B$6</x:f>
        <x:v>70.28092294338948</x:v>
      </x:c>
      <x:c r="N713" s="103" t="n">
        <x:f>MAX(0,MIN(K713-L713,M713))</x:f>
        <x:v>54.78467635596924</x:v>
      </x:c>
      <x:c r="O713" s="103" t="n">
        <x:f>MAX(0,N713-'Inputs &amp; Guide'!$B$7)</x:f>
        <x:v>0</x:v>
      </x:c>
      <x:c r="P713" s="103" t="n">
        <x:f>N713-O713</x:f>
        <x:v>54.78467635596924</x:v>
      </x:c>
      <x:c r="Q713" s="103" t="n">
        <x:f>I713*'Inputs &amp; Guide'!$B$8</x:f>
        <x:v>2.3001029326927465</x:v>
      </x:c>
      <x:c r="R713" s="104" t="n">
        <x:f>IFERROR(P713/Q713,0)</x:f>
        <x:v>23.81835855138554</x:v>
      </x:c>
      <x:c r="S713" s="105" t="n">
        <x:f>ROUND(E713*XLOOKUP(C713,'Reference Tables'!$E$4:$E$12,'Reference Tables'!$G$4:$G$12,1),1)</x:f>
        <x:v>1.4</x:v>
      </x:c>
      <x:c r="T713" s="106" t="str">
        <x:f>IF(R713&gt;='Inputs &amp; Guide'!$B$9,"HIGH",IF(R713&gt;=0.45,"WATCH","NORMAL"))</x:f>
        <x:v>HIGH</x:v>
      </x:c>
    </x:row>
    <x:row r="714">
      <x:c r="A714" s="95" t="n">
        <x:v>5681</x:v>
      </x:c>
      <x:c r="B714" s="96" t="n">
        <x:v>45528.4375</x:v>
      </x:c>
      <x:c r="C714" s="97" t="str">
        <x:v>Flood</x:v>
      </x:c>
      <x:c r="D714" s="97" t="str">
        <x:v>Brazil</x:v>
      </x:c>
      <x:c r="E714" s="98" t="n">
        <x:v>6.685410011623808</x:v>
      </x:c>
      <x:c r="F714" s="99" t="n">
        <x:v>940.5835926779721</x:v>
      </x:c>
      <x:c r="G714" s="100" t="str">
        <x:f>XLOOKUP(D714,'Reference Tables'!$A$4:$A$23,'Reference Tables'!$B$4:$B$23,"Other")</x:f>
        <x:v>Latin America</x:v>
      </x:c>
      <x:c r="H714" s="100" t="str">
        <x:f>VLOOKUP(G714,'Reference Tables'!$I$4:$J$9,2,FALSE)</x:f>
        <x:v>Moderate</x:v>
      </x:c>
      <x:c r="I714" s="101" t="n">
        <x:f>F714*'Inputs &amp; Guide'!$B$4*XLOOKUP(D714,'Reference Tables'!$A$4:$A$23,'Reference Tables'!$C$4:$C$23,0.75)</x:f>
        <x:v>123.40456735934994</x:v>
      </x:c>
      <x:c r="J714" s="102" t="n">
        <x:f>XLOOKUP(C714,'Reference Tables'!$E$4:$E$12,'Reference Tables'!$F$4:$F$12,0.05)</x:f>
        <x:v>0.12</x:v>
      </x:c>
      <x:c r="K714" s="103" t="n">
        <x:f>MIN(I714,F714*J714)</x:f>
        <x:v>112.87003112135665</x:v>
      </x:c>
      <x:c r="L714" s="103" t="n">
        <x:f>'Inputs &amp; Guide'!$B$5</x:f>
        <x:v>15</x:v>
      </x:c>
      <x:c r="M714" s="103" t="n">
        <x:f>I714*'Inputs &amp; Guide'!$B$6</x:f>
        <x:v>67.87251204764247</x:v>
      </x:c>
      <x:c r="N714" s="103" t="n">
        <x:f>MAX(0,MIN(K714-L714,M714))</x:f>
        <x:v>67.87251204764247</x:v>
      </x:c>
      <x:c r="O714" s="103" t="n">
        <x:f>MAX(0,N714-'Inputs &amp; Guide'!$B$7)</x:f>
        <x:v>7.8725120476424735</x:v>
      </x:c>
      <x:c r="P714" s="103" t="n">
        <x:f>N714-O714</x:f>
        <x:v>60</x:v>
      </x:c>
      <x:c r="Q714" s="103" t="n">
        <x:f>I714*'Inputs &amp; Guide'!$B$8</x:f>
        <x:v>2.221282212468299</x:v>
      </x:c>
      <x:c r="R714" s="104" t="n">
        <x:f>IFERROR(P714/Q714,0)</x:f>
        <x:v>27.011425951737905</x:v>
      </x:c>
      <x:c r="S714" s="105" t="n">
        <x:f>ROUND(E714*XLOOKUP(C714,'Reference Tables'!$E$4:$E$12,'Reference Tables'!$G$4:$G$12,1),1)</x:f>
        <x:v>8.4</x:v>
      </x:c>
      <x:c r="T714" s="106" t="str">
        <x:f>IF(R714&gt;='Inputs &amp; Guide'!$B$9,"HIGH",IF(R714&gt;=0.45,"WATCH","NORMAL"))</x:f>
        <x:v>HIGH</x:v>
      </x:c>
    </x:row>
    <x:row r="715">
      <x:c r="A715" s="95" t="n">
        <x:v>5689</x:v>
      </x:c>
      <x:c r="B715" s="96" t="n">
        <x:v>45529</x:v>
      </x:c>
      <x:c r="C715" s="97" t="str">
        <x:v>Flood</x:v>
      </x:c>
      <x:c r="D715" s="97" t="str">
        <x:v>China</x:v>
      </x:c>
      <x:c r="E715" s="98" t="n">
        <x:v>4.212478875357302</x:v>
      </x:c>
      <x:c r="F715" s="99" t="n">
        <x:v>909.3583291346947</x:v>
      </x:c>
      <x:c r="G715" s="100" t="str">
        <x:f>XLOOKUP(D715,'Reference Tables'!$A$4:$A$23,'Reference Tables'!$B$4:$B$23,"Other")</x:f>
        <x:v>Asia Pacific</x:v>
      </x:c>
      <x:c r="H715" s="100" t="str">
        <x:f>VLOOKUP(G715,'Reference Tables'!$I$4:$J$9,2,FALSE)</x:f>
        <x:v>High</x:v>
      </x:c>
      <x:c r="I715" s="101" t="n">
        <x:f>F715*'Inputs &amp; Guide'!$B$4*XLOOKUP(D715,'Reference Tables'!$A$4:$A$23,'Reference Tables'!$C$4:$C$23,0.75)</x:f>
        <x:v>157.13711927447525</x:v>
      </x:c>
      <x:c r="J715" s="102" t="n">
        <x:f>XLOOKUP(C715,'Reference Tables'!$E$4:$E$12,'Reference Tables'!$F$4:$F$12,0.05)</x:f>
        <x:v>0.12</x:v>
      </x:c>
      <x:c r="K715" s="103" t="n">
        <x:f>MIN(I715,F715*J715)</x:f>
        <x:v>109.12299949616336</x:v>
      </x:c>
      <x:c r="L715" s="103" t="n">
        <x:f>'Inputs &amp; Guide'!$B$5</x:f>
        <x:v>15</x:v>
      </x:c>
      <x:c r="M715" s="103" t="n">
        <x:f>I715*'Inputs &amp; Guide'!$B$6</x:f>
        <x:v>86.4254156009614</x:v>
      </x:c>
      <x:c r="N715" s="103" t="n">
        <x:f>MAX(0,MIN(K715-L715,M715))</x:f>
        <x:v>86.4254156009614</x:v>
      </x:c>
      <x:c r="O715" s="103" t="n">
        <x:f>MAX(0,N715-'Inputs &amp; Guide'!$B$7)</x:f>
        <x:v>26.4254156009614</x:v>
      </x:c>
      <x:c r="P715" s="103" t="n">
        <x:f>N715-O715</x:f>
        <x:v>60</x:v>
      </x:c>
      <x:c r="Q715" s="103" t="n">
        <x:f>I715*'Inputs &amp; Guide'!$B$8</x:f>
        <x:v>2.8284681469405544</x:v>
      </x:c>
      <x:c r="R715" s="104" t="n">
        <x:f>IFERROR(P715/Q715,0)</x:f>
        <x:v>21.21289577360088</x:v>
      </x:c>
      <x:c r="S715" s="105" t="n">
        <x:f>ROUND(E715*XLOOKUP(C715,'Reference Tables'!$E$4:$E$12,'Reference Tables'!$G$4:$G$12,1),1)</x:f>
        <x:v>5.3</x:v>
      </x:c>
      <x:c r="T715" s="106" t="str">
        <x:f>IF(R715&gt;='Inputs &amp; Guide'!$B$9,"HIGH",IF(R715&gt;=0.45,"WATCH","NORMAL"))</x:f>
        <x:v>HIGH</x:v>
      </x:c>
    </x:row>
    <x:row r="716">
      <x:c r="A716" s="95" t="n">
        <x:v>5697</x:v>
      </x:c>
      <x:c r="B716" s="96" t="n">
        <x:v>45529.104166666664</x:v>
      </x:c>
      <x:c r="C716" s="97" t="str">
        <x:v>Wildfire</x:v>
      </x:c>
      <x:c r="D716" s="97" t="str">
        <x:v>Brazil</x:v>
      </x:c>
      <x:c r="E716" s="98" t="n">
        <x:v>2.1994741087179284</x:v>
      </x:c>
      <x:c r="F716" s="99" t="n">
        <x:v>720.5972678527523</x:v>
      </x:c>
      <x:c r="G716" s="100" t="str">
        <x:f>XLOOKUP(D716,'Reference Tables'!$A$4:$A$23,'Reference Tables'!$B$4:$B$23,"Other")</x:f>
        <x:v>Latin America</x:v>
      </x:c>
      <x:c r="H716" s="100" t="str">
        <x:f>VLOOKUP(G716,'Reference Tables'!$I$4:$J$9,2,FALSE)</x:f>
        <x:v>Moderate</x:v>
      </x:c>
      <x:c r="I716" s="101" t="n">
        <x:f>F716*'Inputs &amp; Guide'!$B$4*XLOOKUP(D716,'Reference Tables'!$A$4:$A$23,'Reference Tables'!$C$4:$C$23,0.75)</x:f>
        <x:v>94.5423615422811</x:v>
      </x:c>
      <x:c r="J716" s="102" t="n">
        <x:f>XLOOKUP(C716,'Reference Tables'!$E$4:$E$12,'Reference Tables'!$F$4:$F$12,0.05)</x:f>
        <x:v>0.1</x:v>
      </x:c>
      <x:c r="K716" s="103" t="n">
        <x:f>MIN(I716,F716*J716)</x:f>
        <x:v>72.05972678527523</x:v>
      </x:c>
      <x:c r="L716" s="103" t="n">
        <x:f>'Inputs &amp; Guide'!$B$5</x:f>
        <x:v>15</x:v>
      </x:c>
      <x:c r="M716" s="103" t="n">
        <x:f>I716*'Inputs &amp; Guide'!$B$6</x:f>
        <x:v>51.998298848254606</x:v>
      </x:c>
      <x:c r="N716" s="103" t="n">
        <x:f>MAX(0,MIN(K716-L716,M716))</x:f>
        <x:v>51.998298848254606</x:v>
      </x:c>
      <x:c r="O716" s="103" t="n">
        <x:f>MAX(0,N716-'Inputs &amp; Guide'!$B$7)</x:f>
        <x:v>0</x:v>
      </x:c>
      <x:c r="P716" s="103" t="n">
        <x:f>N716-O716</x:f>
        <x:v>51.998298848254606</x:v>
      </x:c>
      <x:c r="Q716" s="103" t="n">
        <x:f>I716*'Inputs &amp; Guide'!$B$8</x:f>
        <x:v>1.7017625077610596</x:v>
      </x:c>
      <x:c r="R716" s="104" t="n">
        <x:f>IFERROR(P716/Q716,0)</x:f>
        <x:v>30.55555555555556</x:v>
      </x:c>
      <x:c r="S716" s="105" t="n">
        <x:f>ROUND(E716*XLOOKUP(C716,'Reference Tables'!$E$4:$E$12,'Reference Tables'!$G$4:$G$12,1),1)</x:f>
        <x:v>2.5</x:v>
      </x:c>
      <x:c r="T716" s="106" t="str">
        <x:f>IF(R716&gt;='Inputs &amp; Guide'!$B$9,"HIGH",IF(R716&gt;=0.45,"WATCH","NORMAL"))</x:f>
        <x:v>HIGH</x:v>
      </x:c>
    </x:row>
    <x:row r="717">
      <x:c r="A717" s="95" t="n">
        <x:v>5705</x:v>
      </x:c>
      <x:c r="B717" s="96" t="n">
        <x:v>45529.4375</x:v>
      </x:c>
      <x:c r="C717" s="97" t="str">
        <x:v>Earthquake</x:v>
      </x:c>
      <x:c r="D717" s="97" t="str">
        <x:v>Indonesia</x:v>
      </x:c>
      <x:c r="E717" s="98" t="n">
        <x:v>7.919475832164684</x:v>
      </x:c>
      <x:c r="F717" s="99" t="n">
        <x:v>163.7257776228197</x:v>
      </x:c>
      <x:c r="G717" s="100" t="str">
        <x:f>XLOOKUP(D717,'Reference Tables'!$A$4:$A$23,'Reference Tables'!$B$4:$B$23,"Other")</x:f>
        <x:v>Asia Pacific</x:v>
      </x:c>
      <x:c r="H717" s="100" t="str">
        <x:f>VLOOKUP(G717,'Reference Tables'!$I$4:$J$9,2,FALSE)</x:f>
        <x:v>High</x:v>
      </x:c>
      <x:c r="I717" s="101" t="n">
        <x:f>F717*'Inputs &amp; Guide'!$B$4*XLOOKUP(D717,'Reference Tables'!$A$4:$A$23,'Reference Tables'!$C$4:$C$23,0.75)</x:f>
        <x:v>26.982008152240688</x:v>
      </x:c>
      <x:c r="J717" s="102" t="n">
        <x:f>XLOOKUP(C717,'Reference Tables'!$E$4:$E$12,'Reference Tables'!$F$4:$F$12,0.05)</x:f>
        <x:v>0.14</x:v>
      </x:c>
      <x:c r="K717" s="103" t="n">
        <x:f>MIN(I717,F717*J717)</x:f>
        <x:v>22.92160886719476</x:v>
      </x:c>
      <x:c r="L717" s="103" t="n">
        <x:f>'Inputs &amp; Guide'!$B$5</x:f>
        <x:v>15</x:v>
      </x:c>
      <x:c r="M717" s="103" t="n">
        <x:f>I717*'Inputs &amp; Guide'!$B$6</x:f>
        <x:v>14.840104483732379</x:v>
      </x:c>
      <x:c r="N717" s="103" t="n">
        <x:f>MAX(0,MIN(K717-L717,M717))</x:f>
        <x:v>7.9216088671947595</x:v>
      </x:c>
      <x:c r="O717" s="103" t="n">
        <x:f>MAX(0,N717-'Inputs &amp; Guide'!$B$7)</x:f>
        <x:v>0</x:v>
      </x:c>
      <x:c r="P717" s="103" t="n">
        <x:f>N717-O717</x:f>
        <x:v>7.9216088671947595</x:v>
      </x:c>
      <x:c r="Q717" s="103" t="n">
        <x:f>I717*'Inputs &amp; Guide'!$B$8</x:f>
        <x:v>0.4856761467403323</x:v>
      </x:c>
      <x:c r="R717" s="104" t="n">
        <x:f>IFERROR(P717/Q717,0)</x:f>
        <x:v>16.310475448220977</x:v>
      </x:c>
      <x:c r="S717" s="105" t="n">
        <x:f>ROUND(E717*XLOOKUP(C717,'Reference Tables'!$E$4:$E$12,'Reference Tables'!$G$4:$G$12,1),1)</x:f>
        <x:v>11.9</x:v>
      </x:c>
      <x:c r="T717" s="106" t="str">
        <x:f>IF(R717&gt;='Inputs &amp; Guide'!$B$9,"HIGH",IF(R717&gt;=0.45,"WATCH","NORMAL"))</x:f>
        <x:v>HIGH</x:v>
      </x:c>
    </x:row>
    <x:row r="718">
      <x:c r="A718" s="95" t="n">
        <x:v>5713</x:v>
      </x:c>
      <x:c r="B718" s="96" t="n">
        <x:v>45530</x:v>
      </x:c>
      <x:c r="C718" s="97" t="str">
        <x:v>Flood</x:v>
      </x:c>
      <x:c r="D718" s="97" t="str">
        <x:v>India</x:v>
      </x:c>
      <x:c r="E718" s="98" t="n">
        <x:v>1.568376451356852</x:v>
      </x:c>
      <x:c r="F718" s="99" t="n">
        <x:v>6.6559542384739</x:v>
      </x:c>
      <x:c r="G718" s="100" t="str">
        <x:f>XLOOKUP(D718,'Reference Tables'!$A$4:$A$23,'Reference Tables'!$B$4:$B$23,"Other")</x:f>
        <x:v>Asia Pacific</x:v>
      </x:c>
      <x:c r="H718" s="100" t="str">
        <x:f>VLOOKUP(G718,'Reference Tables'!$I$4:$J$9,2,FALSE)</x:f>
        <x:v>High</x:v>
      </x:c>
      <x:c r="I718" s="101" t="n">
        <x:f>F718*'Inputs &amp; Guide'!$B$4*XLOOKUP(D718,'Reference Tables'!$A$4:$A$23,'Reference Tables'!$C$4:$C$23,0.75)</x:f>
        <x:v>0.9691069371218</x:v>
      </x:c>
      <x:c r="J718" s="102" t="n">
        <x:f>XLOOKUP(C718,'Reference Tables'!$E$4:$E$12,'Reference Tables'!$F$4:$F$12,0.05)</x:f>
        <x:v>0.12</x:v>
      </x:c>
      <x:c r="K718" s="103" t="n">
        <x:f>MIN(I718,F718*J718)</x:f>
        <x:v>0.7987145086168679</x:v>
      </x:c>
      <x:c r="L718" s="103" t="n">
        <x:f>'Inputs &amp; Guide'!$B$5</x:f>
        <x:v>15</x:v>
      </x:c>
      <x:c r="M718" s="103" t="n">
        <x:f>I718*'Inputs &amp; Guide'!$B$6</x:f>
        <x:v>0.53300881541699</x:v>
      </x:c>
      <x:c r="N718" s="103" t="n">
        <x:f>MAX(0,MIN(K718-L718,M718))</x:f>
        <x:v>0</x:v>
      </x:c>
      <x:c r="O718" s="103" t="n">
        <x:f>MAX(0,N718-'Inputs &amp; Guide'!$B$7)</x:f>
        <x:v>0</x:v>
      </x:c>
      <x:c r="P718" s="103" t="n">
        <x:f>N718-O718</x:f>
        <x:v>0</x:v>
      </x:c>
      <x:c r="Q718" s="103" t="n">
        <x:f>I718*'Inputs &amp; Guide'!$B$8</x:f>
        <x:v>0.0174439248681924</x:v>
      </x:c>
      <x:c r="R718" s="104" t="n">
        <x:f>IFERROR(P718/Q718,0)</x:f>
        <x:v>0</x:v>
      </x:c>
      <x:c r="S718" s="105" t="n">
        <x:f>ROUND(E718*XLOOKUP(C718,'Reference Tables'!$E$4:$E$12,'Reference Tables'!$G$4:$G$12,1),1)</x:f>
        <x:v>2</x:v>
      </x:c>
      <x:c r="T718" s="106" t="str">
        <x:f>IF(R718&gt;='Inputs &amp; Guide'!$B$9,"HIGH",IF(R718&gt;=0.45,"WATCH","NORMAL"))</x:f>
        <x:v>NORMAL</x:v>
      </x:c>
    </x:row>
    <x:row r="719">
      <x:c r="A719" s="95" t="n">
        <x:v>5721</x:v>
      </x:c>
      <x:c r="B719" s="96" t="n">
        <x:v>45530.104166666664</x:v>
      </x:c>
      <x:c r="C719" s="97" t="str">
        <x:v>Earthquake</x:v>
      </x:c>
      <x:c r="D719" s="97" t="str">
        <x:v>USA</x:v>
      </x:c>
      <x:c r="E719" s="98" t="n">
        <x:v>8.236389542765064</x:v>
      </x:c>
      <x:c r="F719" s="99" t="n">
        <x:v>810.9988350142601</x:v>
      </x:c>
      <x:c r="G719" s="100" t="str">
        <x:f>XLOOKUP(D719,'Reference Tables'!$A$4:$A$23,'Reference Tables'!$B$4:$B$23,"Other")</x:f>
        <x:v>Other</x:v>
      </x:c>
      <x:c r="H719" s="100" t="str">
        <x:f>VLOOKUP(G719,'Reference Tables'!$I$4:$J$9,2,FALSE)</x:f>
        <x:v>Moderate</x:v>
      </x:c>
      <x:c r="I719" s="101" t="n">
        <x:f>F719*'Inputs &amp; Guide'!$B$4*XLOOKUP(D719,'Reference Tables'!$A$4:$A$23,'Reference Tables'!$C$4:$C$23,0.75)</x:f>
        <x:v>97.31986020171121</x:v>
      </x:c>
      <x:c r="J719" s="102" t="n">
        <x:f>XLOOKUP(C719,'Reference Tables'!$E$4:$E$12,'Reference Tables'!$F$4:$F$12,0.05)</x:f>
        <x:v>0.14</x:v>
      </x:c>
      <x:c r="K719" s="103" t="n">
        <x:f>MIN(I719,F719*J719)</x:f>
        <x:v>97.31986020171121</x:v>
      </x:c>
      <x:c r="L719" s="103" t="n">
        <x:f>'Inputs &amp; Guide'!$B$5</x:f>
        <x:v>15</x:v>
      </x:c>
      <x:c r="M719" s="103" t="n">
        <x:f>I719*'Inputs &amp; Guide'!$B$6</x:f>
        <x:v>53.52592311094117</x:v>
      </x:c>
      <x:c r="N719" s="103" t="n">
        <x:f>MAX(0,MIN(K719-L719,M719))</x:f>
        <x:v>53.52592311094117</x:v>
      </x:c>
      <x:c r="O719" s="103" t="n">
        <x:f>MAX(0,N719-'Inputs &amp; Guide'!$B$7)</x:f>
        <x:v>0</x:v>
      </x:c>
      <x:c r="P719" s="103" t="n">
        <x:f>N719-O719</x:f>
        <x:v>53.52592311094117</x:v>
      </x:c>
      <x:c r="Q719" s="103" t="n">
        <x:f>I719*'Inputs &amp; Guide'!$B$8</x:f>
        <x:v>1.7517574836308016</x:v>
      </x:c>
      <x:c r="R719" s="104" t="n">
        <x:f>IFERROR(P719/Q719,0)</x:f>
        <x:v>30.55555555555556</x:v>
      </x:c>
      <x:c r="S719" s="105" t="n">
        <x:f>ROUND(E719*XLOOKUP(C719,'Reference Tables'!$E$4:$E$12,'Reference Tables'!$G$4:$G$12,1),1)</x:f>
        <x:v>12.4</x:v>
      </x:c>
      <x:c r="T719" s="106" t="str">
        <x:f>IF(R719&gt;='Inputs &amp; Guide'!$B$9,"HIGH",IF(R719&gt;=0.45,"WATCH","NORMAL"))</x:f>
        <x:v>HIGH</x:v>
      </x:c>
    </x:row>
    <x:row r="720">
      <x:c r="A720" s="95" t="n">
        <x:v>5729</x:v>
      </x:c>
      <x:c r="B720" s="96" t="n">
        <x:v>45530.4375</x:v>
      </x:c>
      <x:c r="C720" s="97" t="str">
        <x:v>Flood</x:v>
      </x:c>
      <x:c r="D720" s="97" t="str">
        <x:v>Brazil</x:v>
      </x:c>
      <x:c r="E720" s="98" t="n">
        <x:v>4.836942949627609</x:v>
      </x:c>
      <x:c r="F720" s="99" t="n">
        <x:v>416.46598929049753</x:v>
      </x:c>
      <x:c r="G720" s="100" t="str">
        <x:f>XLOOKUP(D720,'Reference Tables'!$A$4:$A$23,'Reference Tables'!$B$4:$B$23,"Other")</x:f>
        <x:v>Latin America</x:v>
      </x:c>
      <x:c r="H720" s="100" t="str">
        <x:f>VLOOKUP(G720,'Reference Tables'!$I$4:$J$9,2,FALSE)</x:f>
        <x:v>Moderate</x:v>
      </x:c>
      <x:c r="I720" s="101" t="n">
        <x:f>F720*'Inputs &amp; Guide'!$B$4*XLOOKUP(D720,'Reference Tables'!$A$4:$A$23,'Reference Tables'!$C$4:$C$23,0.75)</x:f>
        <x:v>54.64033779491327</x:v>
      </x:c>
      <x:c r="J720" s="102" t="n">
        <x:f>XLOOKUP(C720,'Reference Tables'!$E$4:$E$12,'Reference Tables'!$F$4:$F$12,0.05)</x:f>
        <x:v>0.12</x:v>
      </x:c>
      <x:c r="K720" s="103" t="n">
        <x:f>MIN(I720,F720*J720)</x:f>
        <x:v>49.9759187148597</x:v>
      </x:c>
      <x:c r="L720" s="103" t="n">
        <x:f>'Inputs &amp; Guide'!$B$5</x:f>
        <x:v>15</x:v>
      </x:c>
      <x:c r="M720" s="103" t="n">
        <x:f>I720*'Inputs &amp; Guide'!$B$6</x:f>
        <x:v>30.0521857872023</x:v>
      </x:c>
      <x:c r="N720" s="103" t="n">
        <x:f>MAX(0,MIN(K720-L720,M720))</x:f>
        <x:v>30.0521857872023</x:v>
      </x:c>
      <x:c r="O720" s="103" t="n">
        <x:f>MAX(0,N720-'Inputs &amp; Guide'!$B$7)</x:f>
        <x:v>0</x:v>
      </x:c>
      <x:c r="P720" s="103" t="n">
        <x:f>N720-O720</x:f>
        <x:v>30.0521857872023</x:v>
      </x:c>
      <x:c r="Q720" s="103" t="n">
        <x:f>I720*'Inputs &amp; Guide'!$B$8</x:f>
        <x:v>0.9835260803084388</x:v>
      </x:c>
      <x:c r="R720" s="104" t="n">
        <x:f>IFERROR(P720/Q720,0)</x:f>
        <x:v>30.55555555555556</x:v>
      </x:c>
      <x:c r="S720" s="105" t="n">
        <x:f>ROUND(E720*XLOOKUP(C720,'Reference Tables'!$E$4:$E$12,'Reference Tables'!$G$4:$G$12,1),1)</x:f>
        <x:v>6</x:v>
      </x:c>
      <x:c r="T720" s="106" t="str">
        <x:f>IF(R720&gt;='Inputs &amp; Guide'!$B$9,"HIGH",IF(R720&gt;=0.45,"WATCH","NORMAL"))</x:f>
        <x:v>HIGH</x:v>
      </x:c>
    </x:row>
    <x:row r="721">
      <x:c r="A721" s="95" t="n">
        <x:v>5737</x:v>
      </x:c>
      <x:c r="B721" s="96" t="n">
        <x:v>45531</x:v>
      </x:c>
      <x:c r="C721" s="97" t="str">
        <x:v>Tornado</x:v>
      </x:c>
      <x:c r="D721" s="97" t="str">
        <x:v>India</x:v>
      </x:c>
      <x:c r="E721" s="98" t="n">
        <x:v>6.277860113783086</x:v>
      </x:c>
      <x:c r="F721" s="99" t="n">
        <x:v>570.7492748541396</x:v>
      </x:c>
      <x:c r="G721" s="100" t="str">
        <x:f>XLOOKUP(D721,'Reference Tables'!$A$4:$A$23,'Reference Tables'!$B$4:$B$23,"Other")</x:f>
        <x:v>Asia Pacific</x:v>
      </x:c>
      <x:c r="H721" s="100" t="str">
        <x:f>VLOOKUP(G721,'Reference Tables'!$I$4:$J$9,2,FALSE)</x:f>
        <x:v>High</x:v>
      </x:c>
      <x:c r="I721" s="101" t="n">
        <x:f>F721*'Inputs &amp; Guide'!$B$4*XLOOKUP(D721,'Reference Tables'!$A$4:$A$23,'Reference Tables'!$C$4:$C$23,0.75)</x:f>
        <x:v>83.10109441876273</x:v>
      </x:c>
      <x:c r="J721" s="102" t="n">
        <x:f>XLOOKUP(C721,'Reference Tables'!$E$4:$E$12,'Reference Tables'!$F$4:$F$12,0.05)</x:f>
        <x:v>0.09</x:v>
      </x:c>
      <x:c r="K721" s="103" t="n">
        <x:f>MIN(I721,F721*J721)</x:f>
        <x:v>51.36743473687256</x:v>
      </x:c>
      <x:c r="L721" s="103" t="n">
        <x:f>'Inputs &amp; Guide'!$B$5</x:f>
        <x:v>15</x:v>
      </x:c>
      <x:c r="M721" s="103" t="n">
        <x:f>I721*'Inputs &amp; Guide'!$B$6</x:f>
        <x:v>45.7056019303195</x:v>
      </x:c>
      <x:c r="N721" s="103" t="n">
        <x:f>MAX(0,MIN(K721-L721,M721))</x:f>
        <x:v>36.36743473687256</x:v>
      </x:c>
      <x:c r="O721" s="103" t="n">
        <x:f>MAX(0,N721-'Inputs &amp; Guide'!$B$7)</x:f>
        <x:v>0</x:v>
      </x:c>
      <x:c r="P721" s="103" t="n">
        <x:f>N721-O721</x:f>
        <x:v>36.36743473687256</x:v>
      </x:c>
      <x:c r="Q721" s="103" t="n">
        <x:f>I721*'Inputs &amp; Guide'!$B$8</x:f>
        <x:v>1.495819699537729</x:v>
      </x:c>
      <x:c r="R721" s="104" t="n">
        <x:f>IFERROR(P721/Q721,0)</x:f>
        <x:v>24.312712787585042</x:v>
      </x:c>
      <x:c r="S721" s="105" t="n">
        <x:f>ROUND(E721*XLOOKUP(C721,'Reference Tables'!$E$4:$E$12,'Reference Tables'!$G$4:$G$12,1),1)</x:f>
        <x:v>6.6</x:v>
      </x:c>
      <x:c r="T721" s="106" t="str">
        <x:f>IF(R721&gt;='Inputs &amp; Guide'!$B$9,"HIGH",IF(R721&gt;=0.45,"WATCH","NORMAL"))</x:f>
        <x:v>HIGH</x:v>
      </x:c>
    </x:row>
    <x:row r="722">
      <x:c r="A722" s="95" t="n">
        <x:v>5745</x:v>
      </x:c>
      <x:c r="B722" s="96" t="n">
        <x:v>45531.104166666664</x:v>
      </x:c>
      <x:c r="C722" s="97" t="str">
        <x:v>Earthquake</x:v>
      </x:c>
      <x:c r="D722" s="97" t="str">
        <x:v>USA</x:v>
      </x:c>
      <x:c r="E722" s="98" t="n">
        <x:v>3.386431960517415</x:v>
      </x:c>
      <x:c r="F722" s="99" t="n">
        <x:v>399.3535076007718</x:v>
      </x:c>
      <x:c r="G722" s="100" t="str">
        <x:f>XLOOKUP(D722,'Reference Tables'!$A$4:$A$23,'Reference Tables'!$B$4:$B$23,"Other")</x:f>
        <x:v>Other</x:v>
      </x:c>
      <x:c r="H722" s="100" t="str">
        <x:f>VLOOKUP(G722,'Reference Tables'!$I$4:$J$9,2,FALSE)</x:f>
        <x:v>Moderate</x:v>
      </x:c>
      <x:c r="I722" s="101" t="n">
        <x:f>F722*'Inputs &amp; Guide'!$B$4*XLOOKUP(D722,'Reference Tables'!$A$4:$A$23,'Reference Tables'!$C$4:$C$23,0.75)</x:f>
        <x:v>47.92242091209262</x:v>
      </x:c>
      <x:c r="J722" s="102" t="n">
        <x:f>XLOOKUP(C722,'Reference Tables'!$E$4:$E$12,'Reference Tables'!$F$4:$F$12,0.05)</x:f>
        <x:v>0.14</x:v>
      </x:c>
      <x:c r="K722" s="103" t="n">
        <x:f>MIN(I722,F722*J722)</x:f>
        <x:v>47.92242091209262</x:v>
      </x:c>
      <x:c r="L722" s="103" t="n">
        <x:f>'Inputs &amp; Guide'!$B$5</x:f>
        <x:v>15</x:v>
      </x:c>
      <x:c r="M722" s="103" t="n">
        <x:f>I722*'Inputs &amp; Guide'!$B$6</x:f>
        <x:v>26.357331501650943</x:v>
      </x:c>
      <x:c r="N722" s="103" t="n">
        <x:f>MAX(0,MIN(K722-L722,M722))</x:f>
        <x:v>26.357331501650943</x:v>
      </x:c>
      <x:c r="O722" s="103" t="n">
        <x:f>MAX(0,N722-'Inputs &amp; Guide'!$B$7)</x:f>
        <x:v>0</x:v>
      </x:c>
      <x:c r="P722" s="103" t="n">
        <x:f>N722-O722</x:f>
        <x:v>26.357331501650943</x:v>
      </x:c>
      <x:c r="Q722" s="103" t="n">
        <x:f>I722*'Inputs &amp; Guide'!$B$8</x:f>
        <x:v>0.862603576417667</x:v>
      </x:c>
      <x:c r="R722" s="104" t="n">
        <x:f>IFERROR(P722/Q722,0)</x:f>
        <x:v>30.55555555555556</x:v>
      </x:c>
      <x:c r="S722" s="105" t="n">
        <x:f>ROUND(E722*XLOOKUP(C722,'Reference Tables'!$E$4:$E$12,'Reference Tables'!$G$4:$G$12,1),1)</x:f>
        <x:v>5.1</x:v>
      </x:c>
      <x:c r="T722" s="106" t="str">
        <x:f>IF(R722&gt;='Inputs &amp; Guide'!$B$9,"HIGH",IF(R722&gt;=0.45,"WATCH","NORMAL"))</x:f>
        <x:v>HIGH</x:v>
      </x:c>
    </x:row>
    <x:row r="723">
      <x:c r="A723" s="95" t="n">
        <x:v>5753</x:v>
      </x:c>
      <x:c r="B723" s="96" t="n">
        <x:v>45531.4375</x:v>
      </x:c>
      <x:c r="C723" s="97" t="str">
        <x:v>Flood</x:v>
      </x:c>
      <x:c r="D723" s="97" t="str">
        <x:v>China</x:v>
      </x:c>
      <x:c r="E723" s="98" t="n">
        <x:v>4.499978404260343</x:v>
      </x:c>
      <x:c r="F723" s="99" t="n">
        <x:v>257.45225533718923</x:v>
      </x:c>
      <x:c r="G723" s="100" t="str">
        <x:f>XLOOKUP(D723,'Reference Tables'!$A$4:$A$23,'Reference Tables'!$B$4:$B$23,"Other")</x:f>
        <x:v>Asia Pacific</x:v>
      </x:c>
      <x:c r="H723" s="100" t="str">
        <x:f>VLOOKUP(G723,'Reference Tables'!$I$4:$J$9,2,FALSE)</x:f>
        <x:v>High</x:v>
      </x:c>
      <x:c r="I723" s="101" t="n">
        <x:f>F723*'Inputs &amp; Guide'!$B$4*XLOOKUP(D723,'Reference Tables'!$A$4:$A$23,'Reference Tables'!$C$4:$C$23,0.75)</x:f>
        <x:v>44.4877497222663</x:v>
      </x:c>
      <x:c r="J723" s="102" t="n">
        <x:f>XLOOKUP(C723,'Reference Tables'!$E$4:$E$12,'Reference Tables'!$F$4:$F$12,0.05)</x:f>
        <x:v>0.12</x:v>
      </x:c>
      <x:c r="K723" s="103" t="n">
        <x:f>MIN(I723,F723*J723)</x:f>
        <x:v>30.894270640462707</x:v>
      </x:c>
      <x:c r="L723" s="103" t="n">
        <x:f>'Inputs &amp; Guide'!$B$5</x:f>
        <x:v>15</x:v>
      </x:c>
      <x:c r="M723" s="103" t="n">
        <x:f>I723*'Inputs &amp; Guide'!$B$6</x:f>
        <x:v>24.46826234724647</x:v>
      </x:c>
      <x:c r="N723" s="103" t="n">
        <x:f>MAX(0,MIN(K723-L723,M723))</x:f>
        <x:v>15.894270640462707</x:v>
      </x:c>
      <x:c r="O723" s="103" t="n">
        <x:f>MAX(0,N723-'Inputs &amp; Guide'!$B$7)</x:f>
        <x:v>0</x:v>
      </x:c>
      <x:c r="P723" s="103" t="n">
        <x:f>N723-O723</x:f>
        <x:v>15.894270640462707</x:v>
      </x:c>
      <x:c r="Q723" s="103" t="n">
        <x:f>I723*'Inputs &amp; Guide'!$B$8</x:f>
        <x:v>0.8007794950007934</x:v>
      </x:c>
      <x:c r="R723" s="104" t="n">
        <x:f>IFERROR(P723/Q723,0)</x:f>
        <x:v>19.84849854384316</x:v>
      </x:c>
      <x:c r="S723" s="105" t="n">
        <x:f>ROUND(E723*XLOOKUP(C723,'Reference Tables'!$E$4:$E$12,'Reference Tables'!$G$4:$G$12,1),1)</x:f>
        <x:v>5.6</x:v>
      </x:c>
      <x:c r="T723" s="106" t="str">
        <x:f>IF(R723&gt;='Inputs &amp; Guide'!$B$9,"HIGH",IF(R723&gt;=0.45,"WATCH","NORMAL"))</x:f>
        <x:v>HIGH</x:v>
      </x:c>
    </x:row>
    <x:row r="724">
      <x:c r="A724" s="95" t="n">
        <x:v>5761</x:v>
      </x:c>
      <x:c r="B724" s="96" t="n">
        <x:v>45532</x:v>
      </x:c>
      <x:c r="C724" s="97" t="str">
        <x:v>Wildfire</x:v>
      </x:c>
      <x:c r="D724" s="97" t="str">
        <x:v>Indonesia</x:v>
      </x:c>
      <x:c r="E724" s="98" t="n">
        <x:v>3.5438740176120698</x:v>
      </x:c>
      <x:c r="F724" s="99" t="n">
        <x:v>833.9643978921579</x:v>
      </x:c>
      <x:c r="G724" s="100" t="str">
        <x:f>XLOOKUP(D724,'Reference Tables'!$A$4:$A$23,'Reference Tables'!$B$4:$B$23,"Other")</x:f>
        <x:v>Asia Pacific</x:v>
      </x:c>
      <x:c r="H724" s="100" t="str">
        <x:f>VLOOKUP(G724,'Reference Tables'!$I$4:$J$9,2,FALSE)</x:f>
        <x:v>High</x:v>
      </x:c>
      <x:c r="I724" s="101" t="n">
        <x:f>F724*'Inputs &amp; Guide'!$B$4*XLOOKUP(D724,'Reference Tables'!$A$4:$A$23,'Reference Tables'!$C$4:$C$23,0.75)</x:f>
        <x:v>137.43733277262763</x:v>
      </x:c>
      <x:c r="J724" s="102" t="n">
        <x:f>XLOOKUP(C724,'Reference Tables'!$E$4:$E$12,'Reference Tables'!$F$4:$F$12,0.05)</x:f>
        <x:v>0.1</x:v>
      </x:c>
      <x:c r="K724" s="103" t="n">
        <x:f>MIN(I724,F724*J724)</x:f>
        <x:v>83.39643978921579</x:v>
      </x:c>
      <x:c r="L724" s="103" t="n">
        <x:f>'Inputs &amp; Guide'!$B$5</x:f>
        <x:v>15</x:v>
      </x:c>
      <x:c r="M724" s="103" t="n">
        <x:f>I724*'Inputs &amp; Guide'!$B$6</x:f>
        <x:v>75.5905330249452</x:v>
      </x:c>
      <x:c r="N724" s="103" t="n">
        <x:f>MAX(0,MIN(K724-L724,M724))</x:f>
        <x:v>68.39643978921579</x:v>
      </x:c>
      <x:c r="O724" s="103" t="n">
        <x:f>MAX(0,N724-'Inputs &amp; Guide'!$B$7)</x:f>
        <x:v>8.39643978921579</x:v>
      </x:c>
      <x:c r="P724" s="103" t="n">
        <x:f>N724-O724</x:f>
        <x:v>60</x:v>
      </x:c>
      <x:c r="Q724" s="103" t="n">
        <x:f>I724*'Inputs &amp; Guide'!$B$8</x:f>
        <x:v>2.473871989907297</x:v>
      </x:c>
      <x:c r="R724" s="104" t="n">
        <x:f>IFERROR(P724/Q724,0)</x:f>
        <x:v>24.253478047685228</x:v>
      </x:c>
      <x:c r="S724" s="105" t="n">
        <x:f>ROUND(E724*XLOOKUP(C724,'Reference Tables'!$E$4:$E$12,'Reference Tables'!$G$4:$G$12,1),1)</x:f>
        <x:v>4.1</x:v>
      </x:c>
      <x:c r="T724" s="106" t="str">
        <x:f>IF(R724&gt;='Inputs &amp; Guide'!$B$9,"HIGH",IF(R724&gt;=0.45,"WATCH","NORMAL"))</x:f>
        <x:v>HIGH</x:v>
      </x:c>
    </x:row>
    <x:row r="725">
      <x:c r="A725" s="95" t="n">
        <x:v>5769</x:v>
      </x:c>
      <x:c r="B725" s="96" t="n">
        <x:v>45532.104166666664</x:v>
      </x:c>
      <x:c r="C725" s="97" t="str">
        <x:v>Earthquake</x:v>
      </x:c>
      <x:c r="D725" s="97" t="str">
        <x:v>USA</x:v>
      </x:c>
      <x:c r="E725" s="98" t="n">
        <x:v>1.877573275370033</x:v>
      </x:c>
      <x:c r="F725" s="99" t="n">
        <x:v>448.7349814599308</x:v>
      </x:c>
      <x:c r="G725" s="100" t="str">
        <x:f>XLOOKUP(D725,'Reference Tables'!$A$4:$A$23,'Reference Tables'!$B$4:$B$23,"Other")</x:f>
        <x:v>Other</x:v>
      </x:c>
      <x:c r="H725" s="100" t="str">
        <x:f>VLOOKUP(G725,'Reference Tables'!$I$4:$J$9,2,FALSE)</x:f>
        <x:v>Moderate</x:v>
      </x:c>
      <x:c r="I725" s="101" t="n">
        <x:f>F725*'Inputs &amp; Guide'!$B$4*XLOOKUP(D725,'Reference Tables'!$A$4:$A$23,'Reference Tables'!$C$4:$C$23,0.75)</x:f>
        <x:v>53.84819777519169</x:v>
      </x:c>
      <x:c r="J725" s="102" t="n">
        <x:f>XLOOKUP(C725,'Reference Tables'!$E$4:$E$12,'Reference Tables'!$F$4:$F$12,0.05)</x:f>
        <x:v>0.14</x:v>
      </x:c>
      <x:c r="K725" s="103" t="n">
        <x:f>MIN(I725,F725*J725)</x:f>
        <x:v>53.84819777519169</x:v>
      </x:c>
      <x:c r="L725" s="103" t="n">
        <x:f>'Inputs &amp; Guide'!$B$5</x:f>
        <x:v>15</x:v>
      </x:c>
      <x:c r="M725" s="103" t="n">
        <x:f>I725*'Inputs &amp; Guide'!$B$6</x:f>
        <x:v>29.616508776355435</x:v>
      </x:c>
      <x:c r="N725" s="103" t="n">
        <x:f>MAX(0,MIN(K725-L725,M725))</x:f>
        <x:v>29.616508776355435</x:v>
      </x:c>
      <x:c r="O725" s="103" t="n">
        <x:f>MAX(0,N725-'Inputs &amp; Guide'!$B$7)</x:f>
        <x:v>0</x:v>
      </x:c>
      <x:c r="P725" s="103" t="n">
        <x:f>N725-O725</x:f>
        <x:v>29.616508776355435</x:v>
      </x:c>
      <x:c r="Q725" s="103" t="n">
        <x:f>I725*'Inputs &amp; Guide'!$B$8</x:f>
        <x:v>0.9692675599534504</x:v>
      </x:c>
      <x:c r="R725" s="104" t="n">
        <x:f>IFERROR(P725/Q725,0)</x:f>
        <x:v>30.55555555555556</x:v>
      </x:c>
      <x:c r="S725" s="105" t="n">
        <x:f>ROUND(E725*XLOOKUP(C725,'Reference Tables'!$E$4:$E$12,'Reference Tables'!$G$4:$G$12,1),1)</x:f>
        <x:v>2.8</x:v>
      </x:c>
      <x:c r="T725" s="106" t="str">
        <x:f>IF(R725&gt;='Inputs &amp; Guide'!$B$9,"HIGH",IF(R725&gt;=0.45,"WATCH","NORMAL"))</x:f>
        <x:v>HIGH</x:v>
      </x:c>
    </x:row>
    <x:row r="726">
      <x:c r="A726" s="95" t="n">
        <x:v>5777</x:v>
      </x:c>
      <x:c r="B726" s="96" t="n">
        <x:v>45532.4375</x:v>
      </x:c>
      <x:c r="C726" s="97" t="str">
        <x:v>Wildfire</x:v>
      </x:c>
      <x:c r="D726" s="97" t="str">
        <x:v>Japan</x:v>
      </x:c>
      <x:c r="E726" s="98" t="n">
        <x:v>6.719094100715519</x:v>
      </x:c>
      <x:c r="F726" s="99" t="n">
        <x:v>13.562587923382418</x:v>
      </x:c>
      <x:c r="G726" s="100" t="str">
        <x:f>XLOOKUP(D726,'Reference Tables'!$A$4:$A$23,'Reference Tables'!$B$4:$B$23,"Other")</x:f>
        <x:v>Asia Pacific</x:v>
      </x:c>
      <x:c r="H726" s="100" t="str">
        <x:f>VLOOKUP(G726,'Reference Tables'!$I$4:$J$9,2,FALSE)</x:f>
        <x:v>High</x:v>
      </x:c>
      <x:c r="I726" s="101" t="n">
        <x:f>F726*'Inputs &amp; Guide'!$B$4*XLOOKUP(D726,'Reference Tables'!$A$4:$A$23,'Reference Tables'!$C$4:$C$23,0.75)</x:f>
        <x:v>2.5606165999346007</x:v>
      </x:c>
      <x:c r="J726" s="102" t="n">
        <x:f>XLOOKUP(C726,'Reference Tables'!$E$4:$E$12,'Reference Tables'!$F$4:$F$12,0.05)</x:f>
        <x:v>0.1</x:v>
      </x:c>
      <x:c r="K726" s="103" t="n">
        <x:f>MIN(I726,F726*J726)</x:f>
        <x:v>1.3562587923382419</x:v>
      </x:c>
      <x:c r="L726" s="103" t="n">
        <x:f>'Inputs &amp; Guide'!$B$5</x:f>
        <x:v>15</x:v>
      </x:c>
      <x:c r="M726" s="103" t="n">
        <x:f>I726*'Inputs &amp; Guide'!$B$6</x:f>
        <x:v>1.4083391299640304</x:v>
      </x:c>
      <x:c r="N726" s="103" t="n">
        <x:f>MAX(0,MIN(K726-L726,M726))</x:f>
        <x:v>0</x:v>
      </x:c>
      <x:c r="O726" s="103" t="n">
        <x:f>MAX(0,N726-'Inputs &amp; Guide'!$B$7)</x:f>
        <x:v>0</x:v>
      </x:c>
      <x:c r="P726" s="103" t="n">
        <x:f>N726-O726</x:f>
        <x:v>0</x:v>
      </x:c>
      <x:c r="Q726" s="103" t="n">
        <x:f>I726*'Inputs &amp; Guide'!$B$8</x:f>
        <x:v>0.04609109879882281</x:v>
      </x:c>
      <x:c r="R726" s="104" t="n">
        <x:f>IFERROR(P726/Q726,0)</x:f>
        <x:v>0</x:v>
      </x:c>
      <x:c r="S726" s="105" t="n">
        <x:f>ROUND(E726*XLOOKUP(C726,'Reference Tables'!$E$4:$E$12,'Reference Tables'!$G$4:$G$12,1),1)</x:f>
        <x:v>7.7</x:v>
      </x:c>
      <x:c r="T726" s="106" t="str">
        <x:f>IF(R726&gt;='Inputs &amp; Guide'!$B$9,"HIGH",IF(R726&gt;=0.45,"WATCH","NORMAL"))</x:f>
        <x:v>NORMAL</x:v>
      </x:c>
    </x:row>
    <x:row r="727">
      <x:c r="A727" s="95" t="n">
        <x:v>5785</x:v>
      </x:c>
      <x:c r="B727" s="96" t="n">
        <x:v>45533</x:v>
      </x:c>
      <x:c r="C727" s="97" t="str">
        <x:v>Wildfire</x:v>
      </x:c>
      <x:c r="D727" s="97" t="str">
        <x:v>USA</x:v>
      </x:c>
      <x:c r="E727" s="98" t="n">
        <x:v>1.764636022317581</x:v>
      </x:c>
      <x:c r="F727" s="99" t="n">
        <x:v>539.0560386110499</x:v>
      </x:c>
      <x:c r="G727" s="100" t="str">
        <x:f>XLOOKUP(D727,'Reference Tables'!$A$4:$A$23,'Reference Tables'!$B$4:$B$23,"Other")</x:f>
        <x:v>Other</x:v>
      </x:c>
      <x:c r="H727" s="100" t="str">
        <x:f>VLOOKUP(G727,'Reference Tables'!$I$4:$J$9,2,FALSE)</x:f>
        <x:v>Moderate</x:v>
      </x:c>
      <x:c r="I727" s="101" t="n">
        <x:f>F727*'Inputs &amp; Guide'!$B$4*XLOOKUP(D727,'Reference Tables'!$A$4:$A$23,'Reference Tables'!$C$4:$C$23,0.75)</x:f>
        <x:v>64.68672463332598</x:v>
      </x:c>
      <x:c r="J727" s="102" t="n">
        <x:f>XLOOKUP(C727,'Reference Tables'!$E$4:$E$12,'Reference Tables'!$F$4:$F$12,0.05)</x:f>
        <x:v>0.1</x:v>
      </x:c>
      <x:c r="K727" s="103" t="n">
        <x:f>MIN(I727,F727*J727)</x:f>
        <x:v>53.90560386110499</x:v>
      </x:c>
      <x:c r="L727" s="103" t="n">
        <x:f>'Inputs &amp; Guide'!$B$5</x:f>
        <x:v>15</x:v>
      </x:c>
      <x:c r="M727" s="103" t="n">
        <x:f>I727*'Inputs &amp; Guide'!$B$6</x:f>
        <x:v>35.577698548329295</x:v>
      </x:c>
      <x:c r="N727" s="103" t="n">
        <x:f>MAX(0,MIN(K727-L727,M727))</x:f>
        <x:v>35.577698548329295</x:v>
      </x:c>
      <x:c r="O727" s="103" t="n">
        <x:f>MAX(0,N727-'Inputs &amp; Guide'!$B$7)</x:f>
        <x:v>0</x:v>
      </x:c>
      <x:c r="P727" s="103" t="n">
        <x:f>N727-O727</x:f>
        <x:v>35.577698548329295</x:v>
      </x:c>
      <x:c r="Q727" s="103" t="n">
        <x:f>I727*'Inputs &amp; Guide'!$B$8</x:f>
        <x:v>1.1643610433998675</x:v>
      </x:c>
      <x:c r="R727" s="104" t="n">
        <x:f>IFERROR(P727/Q727,0)</x:f>
        <x:v>30.555555555555564</x:v>
      </x:c>
      <x:c r="S727" s="105" t="n">
        <x:f>ROUND(E727*XLOOKUP(C727,'Reference Tables'!$E$4:$E$12,'Reference Tables'!$G$4:$G$12,1),1)</x:f>
        <x:v>2</x:v>
      </x:c>
      <x:c r="T727" s="106" t="str">
        <x:f>IF(R727&gt;='Inputs &amp; Guide'!$B$9,"HIGH",IF(R727&gt;=0.45,"WATCH","NORMAL"))</x:f>
        <x:v>HIGH</x:v>
      </x:c>
    </x:row>
    <x:row r="728">
      <x:c r="A728" s="95" t="n">
        <x:v>5793</x:v>
      </x:c>
      <x:c r="B728" s="96" t="n">
        <x:v>45533.104166666664</x:v>
      </x:c>
      <x:c r="C728" s="97" t="str">
        <x:v>Wildfire</x:v>
      </x:c>
      <x:c r="D728" s="97" t="str">
        <x:v>Brazil</x:v>
      </x:c>
      <x:c r="E728" s="98" t="n">
        <x:v>3.6713516838094513</x:v>
      </x:c>
      <x:c r="F728" s="99" t="n">
        <x:v>956.079052997862</x:v>
      </x:c>
      <x:c r="G728" s="100" t="str">
        <x:f>XLOOKUP(D728,'Reference Tables'!$A$4:$A$23,'Reference Tables'!$B$4:$B$23,"Other")</x:f>
        <x:v>Latin America</x:v>
      </x:c>
      <x:c r="H728" s="100" t="str">
        <x:f>VLOOKUP(G728,'Reference Tables'!$I$4:$J$9,2,FALSE)</x:f>
        <x:v>Moderate</x:v>
      </x:c>
      <x:c r="I728" s="101" t="n">
        <x:f>F728*'Inputs &amp; Guide'!$B$4*XLOOKUP(D728,'Reference Tables'!$A$4:$A$23,'Reference Tables'!$C$4:$C$23,0.75)</x:f>
        <x:v>125.43757175331949</x:v>
      </x:c>
      <x:c r="J728" s="102" t="n">
        <x:f>XLOOKUP(C728,'Reference Tables'!$E$4:$E$12,'Reference Tables'!$F$4:$F$12,0.05)</x:f>
        <x:v>0.1</x:v>
      </x:c>
      <x:c r="K728" s="103" t="n">
        <x:f>MIN(I728,F728*J728)</x:f>
        <x:v>95.60790529978621</x:v>
      </x:c>
      <x:c r="L728" s="103" t="n">
        <x:f>'Inputs &amp; Guide'!$B$5</x:f>
        <x:v>15</x:v>
      </x:c>
      <x:c r="M728" s="103" t="n">
        <x:f>I728*'Inputs &amp; Guide'!$B$6</x:f>
        <x:v>68.99066446432572</x:v>
      </x:c>
      <x:c r="N728" s="103" t="n">
        <x:f>MAX(0,MIN(K728-L728,M728))</x:f>
        <x:v>68.99066446432572</x:v>
      </x:c>
      <x:c r="O728" s="103" t="n">
        <x:f>MAX(0,N728-'Inputs &amp; Guide'!$B$7)</x:f>
        <x:v>8.990664464325718</x:v>
      </x:c>
      <x:c r="P728" s="103" t="n">
        <x:f>N728-O728</x:f>
        <x:v>60</x:v>
      </x:c>
      <x:c r="Q728" s="103" t="n">
        <x:f>I728*'Inputs &amp; Guide'!$B$8</x:f>
        <x:v>2.2578762915597506</x:v>
      </x:c>
      <x:c r="R728" s="104" t="n">
        <x:f>IFERROR(P728/Q728,0)</x:f>
        <x:v>26.57364365987994</x:v>
      </x:c>
      <x:c r="S728" s="105" t="n">
        <x:f>ROUND(E728*XLOOKUP(C728,'Reference Tables'!$E$4:$E$12,'Reference Tables'!$G$4:$G$12,1),1)</x:f>
        <x:v>4.2</x:v>
      </x:c>
      <x:c r="T728" s="106" t="str">
        <x:f>IF(R728&gt;='Inputs &amp; Guide'!$B$9,"HIGH",IF(R728&gt;=0.45,"WATCH","NORMAL"))</x:f>
        <x:v>HIGH</x:v>
      </x:c>
    </x:row>
    <x:row r="729">
      <x:c r="A729" s="95" t="n">
        <x:v>5801</x:v>
      </x:c>
      <x:c r="B729" s="96" t="n">
        <x:v>45533.4375</x:v>
      </x:c>
      <x:c r="C729" s="97" t="str">
        <x:v>Wildfire</x:v>
      </x:c>
      <x:c r="D729" s="97" t="str">
        <x:v>USA</x:v>
      </x:c>
      <x:c r="E729" s="98" t="n">
        <x:v>9.67725068379639</x:v>
      </x:c>
      <x:c r="F729" s="99" t="n">
        <x:v>85.12545185248256</x:v>
      </x:c>
      <x:c r="G729" s="100" t="str">
        <x:f>XLOOKUP(D729,'Reference Tables'!$A$4:$A$23,'Reference Tables'!$B$4:$B$23,"Other")</x:f>
        <x:v>Other</x:v>
      </x:c>
      <x:c r="H729" s="100" t="str">
        <x:f>VLOOKUP(G729,'Reference Tables'!$I$4:$J$9,2,FALSE)</x:f>
        <x:v>Moderate</x:v>
      </x:c>
      <x:c r="I729" s="101" t="n">
        <x:f>F729*'Inputs &amp; Guide'!$B$4*XLOOKUP(D729,'Reference Tables'!$A$4:$A$23,'Reference Tables'!$C$4:$C$23,0.75)</x:f>
        <x:v>10.215054222297907</x:v>
      </x:c>
      <x:c r="J729" s="102" t="n">
        <x:f>XLOOKUP(C729,'Reference Tables'!$E$4:$E$12,'Reference Tables'!$F$4:$F$12,0.05)</x:f>
        <x:v>0.1</x:v>
      </x:c>
      <x:c r="K729" s="103" t="n">
        <x:f>MIN(I729,F729*J729)</x:f>
        <x:v>8.512545185248255</x:v>
      </x:c>
      <x:c r="L729" s="103" t="n">
        <x:f>'Inputs &amp; Guide'!$B$5</x:f>
        <x:v>15</x:v>
      </x:c>
      <x:c r="M729" s="103" t="n">
        <x:f>I729*'Inputs &amp; Guide'!$B$6</x:f>
        <x:v>5.618279822263849</x:v>
      </x:c>
      <x:c r="N729" s="103" t="n">
        <x:f>MAX(0,MIN(K729-L729,M729))</x:f>
        <x:v>0</x:v>
      </x:c>
      <x:c r="O729" s="103" t="n">
        <x:f>MAX(0,N729-'Inputs &amp; Guide'!$B$7)</x:f>
        <x:v>0</x:v>
      </x:c>
      <x:c r="P729" s="103" t="n">
        <x:f>N729-O729</x:f>
        <x:v>0</x:v>
      </x:c>
      <x:c r="Q729" s="103" t="n">
        <x:f>I729*'Inputs &amp; Guide'!$B$8</x:f>
        <x:v>0.18387097600136232</x:v>
      </x:c>
      <x:c r="R729" s="104" t="n">
        <x:f>IFERROR(P729/Q729,0)</x:f>
        <x:v>0</x:v>
      </x:c>
      <x:c r="S729" s="105" t="n">
        <x:f>ROUND(E729*XLOOKUP(C729,'Reference Tables'!$E$4:$E$12,'Reference Tables'!$G$4:$G$12,1),1)</x:f>
        <x:v>11.1</x:v>
      </x:c>
      <x:c r="T729" s="106" t="str">
        <x:f>IF(R729&gt;='Inputs &amp; Guide'!$B$9,"HIGH",IF(R729&gt;=0.45,"WATCH","NORMAL"))</x:f>
        <x:v>NORMAL</x:v>
      </x:c>
    </x:row>
    <x:row r="730">
      <x:c r="A730" s="95" t="n">
        <x:v>5809</x:v>
      </x:c>
      <x:c r="B730" s="96" t="n">
        <x:v>45534</x:v>
      </x:c>
      <x:c r="C730" s="97" t="str">
        <x:v>Wildfire</x:v>
      </x:c>
      <x:c r="D730" s="97" t="str">
        <x:v>China</x:v>
      </x:c>
      <x:c r="E730" s="98" t="n">
        <x:v>8.537728030191628</x:v>
      </x:c>
      <x:c r="F730" s="99" t="n">
        <x:v>425.6200999341903</x:v>
      </x:c>
      <x:c r="G730" s="100" t="str">
        <x:f>XLOOKUP(D730,'Reference Tables'!$A$4:$A$23,'Reference Tables'!$B$4:$B$23,"Other")</x:f>
        <x:v>Asia Pacific</x:v>
      </x:c>
      <x:c r="H730" s="100" t="str">
        <x:f>VLOOKUP(G730,'Reference Tables'!$I$4:$J$9,2,FALSE)</x:f>
        <x:v>High</x:v>
      </x:c>
      <x:c r="I730" s="101" t="n">
        <x:f>F730*'Inputs &amp; Guide'!$B$4*XLOOKUP(D730,'Reference Tables'!$A$4:$A$23,'Reference Tables'!$C$4:$C$23,0.75)</x:f>
        <x:v>73.5471532686281</x:v>
      </x:c>
      <x:c r="J730" s="102" t="n">
        <x:f>XLOOKUP(C730,'Reference Tables'!$E$4:$E$12,'Reference Tables'!$F$4:$F$12,0.05)</x:f>
        <x:v>0.1</x:v>
      </x:c>
      <x:c r="K730" s="103" t="n">
        <x:f>MIN(I730,F730*J730)</x:f>
        <x:v>42.56200999341903</x:v>
      </x:c>
      <x:c r="L730" s="103" t="n">
        <x:f>'Inputs &amp; Guide'!$B$5</x:f>
        <x:v>15</x:v>
      </x:c>
      <x:c r="M730" s="103" t="n">
        <x:f>I730*'Inputs &amp; Guide'!$B$6</x:f>
        <x:v>40.450934297745455</x:v>
      </x:c>
      <x:c r="N730" s="103" t="n">
        <x:f>MAX(0,MIN(K730-L730,M730))</x:f>
        <x:v>27.562009993419032</x:v>
      </x:c>
      <x:c r="O730" s="103" t="n">
        <x:f>MAX(0,N730-'Inputs &amp; Guide'!$B$7)</x:f>
        <x:v>0</x:v>
      </x:c>
      <x:c r="P730" s="103" t="n">
        <x:f>N730-O730</x:f>
        <x:v>27.562009993419032</x:v>
      </x:c>
      <x:c r="Q730" s="103" t="n">
        <x:f>I730*'Inputs &amp; Guide'!$B$8</x:f>
        <x:v>1.3238487588353056</x:v>
      </x:c>
      <x:c r="R730" s="104" t="n">
        <x:f>IFERROR(P730/Q730,0)</x:f>
        <x:v>20.819606325474453</x:v>
      </x:c>
      <x:c r="S730" s="105" t="n">
        <x:f>ROUND(E730*XLOOKUP(C730,'Reference Tables'!$E$4:$E$12,'Reference Tables'!$G$4:$G$12,1),1)</x:f>
        <x:v>9.8</x:v>
      </x:c>
      <x:c r="T730" s="106" t="str">
        <x:f>IF(R730&gt;='Inputs &amp; Guide'!$B$9,"HIGH",IF(R730&gt;=0.45,"WATCH","NORMAL"))</x:f>
        <x:v>HIGH</x:v>
      </x:c>
    </x:row>
    <x:row r="731">
      <x:c r="A731" s="95" t="n">
        <x:v>5817</x:v>
      </x:c>
      <x:c r="B731" s="96" t="n">
        <x:v>45534.104166666664</x:v>
      </x:c>
      <x:c r="C731" s="97" t="str">
        <x:v>Hurricane</x:v>
      </x:c>
      <x:c r="D731" s="97" t="str">
        <x:v>Indonesia</x:v>
      </x:c>
      <x:c r="E731" s="98" t="n">
        <x:v>8.389362716570668</x:v>
      </x:c>
      <x:c r="F731" s="99" t="n">
        <x:v>787.2319342899899</x:v>
      </x:c>
      <x:c r="G731" s="100" t="str">
        <x:f>XLOOKUP(D731,'Reference Tables'!$A$4:$A$23,'Reference Tables'!$B$4:$B$23,"Other")</x:f>
        <x:v>Asia Pacific</x:v>
      </x:c>
      <x:c r="H731" s="100" t="str">
        <x:f>VLOOKUP(G731,'Reference Tables'!$I$4:$J$9,2,FALSE)</x:f>
        <x:v>High</x:v>
      </x:c>
      <x:c r="I731" s="101" t="n">
        <x:f>F731*'Inputs &amp; Guide'!$B$4*XLOOKUP(D731,'Reference Tables'!$A$4:$A$23,'Reference Tables'!$C$4:$C$23,0.75)</x:f>
        <x:v>129.73582277099035</x:v>
      </x:c>
      <x:c r="J731" s="102" t="n">
        <x:f>XLOOKUP(C731,'Reference Tables'!$E$4:$E$12,'Reference Tables'!$F$4:$F$12,0.05)</x:f>
        <x:v>0.18</x:v>
      </x:c>
      <x:c r="K731" s="103" t="n">
        <x:f>MIN(I731,F731*J731)</x:f>
        <x:v>129.73582277099035</x:v>
      </x:c>
      <x:c r="L731" s="103" t="n">
        <x:f>'Inputs &amp; Guide'!$B$5</x:f>
        <x:v>15</x:v>
      </x:c>
      <x:c r="M731" s="103" t="n">
        <x:f>I731*'Inputs &amp; Guide'!$B$6</x:f>
        <x:v>71.3547025240447</x:v>
      </x:c>
      <x:c r="N731" s="103" t="n">
        <x:f>MAX(0,MIN(K731-L731,M731))</x:f>
        <x:v>71.3547025240447</x:v>
      </x:c>
      <x:c r="O731" s="103" t="n">
        <x:f>MAX(0,N731-'Inputs &amp; Guide'!$B$7)</x:f>
        <x:v>11.354702524044697</x:v>
      </x:c>
      <x:c r="P731" s="103" t="n">
        <x:f>N731-O731</x:f>
        <x:v>60</x:v>
      </x:c>
      <x:c r="Q731" s="103" t="n">
        <x:f>I731*'Inputs &amp; Guide'!$B$8</x:f>
        <x:v>2.335244809877826</x:v>
      </x:c>
      <x:c r="R731" s="104" t="n">
        <x:f>IFERROR(P731/Q731,0)</x:f>
        <x:v>25.693237705189052</x:v>
      </x:c>
      <x:c r="S731" s="105" t="n">
        <x:f>ROUND(E731*XLOOKUP(C731,'Reference Tables'!$E$4:$E$12,'Reference Tables'!$G$4:$G$12,1),1)</x:f>
        <x:v>11.7</x:v>
      </x:c>
      <x:c r="T731" s="106" t="str">
        <x:f>IF(R731&gt;='Inputs &amp; Guide'!$B$9,"HIGH",IF(R731&gt;=0.45,"WATCH","NORMAL"))</x:f>
        <x:v>HIGH</x:v>
      </x:c>
    </x:row>
    <x:row r="732">
      <x:c r="A732" s="95" t="n">
        <x:v>5825</x:v>
      </x:c>
      <x:c r="B732" s="96" t="n">
        <x:v>45534.4375</x:v>
      </x:c>
      <x:c r="C732" s="97" t="str">
        <x:v>Hurricane</x:v>
      </x:c>
      <x:c r="D732" s="97" t="str">
        <x:v>Japan</x:v>
      </x:c>
      <x:c r="E732" s="98" t="n">
        <x:v>3.203702323857482</x:v>
      </x:c>
      <x:c r="F732" s="99" t="n">
        <x:v>467.8063338998598</x:v>
      </x:c>
      <x:c r="G732" s="100" t="str">
        <x:f>XLOOKUP(D732,'Reference Tables'!$A$4:$A$23,'Reference Tables'!$B$4:$B$23,"Other")</x:f>
        <x:v>Asia Pacific</x:v>
      </x:c>
      <x:c r="H732" s="100" t="str">
        <x:f>VLOOKUP(G732,'Reference Tables'!$I$4:$J$9,2,FALSE)</x:f>
        <x:v>High</x:v>
      </x:c>
      <x:c r="I732" s="101" t="n">
        <x:f>F732*'Inputs &amp; Guide'!$B$4*XLOOKUP(D732,'Reference Tables'!$A$4:$A$23,'Reference Tables'!$C$4:$C$23,0.75)</x:f>
        <x:v>88.32183584029353</x:v>
      </x:c>
      <x:c r="J732" s="102" t="n">
        <x:f>XLOOKUP(C732,'Reference Tables'!$E$4:$E$12,'Reference Tables'!$F$4:$F$12,0.05)</x:f>
        <x:v>0.18</x:v>
      </x:c>
      <x:c r="K732" s="103" t="n">
        <x:f>MIN(I732,F732*J732)</x:f>
        <x:v>84.20514010197476</x:v>
      </x:c>
      <x:c r="L732" s="103" t="n">
        <x:f>'Inputs &amp; Guide'!$B$5</x:f>
        <x:v>15</x:v>
      </x:c>
      <x:c r="M732" s="103" t="n">
        <x:f>I732*'Inputs &amp; Guide'!$B$6</x:f>
        <x:v>48.57700971216145</x:v>
      </x:c>
      <x:c r="N732" s="103" t="n">
        <x:f>MAX(0,MIN(K732-L732,M732))</x:f>
        <x:v>48.57700971216145</x:v>
      </x:c>
      <x:c r="O732" s="103" t="n">
        <x:f>MAX(0,N732-'Inputs &amp; Guide'!$B$7)</x:f>
        <x:v>0</x:v>
      </x:c>
      <x:c r="P732" s="103" t="n">
        <x:f>N732-O732</x:f>
        <x:v>48.57700971216145</x:v>
      </x:c>
      <x:c r="Q732" s="103" t="n">
        <x:f>I732*'Inputs &amp; Guide'!$B$8</x:f>
        <x:v>1.5897930451252835</x:v>
      </x:c>
      <x:c r="R732" s="104" t="n">
        <x:f>IFERROR(P732/Q732,0)</x:f>
        <x:v>30.55555555555556</x:v>
      </x:c>
      <x:c r="S732" s="105" t="n">
        <x:f>ROUND(E732*XLOOKUP(C732,'Reference Tables'!$E$4:$E$12,'Reference Tables'!$G$4:$G$12,1),1)</x:f>
        <x:v>4.5</x:v>
      </x:c>
      <x:c r="T732" s="106" t="str">
        <x:f>IF(R732&gt;='Inputs &amp; Guide'!$B$9,"HIGH",IF(R732&gt;=0.45,"WATCH","NORMAL"))</x:f>
        <x:v>HIGH</x:v>
      </x:c>
    </x:row>
    <x:row r="733">
      <x:c r="A733" s="95" t="n">
        <x:v>5833</x:v>
      </x:c>
      <x:c r="B733" s="96" t="n">
        <x:v>45535</x:v>
      </x:c>
      <x:c r="C733" s="97" t="str">
        <x:v>Hurricane</x:v>
      </x:c>
      <x:c r="D733" s="97" t="str">
        <x:v>China</x:v>
      </x:c>
      <x:c r="E733" s="98" t="n">
        <x:v>5.498435722143582</x:v>
      </x:c>
      <x:c r="F733" s="99" t="n">
        <x:v>516.0668623501808</x:v>
      </x:c>
      <x:c r="G733" s="100" t="str">
        <x:f>XLOOKUP(D733,'Reference Tables'!$A$4:$A$23,'Reference Tables'!$B$4:$B$23,"Other")</x:f>
        <x:v>Asia Pacific</x:v>
      </x:c>
      <x:c r="H733" s="100" t="str">
        <x:f>VLOOKUP(G733,'Reference Tables'!$I$4:$J$9,2,FALSE)</x:f>
        <x:v>High</x:v>
      </x:c>
      <x:c r="I733" s="101" t="n">
        <x:f>F733*'Inputs &amp; Guide'!$B$4*XLOOKUP(D733,'Reference Tables'!$A$4:$A$23,'Reference Tables'!$C$4:$C$23,0.75)</x:f>
        <x:v>89.17635381411127</x:v>
      </x:c>
      <x:c r="J733" s="102" t="n">
        <x:f>XLOOKUP(C733,'Reference Tables'!$E$4:$E$12,'Reference Tables'!$F$4:$F$12,0.05)</x:f>
        <x:v>0.18</x:v>
      </x:c>
      <x:c r="K733" s="103" t="n">
        <x:f>MIN(I733,F733*J733)</x:f>
        <x:v>89.17635381411127</x:v>
      </x:c>
      <x:c r="L733" s="103" t="n">
        <x:f>'Inputs &amp; Guide'!$B$5</x:f>
        <x:v>15</x:v>
      </x:c>
      <x:c r="M733" s="103" t="n">
        <x:f>I733*'Inputs &amp; Guide'!$B$6</x:f>
        <x:v>49.0469945977612</x:v>
      </x:c>
      <x:c r="N733" s="103" t="n">
        <x:f>MAX(0,MIN(K733-L733,M733))</x:f>
        <x:v>49.0469945977612</x:v>
      </x:c>
      <x:c r="O733" s="103" t="n">
        <x:f>MAX(0,N733-'Inputs &amp; Guide'!$B$7)</x:f>
        <x:v>0</x:v>
      </x:c>
      <x:c r="P733" s="103" t="n">
        <x:f>N733-O733</x:f>
        <x:v>49.0469945977612</x:v>
      </x:c>
      <x:c r="Q733" s="103" t="n">
        <x:f>I733*'Inputs &amp; Guide'!$B$8</x:f>
        <x:v>1.6051743686540028</x:v>
      </x:c>
      <x:c r="R733" s="104" t="n">
        <x:f>IFERROR(P733/Q733,0)</x:f>
        <x:v>30.555555555555557</x:v>
      </x:c>
      <x:c r="S733" s="105" t="n">
        <x:f>ROUND(E733*XLOOKUP(C733,'Reference Tables'!$E$4:$E$12,'Reference Tables'!$G$4:$G$12,1),1)</x:f>
        <x:v>7.7</x:v>
      </x:c>
      <x:c r="T733" s="106" t="str">
        <x:f>IF(R733&gt;='Inputs &amp; Guide'!$B$9,"HIGH",IF(R733&gt;=0.45,"WATCH","NORMAL"))</x:f>
        <x:v>HIGH</x:v>
      </x:c>
    </x:row>
    <x:row r="734">
      <x:c r="A734" s="95" t="n">
        <x:v>5841</x:v>
      </x:c>
      <x:c r="B734" s="96" t="n">
        <x:v>45535.104166666664</x:v>
      </x:c>
      <x:c r="C734" s="97" t="str">
        <x:v>Tornado</x:v>
      </x:c>
      <x:c r="D734" s="97" t="str">
        <x:v>USA</x:v>
      </x:c>
      <x:c r="E734" s="98" t="n">
        <x:v>6.051498469905415</x:v>
      </x:c>
      <x:c r="F734" s="99" t="n">
        <x:v>765.0647191895438</x:v>
      </x:c>
      <x:c r="G734" s="100" t="str">
        <x:f>XLOOKUP(D734,'Reference Tables'!$A$4:$A$23,'Reference Tables'!$B$4:$B$23,"Other")</x:f>
        <x:v>Other</x:v>
      </x:c>
      <x:c r="H734" s="100" t="str">
        <x:f>VLOOKUP(G734,'Reference Tables'!$I$4:$J$9,2,FALSE)</x:f>
        <x:v>Moderate</x:v>
      </x:c>
      <x:c r="I734" s="101" t="n">
        <x:f>F734*'Inputs &amp; Guide'!$B$4*XLOOKUP(D734,'Reference Tables'!$A$4:$A$23,'Reference Tables'!$C$4:$C$23,0.75)</x:f>
        <x:v>91.80776630274525</x:v>
      </x:c>
      <x:c r="J734" s="102" t="n">
        <x:f>XLOOKUP(C734,'Reference Tables'!$E$4:$E$12,'Reference Tables'!$F$4:$F$12,0.05)</x:f>
        <x:v>0.09</x:v>
      </x:c>
      <x:c r="K734" s="103" t="n">
        <x:f>MIN(I734,F734*J734)</x:f>
        <x:v>68.85582472705894</x:v>
      </x:c>
      <x:c r="L734" s="103" t="n">
        <x:f>'Inputs &amp; Guide'!$B$5</x:f>
        <x:v>15</x:v>
      </x:c>
      <x:c r="M734" s="103" t="n">
        <x:f>I734*'Inputs &amp; Guide'!$B$6</x:f>
        <x:v>50.49427146650989</x:v>
      </x:c>
      <x:c r="N734" s="103" t="n">
        <x:f>MAX(0,MIN(K734-L734,M734))</x:f>
        <x:v>50.49427146650989</x:v>
      </x:c>
      <x:c r="O734" s="103" t="n">
        <x:f>MAX(0,N734-'Inputs &amp; Guide'!$B$7)</x:f>
        <x:v>0</x:v>
      </x:c>
      <x:c r="P734" s="103" t="n">
        <x:f>N734-O734</x:f>
        <x:v>50.49427146650989</x:v>
      </x:c>
      <x:c r="Q734" s="103" t="n">
        <x:f>I734*'Inputs &amp; Guide'!$B$8</x:f>
        <x:v>1.6525397934494144</x:v>
      </x:c>
      <x:c r="R734" s="104" t="n">
        <x:f>IFERROR(P734/Q734,0)</x:f>
        <x:v>30.55555555555556</x:v>
      </x:c>
      <x:c r="S734" s="105" t="n">
        <x:f>ROUND(E734*XLOOKUP(C734,'Reference Tables'!$E$4:$E$12,'Reference Tables'!$G$4:$G$12,1),1)</x:f>
        <x:v>6.4</x:v>
      </x:c>
      <x:c r="T734" s="106" t="str">
        <x:f>IF(R734&gt;='Inputs &amp; Guide'!$B$9,"HIGH",IF(R734&gt;=0.45,"WATCH","NORMAL"))</x:f>
        <x:v>HIGH</x:v>
      </x:c>
    </x:row>
    <x:row r="735">
      <x:c r="A735" s="95" t="n">
        <x:v>5849</x:v>
      </x:c>
      <x:c r="B735" s="96" t="n">
        <x:v>45535.4375</x:v>
      </x:c>
      <x:c r="C735" s="97" t="str">
        <x:v>Flood</x:v>
      </x:c>
      <x:c r="D735" s="97" t="str">
        <x:v>USA</x:v>
      </x:c>
      <x:c r="E735" s="98" t="n">
        <x:v>4.185597933909931</x:v>
      </x:c>
      <x:c r="F735" s="99" t="n">
        <x:v>476.5967994216235</x:v>
      </x:c>
      <x:c r="G735" s="100" t="str">
        <x:f>XLOOKUP(D735,'Reference Tables'!$A$4:$A$23,'Reference Tables'!$B$4:$B$23,"Other")</x:f>
        <x:v>Other</x:v>
      </x:c>
      <x:c r="H735" s="100" t="str">
        <x:f>VLOOKUP(G735,'Reference Tables'!$I$4:$J$9,2,FALSE)</x:f>
        <x:v>Moderate</x:v>
      </x:c>
      <x:c r="I735" s="101" t="n">
        <x:f>F735*'Inputs &amp; Guide'!$B$4*XLOOKUP(D735,'Reference Tables'!$A$4:$A$23,'Reference Tables'!$C$4:$C$23,0.75)</x:f>
        <x:v>57.191615930594814</x:v>
      </x:c>
      <x:c r="J735" s="102" t="n">
        <x:f>XLOOKUP(C735,'Reference Tables'!$E$4:$E$12,'Reference Tables'!$F$4:$F$12,0.05)</x:f>
        <x:v>0.12</x:v>
      </x:c>
      <x:c r="K735" s="103" t="n">
        <x:f>MIN(I735,F735*J735)</x:f>
        <x:v>57.191615930594814</x:v>
      </x:c>
      <x:c r="L735" s="103" t="n">
        <x:f>'Inputs &amp; Guide'!$B$5</x:f>
        <x:v>15</x:v>
      </x:c>
      <x:c r="M735" s="103" t="n">
        <x:f>I735*'Inputs &amp; Guide'!$B$6</x:f>
        <x:v>31.45538876182715</x:v>
      </x:c>
      <x:c r="N735" s="103" t="n">
        <x:f>MAX(0,MIN(K735-L735,M735))</x:f>
        <x:v>31.45538876182715</x:v>
      </x:c>
      <x:c r="O735" s="103" t="n">
        <x:f>MAX(0,N735-'Inputs &amp; Guide'!$B$7)</x:f>
        <x:v>0</x:v>
      </x:c>
      <x:c r="P735" s="103" t="n">
        <x:f>N735-O735</x:f>
        <x:v>31.45538876182715</x:v>
      </x:c>
      <x:c r="Q735" s="103" t="n">
        <x:f>I735*'Inputs &amp; Guide'!$B$8</x:f>
        <x:v>1.0294490867507067</x:v>
      </x:c>
      <x:c r="R735" s="104" t="n">
        <x:f>IFERROR(P735/Q735,0)</x:f>
        <x:v>30.555555555555557</x:v>
      </x:c>
      <x:c r="S735" s="105" t="n">
        <x:f>ROUND(E735*XLOOKUP(C735,'Reference Tables'!$E$4:$E$12,'Reference Tables'!$G$4:$G$12,1),1)</x:f>
        <x:v>5.2</x:v>
      </x:c>
      <x:c r="T735" s="106" t="str">
        <x:f>IF(R735&gt;='Inputs &amp; Guide'!$B$9,"HIGH",IF(R735&gt;=0.45,"WATCH","NORMAL"))</x:f>
        <x:v>HIGH</x:v>
      </x:c>
    </x:row>
    <x:row r="736">
      <x:c r="A736" s="95" t="n">
        <x:v>5857</x:v>
      </x:c>
      <x:c r="B736" s="96" t="n">
        <x:v>45536</x:v>
      </x:c>
      <x:c r="C736" s="97" t="str">
        <x:v>Hurricane</x:v>
      </x:c>
      <x:c r="D736" s="97" t="str">
        <x:v>China</x:v>
      </x:c>
      <x:c r="E736" s="98" t="n">
        <x:v>7.884267647820347</x:v>
      </x:c>
      <x:c r="F736" s="99" t="n">
        <x:v>838.2772480698802</x:v>
      </x:c>
      <x:c r="G736" s="100" t="str">
        <x:f>XLOOKUP(D736,'Reference Tables'!$A$4:$A$23,'Reference Tables'!$B$4:$B$23,"Other")</x:f>
        <x:v>Asia Pacific</x:v>
      </x:c>
      <x:c r="H736" s="100" t="str">
        <x:f>VLOOKUP(G736,'Reference Tables'!$I$4:$J$9,2,FALSE)</x:f>
        <x:v>High</x:v>
      </x:c>
      <x:c r="I736" s="101" t="n">
        <x:f>F736*'Inputs &amp; Guide'!$B$4*XLOOKUP(D736,'Reference Tables'!$A$4:$A$23,'Reference Tables'!$C$4:$C$23,0.75)</x:f>
        <x:v>144.85430846647532</x:v>
      </x:c>
      <x:c r="J736" s="102" t="n">
        <x:f>XLOOKUP(C736,'Reference Tables'!$E$4:$E$12,'Reference Tables'!$F$4:$F$12,0.05)</x:f>
        <x:v>0.18</x:v>
      </x:c>
      <x:c r="K736" s="103" t="n">
        <x:f>MIN(I736,F736*J736)</x:f>
        <x:v>144.85430846647532</x:v>
      </x:c>
      <x:c r="L736" s="103" t="n">
        <x:f>'Inputs &amp; Guide'!$B$5</x:f>
        <x:v>15</x:v>
      </x:c>
      <x:c r="M736" s="103" t="n">
        <x:f>I736*'Inputs &amp; Guide'!$B$6</x:f>
        <x:v>79.66986965656143</x:v>
      </x:c>
      <x:c r="N736" s="103" t="n">
        <x:f>MAX(0,MIN(K736-L736,M736))</x:f>
        <x:v>79.66986965656143</x:v>
      </x:c>
      <x:c r="O736" s="103" t="n">
        <x:f>MAX(0,N736-'Inputs &amp; Guide'!$B$7)</x:f>
        <x:v>19.66986965656143</x:v>
      </x:c>
      <x:c r="P736" s="103" t="n">
        <x:f>N736-O736</x:f>
        <x:v>60</x:v>
      </x:c>
      <x:c r="Q736" s="103" t="n">
        <x:f>I736*'Inputs &amp; Guide'!$B$8</x:f>
        <x:v>2.6073775523965557</x:v>
      </x:c>
      <x:c r="R736" s="104" t="n">
        <x:f>IFERROR(P736/Q736,0)</x:f>
        <x:v>23.011627121224294</x:v>
      </x:c>
      <x:c r="S736" s="105" t="n">
        <x:f>ROUND(E736*XLOOKUP(C736,'Reference Tables'!$E$4:$E$12,'Reference Tables'!$G$4:$G$12,1),1)</x:f>
        <x:v>11</x:v>
      </x:c>
      <x:c r="T736" s="106" t="str">
        <x:f>IF(R736&gt;='Inputs &amp; Guide'!$B$9,"HIGH",IF(R736&gt;=0.45,"WATCH","NORMAL"))</x:f>
        <x:v>HIGH</x:v>
      </x:c>
    </x:row>
    <x:row r="737">
      <x:c r="A737" s="95" t="n">
        <x:v>5865</x:v>
      </x:c>
      <x:c r="B737" s="96" t="n">
        <x:v>45536.104166666664</x:v>
      </x:c>
      <x:c r="C737" s="97" t="str">
        <x:v>Hurricane</x:v>
      </x:c>
      <x:c r="D737" s="97" t="str">
        <x:v>India</x:v>
      </x:c>
      <x:c r="E737" s="98" t="n">
        <x:v>8.756533327466933</x:v>
      </x:c>
      <x:c r="F737" s="99" t="n">
        <x:v>526.4813651802563</x:v>
      </x:c>
      <x:c r="G737" s="100" t="str">
        <x:f>XLOOKUP(D737,'Reference Tables'!$A$4:$A$23,'Reference Tables'!$B$4:$B$23,"Other")</x:f>
        <x:v>Asia Pacific</x:v>
      </x:c>
      <x:c r="H737" s="100" t="str">
        <x:f>VLOOKUP(G737,'Reference Tables'!$I$4:$J$9,2,FALSE)</x:f>
        <x:v>High</x:v>
      </x:c>
      <x:c r="I737" s="101" t="n">
        <x:f>F737*'Inputs &amp; Guide'!$B$4*XLOOKUP(D737,'Reference Tables'!$A$4:$A$23,'Reference Tables'!$C$4:$C$23,0.75)</x:f>
        <x:v>76.65568677024531</x:v>
      </x:c>
      <x:c r="J737" s="102" t="n">
        <x:f>XLOOKUP(C737,'Reference Tables'!$E$4:$E$12,'Reference Tables'!$F$4:$F$12,0.05)</x:f>
        <x:v>0.18</x:v>
      </x:c>
      <x:c r="K737" s="103" t="n">
        <x:f>MIN(I737,F737*J737)</x:f>
        <x:v>76.65568677024531</x:v>
      </x:c>
      <x:c r="L737" s="103" t="n">
        <x:f>'Inputs &amp; Guide'!$B$5</x:f>
        <x:v>15</x:v>
      </x:c>
      <x:c r="M737" s="103" t="n">
        <x:f>I737*'Inputs &amp; Guide'!$B$6</x:f>
        <x:v>42.160627723634924</x:v>
      </x:c>
      <x:c r="N737" s="103" t="n">
        <x:f>MAX(0,MIN(K737-L737,M737))</x:f>
        <x:v>42.160627723634924</x:v>
      </x:c>
      <x:c r="O737" s="103" t="n">
        <x:f>MAX(0,N737-'Inputs &amp; Guide'!$B$7)</x:f>
        <x:v>0</x:v>
      </x:c>
      <x:c r="P737" s="103" t="n">
        <x:f>N737-O737</x:f>
        <x:v>42.160627723634924</x:v>
      </x:c>
      <x:c r="Q737" s="103" t="n">
        <x:f>I737*'Inputs &amp; Guide'!$B$8</x:f>
        <x:v>1.3798023618644155</x:v>
      </x:c>
      <x:c r="R737" s="104" t="n">
        <x:f>IFERROR(P737/Q737,0)</x:f>
        <x:v>30.55555555555556</x:v>
      </x:c>
      <x:c r="S737" s="105" t="n">
        <x:f>ROUND(E737*XLOOKUP(C737,'Reference Tables'!$E$4:$E$12,'Reference Tables'!$G$4:$G$12,1),1)</x:f>
        <x:v>12.3</x:v>
      </x:c>
      <x:c r="T737" s="106" t="str">
        <x:f>IF(R737&gt;='Inputs &amp; Guide'!$B$9,"HIGH",IF(R737&gt;=0.45,"WATCH","NORMAL"))</x:f>
        <x:v>HIGH</x:v>
      </x:c>
    </x:row>
    <x:row r="738">
      <x:c r="A738" s="95" t="n">
        <x:v>5873</x:v>
      </x:c>
      <x:c r="B738" s="96" t="n">
        <x:v>45536.4375</x:v>
      </x:c>
      <x:c r="C738" s="97" t="str">
        <x:v>Hurricane</x:v>
      </x:c>
      <x:c r="D738" s="97" t="str">
        <x:v>USA</x:v>
      </x:c>
      <x:c r="E738" s="98" t="n">
        <x:v>6.1253382483972825</x:v>
      </x:c>
      <x:c r="F738" s="99" t="n">
        <x:v>711.4071059425208</x:v>
      </x:c>
      <x:c r="G738" s="100" t="str">
        <x:f>XLOOKUP(D738,'Reference Tables'!$A$4:$A$23,'Reference Tables'!$B$4:$B$23,"Other")</x:f>
        <x:v>Other</x:v>
      </x:c>
      <x:c r="H738" s="100" t="str">
        <x:f>VLOOKUP(G738,'Reference Tables'!$I$4:$J$9,2,FALSE)</x:f>
        <x:v>Moderate</x:v>
      </x:c>
      <x:c r="I738" s="101" t="n">
        <x:f>F738*'Inputs &amp; Guide'!$B$4*XLOOKUP(D738,'Reference Tables'!$A$4:$A$23,'Reference Tables'!$C$4:$C$23,0.75)</x:f>
        <x:v>85.36885271310251</x:v>
      </x:c>
      <x:c r="J738" s="102" t="n">
        <x:f>XLOOKUP(C738,'Reference Tables'!$E$4:$E$12,'Reference Tables'!$F$4:$F$12,0.05)</x:f>
        <x:v>0.18</x:v>
      </x:c>
      <x:c r="K738" s="103" t="n">
        <x:f>MIN(I738,F738*J738)</x:f>
        <x:v>85.36885271310251</x:v>
      </x:c>
      <x:c r="L738" s="103" t="n">
        <x:f>'Inputs &amp; Guide'!$B$5</x:f>
        <x:v>15</x:v>
      </x:c>
      <x:c r="M738" s="103" t="n">
        <x:f>I738*'Inputs &amp; Guide'!$B$6</x:f>
        <x:v>46.95286899220638</x:v>
      </x:c>
      <x:c r="N738" s="103" t="n">
        <x:f>MAX(0,MIN(K738-L738,M738))</x:f>
        <x:v>46.95286899220638</x:v>
      </x:c>
      <x:c r="O738" s="103" t="n">
        <x:f>MAX(0,N738-'Inputs &amp; Guide'!$B$7)</x:f>
        <x:v>0</x:v>
      </x:c>
      <x:c r="P738" s="103" t="n">
        <x:f>N738-O738</x:f>
        <x:v>46.95286899220638</x:v>
      </x:c>
      <x:c r="Q738" s="103" t="n">
        <x:f>I738*'Inputs &amp; Guide'!$B$8</x:f>
        <x:v>1.5366393488358452</x:v>
      </x:c>
      <x:c r="R738" s="104" t="n">
        <x:f>IFERROR(P738/Q738,0)</x:f>
        <x:v>30.555555555555557</x:v>
      </x:c>
      <x:c r="S738" s="105" t="n">
        <x:f>ROUND(E738*XLOOKUP(C738,'Reference Tables'!$E$4:$E$12,'Reference Tables'!$G$4:$G$12,1),1)</x:f>
        <x:v>8.6</x:v>
      </x:c>
      <x:c r="T738" s="106" t="str">
        <x:f>IF(R738&gt;='Inputs &amp; Guide'!$B$9,"HIGH",IF(R738&gt;=0.45,"WATCH","NORMAL"))</x:f>
        <x:v>HIGH</x:v>
      </x:c>
    </x:row>
    <x:row r="739">
      <x:c r="A739" s="95" t="n">
        <x:v>5881</x:v>
      </x:c>
      <x:c r="B739" s="96" t="n">
        <x:v>45537</x:v>
      </x:c>
      <x:c r="C739" s="97" t="str">
        <x:v>Hurricane</x:v>
      </x:c>
      <x:c r="D739" s="97" t="str">
        <x:v>India</x:v>
      </x:c>
      <x:c r="E739" s="98" t="n">
        <x:v>5.619719132986944</x:v>
      </x:c>
      <x:c r="F739" s="99" t="n">
        <x:v>539.6995823271178</x:v>
      </x:c>
      <x:c r="G739" s="100" t="str">
        <x:f>XLOOKUP(D739,'Reference Tables'!$A$4:$A$23,'Reference Tables'!$B$4:$B$23,"Other")</x:f>
        <x:v>Asia Pacific</x:v>
      </x:c>
      <x:c r="H739" s="100" t="str">
        <x:f>VLOOKUP(G739,'Reference Tables'!$I$4:$J$9,2,FALSE)</x:f>
        <x:v>High</x:v>
      </x:c>
      <x:c r="I739" s="101" t="n">
        <x:f>F739*'Inputs &amp; Guide'!$B$4*XLOOKUP(D739,'Reference Tables'!$A$4:$A$23,'Reference Tables'!$C$4:$C$23,0.75)</x:f>
        <x:v>78.58025918682836</x:v>
      </x:c>
      <x:c r="J739" s="102" t="n">
        <x:f>XLOOKUP(C739,'Reference Tables'!$E$4:$E$12,'Reference Tables'!$F$4:$F$12,0.05)</x:f>
        <x:v>0.18</x:v>
      </x:c>
      <x:c r="K739" s="103" t="n">
        <x:f>MIN(I739,F739*J739)</x:f>
        <x:v>78.58025918682836</x:v>
      </x:c>
      <x:c r="L739" s="103" t="n">
        <x:f>'Inputs &amp; Guide'!$B$5</x:f>
        <x:v>15</x:v>
      </x:c>
      <x:c r="M739" s="103" t="n">
        <x:f>I739*'Inputs &amp; Guide'!$B$6</x:f>
        <x:v>43.2191425527556</x:v>
      </x:c>
      <x:c r="N739" s="103" t="n">
        <x:f>MAX(0,MIN(K739-L739,M739))</x:f>
        <x:v>43.2191425527556</x:v>
      </x:c>
      <x:c r="O739" s="103" t="n">
        <x:f>MAX(0,N739-'Inputs &amp; Guide'!$B$7)</x:f>
        <x:v>0</x:v>
      </x:c>
      <x:c r="P739" s="103" t="n">
        <x:f>N739-O739</x:f>
        <x:v>43.2191425527556</x:v>
      </x:c>
      <x:c r="Q739" s="103" t="n">
        <x:f>I739*'Inputs &amp; Guide'!$B$8</x:f>
        <x:v>1.4144446653629104</x:v>
      </x:c>
      <x:c r="R739" s="104" t="n">
        <x:f>IFERROR(P739/Q739,0)</x:f>
        <x:v>30.55555555555556</x:v>
      </x:c>
      <x:c r="S739" s="105" t="n">
        <x:f>ROUND(E739*XLOOKUP(C739,'Reference Tables'!$E$4:$E$12,'Reference Tables'!$G$4:$G$12,1),1)</x:f>
        <x:v>7.9</x:v>
      </x:c>
      <x:c r="T739" s="106" t="str">
        <x:f>IF(R739&gt;='Inputs &amp; Guide'!$B$9,"HIGH",IF(R739&gt;=0.45,"WATCH","NORMAL"))</x:f>
        <x:v>HIGH</x:v>
      </x:c>
    </x:row>
    <x:row r="740">
      <x:c r="A740" s="95" t="n">
        <x:v>5889</x:v>
      </x:c>
      <x:c r="B740" s="96" t="n">
        <x:v>45537.104166666664</x:v>
      </x:c>
      <x:c r="C740" s="97" t="str">
        <x:v>Flood</x:v>
      </x:c>
      <x:c r="D740" s="97" t="str">
        <x:v>Indonesia</x:v>
      </x:c>
      <x:c r="E740" s="98" t="n">
        <x:v>5.224063858504669</x:v>
      </x:c>
      <x:c r="F740" s="99" t="n">
        <x:v>464.76005629985144</x:v>
      </x:c>
      <x:c r="G740" s="100" t="str">
        <x:f>XLOOKUP(D740,'Reference Tables'!$A$4:$A$23,'Reference Tables'!$B$4:$B$23,"Other")</x:f>
        <x:v>Asia Pacific</x:v>
      </x:c>
      <x:c r="H740" s="100" t="str">
        <x:f>VLOOKUP(G740,'Reference Tables'!$I$4:$J$9,2,FALSE)</x:f>
        <x:v>High</x:v>
      </x:c>
      <x:c r="I740" s="101" t="n">
        <x:f>F740*'Inputs &amp; Guide'!$B$4*XLOOKUP(D740,'Reference Tables'!$A$4:$A$23,'Reference Tables'!$C$4:$C$23,0.75)</x:f>
        <x:v>76.59245727821552</x:v>
      </x:c>
      <x:c r="J740" s="102" t="n">
        <x:f>XLOOKUP(C740,'Reference Tables'!$E$4:$E$12,'Reference Tables'!$F$4:$F$12,0.05)</x:f>
        <x:v>0.12</x:v>
      </x:c>
      <x:c r="K740" s="103" t="n">
        <x:f>MIN(I740,F740*J740)</x:f>
        <x:v>55.77120675598217</x:v>
      </x:c>
      <x:c r="L740" s="103" t="n">
        <x:f>'Inputs &amp; Guide'!$B$5</x:f>
        <x:v>15</x:v>
      </x:c>
      <x:c r="M740" s="103" t="n">
        <x:f>I740*'Inputs &amp; Guide'!$B$6</x:f>
        <x:v>42.12585150301854</x:v>
      </x:c>
      <x:c r="N740" s="103" t="n">
        <x:f>MAX(0,MIN(K740-L740,M740))</x:f>
        <x:v>40.77120675598217</x:v>
      </x:c>
      <x:c r="O740" s="103" t="n">
        <x:f>MAX(0,N740-'Inputs &amp; Guide'!$B$7)</x:f>
        <x:v>0</x:v>
      </x:c>
      <x:c r="P740" s="103" t="n">
        <x:f>N740-O740</x:f>
        <x:v>40.77120675598217</x:v>
      </x:c>
      <x:c r="Q740" s="103" t="n">
        <x:f>I740*'Inputs &amp; Guide'!$B$8</x:f>
        <x:v>1.3786642310078792</x:v>
      </x:c>
      <x:c r="R740" s="104" t="n">
        <x:f>IFERROR(P740/Q740,0)</x:f>
        <x:v>29.572977842600718</x:v>
      </x:c>
      <x:c r="S740" s="105" t="n">
        <x:f>ROUND(E740*XLOOKUP(C740,'Reference Tables'!$E$4:$E$12,'Reference Tables'!$G$4:$G$12,1),1)</x:f>
        <x:v>6.5</x:v>
      </x:c>
      <x:c r="T740" s="106" t="str">
        <x:f>IF(R740&gt;='Inputs &amp; Guide'!$B$9,"HIGH",IF(R740&gt;=0.45,"WATCH","NORMAL"))</x:f>
        <x:v>HIGH</x:v>
      </x:c>
    </x:row>
    <x:row r="741">
      <x:c r="A741" s="95" t="n">
        <x:v>5897</x:v>
      </x:c>
      <x:c r="B741" s="96" t="n">
        <x:v>45537.4375</x:v>
      </x:c>
      <x:c r="C741" s="97" t="str">
        <x:v>Flood</x:v>
      </x:c>
      <x:c r="D741" s="97" t="str">
        <x:v>USA</x:v>
      </x:c>
      <x:c r="E741" s="98" t="n">
        <x:v>9.606926059739145</x:v>
      </x:c>
      <x:c r="F741" s="99" t="n">
        <x:v>687.7753962006003</x:v>
      </x:c>
      <x:c r="G741" s="100" t="str">
        <x:f>XLOOKUP(D741,'Reference Tables'!$A$4:$A$23,'Reference Tables'!$B$4:$B$23,"Other")</x:f>
        <x:v>Other</x:v>
      </x:c>
      <x:c r="H741" s="100" t="str">
        <x:f>VLOOKUP(G741,'Reference Tables'!$I$4:$J$9,2,FALSE)</x:f>
        <x:v>Moderate</x:v>
      </x:c>
      <x:c r="I741" s="101" t="n">
        <x:f>F741*'Inputs &amp; Guide'!$B$4*XLOOKUP(D741,'Reference Tables'!$A$4:$A$23,'Reference Tables'!$C$4:$C$23,0.75)</x:f>
        <x:v>82.53304754407203</x:v>
      </x:c>
      <x:c r="J741" s="102" t="n">
        <x:f>XLOOKUP(C741,'Reference Tables'!$E$4:$E$12,'Reference Tables'!$F$4:$F$12,0.05)</x:f>
        <x:v>0.12</x:v>
      </x:c>
      <x:c r="K741" s="103" t="n">
        <x:f>MIN(I741,F741*J741)</x:f>
        <x:v>82.53304754407203</x:v>
      </x:c>
      <x:c r="L741" s="103" t="n">
        <x:f>'Inputs &amp; Guide'!$B$5</x:f>
        <x:v>15</x:v>
      </x:c>
      <x:c r="M741" s="103" t="n">
        <x:f>I741*'Inputs &amp; Guide'!$B$6</x:f>
        <x:v>45.39317614923962</x:v>
      </x:c>
      <x:c r="N741" s="103" t="n">
        <x:f>MAX(0,MIN(K741-L741,M741))</x:f>
        <x:v>45.39317614923962</x:v>
      </x:c>
      <x:c r="O741" s="103" t="n">
        <x:f>MAX(0,N741-'Inputs &amp; Guide'!$B$7)</x:f>
        <x:v>0</x:v>
      </x:c>
      <x:c r="P741" s="103" t="n">
        <x:f>N741-O741</x:f>
        <x:v>45.39317614923962</x:v>
      </x:c>
      <x:c r="Q741" s="103" t="n">
        <x:f>I741*'Inputs &amp; Guide'!$B$8</x:f>
        <x:v>1.4855948557932965</x:v>
      </x:c>
      <x:c r="R741" s="104" t="n">
        <x:f>IFERROR(P741/Q741,0)</x:f>
        <x:v>30.55555555555556</x:v>
      </x:c>
      <x:c r="S741" s="105" t="n">
        <x:f>ROUND(E741*XLOOKUP(C741,'Reference Tables'!$E$4:$E$12,'Reference Tables'!$G$4:$G$12,1),1)</x:f>
        <x:v>12</x:v>
      </x:c>
      <x:c r="T741" s="106" t="str">
        <x:f>IF(R741&gt;='Inputs &amp; Guide'!$B$9,"HIGH",IF(R741&gt;=0.45,"WATCH","NORMAL"))</x:f>
        <x:v>HIGH</x:v>
      </x:c>
    </x:row>
    <x:row r="742">
      <x:c r="A742" s="95" t="n">
        <x:v>5905</x:v>
      </x:c>
      <x:c r="B742" s="96" t="n">
        <x:v>45538</x:v>
      </x:c>
      <x:c r="C742" s="97" t="str">
        <x:v>Earthquake</x:v>
      </x:c>
      <x:c r="D742" s="97" t="str">
        <x:v>Japan</x:v>
      </x:c>
      <x:c r="E742" s="98" t="n">
        <x:v>4.837282712883483</x:v>
      </x:c>
      <x:c r="F742" s="99" t="n">
        <x:v>869.8903139159952</x:v>
      </x:c>
      <x:c r="G742" s="100" t="str">
        <x:f>XLOOKUP(D742,'Reference Tables'!$A$4:$A$23,'Reference Tables'!$B$4:$B$23,"Other")</x:f>
        <x:v>Asia Pacific</x:v>
      </x:c>
      <x:c r="H742" s="100" t="str">
        <x:f>VLOOKUP(G742,'Reference Tables'!$I$4:$J$9,2,FALSE)</x:f>
        <x:v>High</x:v>
      </x:c>
      <x:c r="I742" s="101" t="n">
        <x:f>F742*'Inputs &amp; Guide'!$B$4*XLOOKUP(D742,'Reference Tables'!$A$4:$A$23,'Reference Tables'!$C$4:$C$23,0.75)</x:f>
        <x:v>164.2352912673399</x:v>
      </x:c>
      <x:c r="J742" s="102" t="n">
        <x:f>XLOOKUP(C742,'Reference Tables'!$E$4:$E$12,'Reference Tables'!$F$4:$F$12,0.05)</x:f>
        <x:v>0.14</x:v>
      </x:c>
      <x:c r="K742" s="103" t="n">
        <x:f>MIN(I742,F742*J742)</x:f>
        <x:v>121.78464394823934</x:v>
      </x:c>
      <x:c r="L742" s="103" t="n">
        <x:f>'Inputs &amp; Guide'!$B$5</x:f>
        <x:v>15</x:v>
      </x:c>
      <x:c r="M742" s="103" t="n">
        <x:f>I742*'Inputs &amp; Guide'!$B$6</x:f>
        <x:v>90.32941019703695</x:v>
      </x:c>
      <x:c r="N742" s="103" t="n">
        <x:f>MAX(0,MIN(K742-L742,M742))</x:f>
        <x:v>90.32941019703695</x:v>
      </x:c>
      <x:c r="O742" s="103" t="n">
        <x:f>MAX(0,N742-'Inputs &amp; Guide'!$B$7)</x:f>
        <x:v>30.32941019703695</x:v>
      </x:c>
      <x:c r="P742" s="103" t="n">
        <x:f>N742-O742</x:f>
        <x:v>60</x:v>
      </x:c>
      <x:c r="Q742" s="103" t="n">
        <x:f>I742*'Inputs &amp; Guide'!$B$8</x:f>
        <x:v>2.956235242812118</x:v>
      </x:c>
      <x:c r="R742" s="104" t="n">
        <x:f>IFERROR(P742/Q742,0)</x:f>
        <x:v>20.296084401904707</x:v>
      </x:c>
      <x:c r="S742" s="105" t="n">
        <x:f>ROUND(E742*XLOOKUP(C742,'Reference Tables'!$E$4:$E$12,'Reference Tables'!$G$4:$G$12,1),1)</x:f>
        <x:v>7.3</x:v>
      </x:c>
      <x:c r="T742" s="106" t="str">
        <x:f>IF(R742&gt;='Inputs &amp; Guide'!$B$9,"HIGH",IF(R742&gt;=0.45,"WATCH","NORMAL"))</x:f>
        <x:v>HIGH</x:v>
      </x:c>
    </x:row>
    <x:row r="743">
      <x:c r="A743" s="95" t="n">
        <x:v>5913</x:v>
      </x:c>
      <x:c r="B743" s="96" t="n">
        <x:v>45538.104166666664</x:v>
      </x:c>
      <x:c r="C743" s="97" t="str">
        <x:v>Wildfire</x:v>
      </x:c>
      <x:c r="D743" s="97" t="str">
        <x:v>Indonesia</x:v>
      </x:c>
      <x:c r="E743" s="98" t="n">
        <x:v>7.896294812690882</x:v>
      </x:c>
      <x:c r="F743" s="99" t="n">
        <x:v>129.8758680296224</x:v>
      </x:c>
      <x:c r="G743" s="100" t="str">
        <x:f>XLOOKUP(D743,'Reference Tables'!$A$4:$A$23,'Reference Tables'!$B$4:$B$23,"Other")</x:f>
        <x:v>Asia Pacific</x:v>
      </x:c>
      <x:c r="H743" s="100" t="str">
        <x:f>VLOOKUP(G743,'Reference Tables'!$I$4:$J$9,2,FALSE)</x:f>
        <x:v>High</x:v>
      </x:c>
      <x:c r="I743" s="101" t="n">
        <x:f>F743*'Inputs &amp; Guide'!$B$4*XLOOKUP(D743,'Reference Tables'!$A$4:$A$23,'Reference Tables'!$C$4:$C$23,0.75)</x:f>
        <x:v>21.403543051281773</x:v>
      </x:c>
      <x:c r="J743" s="102" t="n">
        <x:f>XLOOKUP(C743,'Reference Tables'!$E$4:$E$12,'Reference Tables'!$F$4:$F$12,0.05)</x:f>
        <x:v>0.1</x:v>
      </x:c>
      <x:c r="K743" s="103" t="n">
        <x:f>MIN(I743,F743*J743)</x:f>
        <x:v>12.987586802962241</x:v>
      </x:c>
      <x:c r="L743" s="103" t="n">
        <x:f>'Inputs &amp; Guide'!$B$5</x:f>
        <x:v>15</x:v>
      </x:c>
      <x:c r="M743" s="103" t="n">
        <x:f>I743*'Inputs &amp; Guide'!$B$6</x:f>
        <x:v>11.771948678204977</x:v>
      </x:c>
      <x:c r="N743" s="103" t="n">
        <x:f>MAX(0,MIN(K743-L743,M743))</x:f>
        <x:v>0</x:v>
      </x:c>
      <x:c r="O743" s="103" t="n">
        <x:f>MAX(0,N743-'Inputs &amp; Guide'!$B$7)</x:f>
        <x:v>0</x:v>
      </x:c>
      <x:c r="P743" s="103" t="n">
        <x:f>N743-O743</x:f>
        <x:v>0</x:v>
      </x:c>
      <x:c r="Q743" s="103" t="n">
        <x:f>I743*'Inputs &amp; Guide'!$B$8</x:f>
        <x:v>0.3852637749230719</x:v>
      </x:c>
      <x:c r="R743" s="104" t="n">
        <x:f>IFERROR(P743/Q743,0)</x:f>
        <x:v>0</x:v>
      </x:c>
      <x:c r="S743" s="105" t="n">
        <x:f>ROUND(E743*XLOOKUP(C743,'Reference Tables'!$E$4:$E$12,'Reference Tables'!$G$4:$G$12,1),1)</x:f>
        <x:v>9.1</x:v>
      </x:c>
      <x:c r="T743" s="106" t="str">
        <x:f>IF(R743&gt;='Inputs &amp; Guide'!$B$9,"HIGH",IF(R743&gt;=0.45,"WATCH","NORMAL"))</x:f>
        <x:v>NORMAL</x:v>
      </x:c>
    </x:row>
    <x:row r="744">
      <x:c r="A744" s="95" t="n">
        <x:v>5921</x:v>
      </x:c>
      <x:c r="B744" s="96" t="n">
        <x:v>45538.4375</x:v>
      </x:c>
      <x:c r="C744" s="97" t="str">
        <x:v>Hurricane</x:v>
      </x:c>
      <x:c r="D744" s="97" t="str">
        <x:v>Indonesia</x:v>
      </x:c>
      <x:c r="E744" s="98" t="n">
        <x:v>5.500996057571322</x:v>
      </x:c>
      <x:c r="F744" s="99" t="n">
        <x:v>685.1221645169732</x:v>
      </x:c>
      <x:c r="G744" s="100" t="str">
        <x:f>XLOOKUP(D744,'Reference Tables'!$A$4:$A$23,'Reference Tables'!$B$4:$B$23,"Other")</x:f>
        <x:v>Asia Pacific</x:v>
      </x:c>
      <x:c r="H744" s="100" t="str">
        <x:f>VLOOKUP(G744,'Reference Tables'!$I$4:$J$9,2,FALSE)</x:f>
        <x:v>High</x:v>
      </x:c>
      <x:c r="I744" s="101" t="n">
        <x:f>F744*'Inputs &amp; Guide'!$B$4*XLOOKUP(D744,'Reference Tables'!$A$4:$A$23,'Reference Tables'!$C$4:$C$23,0.75)</x:f>
        <x:v>112.90813271239718</x:v>
      </x:c>
      <x:c r="J744" s="102" t="n">
        <x:f>XLOOKUP(C744,'Reference Tables'!$E$4:$E$12,'Reference Tables'!$F$4:$F$12,0.05)</x:f>
        <x:v>0.18</x:v>
      </x:c>
      <x:c r="K744" s="103" t="n">
        <x:f>MIN(I744,F744*J744)</x:f>
        <x:v>112.90813271239718</x:v>
      </x:c>
      <x:c r="L744" s="103" t="n">
        <x:f>'Inputs &amp; Guide'!$B$5</x:f>
        <x:v>15</x:v>
      </x:c>
      <x:c r="M744" s="103" t="n">
        <x:f>I744*'Inputs &amp; Guide'!$B$6</x:f>
        <x:v>62.09947299181845</x:v>
      </x:c>
      <x:c r="N744" s="103" t="n">
        <x:f>MAX(0,MIN(K744-L744,M744))</x:f>
        <x:v>62.09947299181845</x:v>
      </x:c>
      <x:c r="O744" s="103" t="n">
        <x:f>MAX(0,N744-'Inputs &amp; Guide'!$B$7)</x:f>
        <x:v>2.099472991818452</x:v>
      </x:c>
      <x:c r="P744" s="103" t="n">
        <x:f>N744-O744</x:f>
        <x:v>60</x:v>
      </x:c>
      <x:c r="Q744" s="103" t="n">
        <x:f>I744*'Inputs &amp; Guide'!$B$8</x:f>
        <x:v>2.032346388823149</x:v>
      </x:c>
      <x:c r="R744" s="104" t="n">
        <x:f>IFERROR(P744/Q744,0)</x:f>
        <x:v>29.52252644035922</x:v>
      </x:c>
      <x:c r="S744" s="105" t="n">
        <x:f>ROUND(E744*XLOOKUP(C744,'Reference Tables'!$E$4:$E$12,'Reference Tables'!$G$4:$G$12,1),1)</x:f>
        <x:v>7.7</x:v>
      </x:c>
      <x:c r="T744" s="106" t="str">
        <x:f>IF(R744&gt;='Inputs &amp; Guide'!$B$9,"HIGH",IF(R744&gt;=0.45,"WATCH","NORMAL"))</x:f>
        <x:v>HIGH</x:v>
      </x:c>
    </x:row>
    <x:row r="745">
      <x:c r="A745" s="95" t="n">
        <x:v>5929</x:v>
      </x:c>
      <x:c r="B745" s="96" t="n">
        <x:v>45539</x:v>
      </x:c>
      <x:c r="C745" s="97" t="str">
        <x:v>Wildfire</x:v>
      </x:c>
      <x:c r="D745" s="97" t="str">
        <x:v>Japan</x:v>
      </x:c>
      <x:c r="E745" s="98" t="n">
        <x:v>9.569853468235447</x:v>
      </x:c>
      <x:c r="F745" s="99" t="n">
        <x:v>325.2320598488043</x:v>
      </x:c>
      <x:c r="G745" s="100" t="str">
        <x:f>XLOOKUP(D745,'Reference Tables'!$A$4:$A$23,'Reference Tables'!$B$4:$B$23,"Other")</x:f>
        <x:v>Asia Pacific</x:v>
      </x:c>
      <x:c r="H745" s="100" t="str">
        <x:f>VLOOKUP(G745,'Reference Tables'!$I$4:$J$9,2,FALSE)</x:f>
        <x:v>High</x:v>
      </x:c>
      <x:c r="I745" s="101" t="n">
        <x:f>F745*'Inputs &amp; Guide'!$B$4*XLOOKUP(D745,'Reference Tables'!$A$4:$A$23,'Reference Tables'!$C$4:$C$23,0.75)</x:f>
        <x:v>61.403812899454245</x:v>
      </x:c>
      <x:c r="J745" s="102" t="n">
        <x:f>XLOOKUP(C745,'Reference Tables'!$E$4:$E$12,'Reference Tables'!$F$4:$F$12,0.05)</x:f>
        <x:v>0.1</x:v>
      </x:c>
      <x:c r="K745" s="103" t="n">
        <x:f>MIN(I745,F745*J745)</x:f>
        <x:v>32.52320598488043</x:v>
      </x:c>
      <x:c r="L745" s="103" t="n">
        <x:f>'Inputs &amp; Guide'!$B$5</x:f>
        <x:v>15</x:v>
      </x:c>
      <x:c r="M745" s="103" t="n">
        <x:f>I745*'Inputs &amp; Guide'!$B$6</x:f>
        <x:v>33.77209709469984</x:v>
      </x:c>
      <x:c r="N745" s="103" t="n">
        <x:f>MAX(0,MIN(K745-L745,M745))</x:f>
        <x:v>17.523205984880427</x:v>
      </x:c>
      <x:c r="O745" s="103" t="n">
        <x:f>MAX(0,N745-'Inputs &amp; Guide'!$B$7)</x:f>
        <x:v>0</x:v>
      </x:c>
      <x:c r="P745" s="103" t="n">
        <x:f>N745-O745</x:f>
        <x:v>17.523205984880427</x:v>
      </x:c>
      <x:c r="Q745" s="103" t="n">
        <x:f>I745*'Inputs &amp; Guide'!$B$8</x:f>
        <x:v>1.1052686321901763</x:v>
      </x:c>
      <x:c r="R745" s="104" t="n">
        <x:f>IFERROR(P745/Q745,0)</x:f>
        <x:v>15.854250699358781</x:v>
      </x:c>
      <x:c r="S745" s="105" t="n">
        <x:f>ROUND(E745*XLOOKUP(C745,'Reference Tables'!$E$4:$E$12,'Reference Tables'!$G$4:$G$12,1),1)</x:f>
        <x:v>11</x:v>
      </x:c>
      <x:c r="T745" s="106" t="str">
        <x:f>IF(R745&gt;='Inputs &amp; Guide'!$B$9,"HIGH",IF(R745&gt;=0.45,"WATCH","NORMAL"))</x:f>
        <x:v>HIGH</x:v>
      </x:c>
    </x:row>
    <x:row r="746">
      <x:c r="A746" s="95" t="n">
        <x:v>5937</x:v>
      </x:c>
      <x:c r="B746" s="96" t="n">
        <x:v>45539.104166666664</x:v>
      </x:c>
      <x:c r="C746" s="97" t="str">
        <x:v>Flood</x:v>
      </x:c>
      <x:c r="D746" s="97" t="str">
        <x:v>Brazil</x:v>
      </x:c>
      <x:c r="E746" s="98" t="n">
        <x:v>9.091909959386614</x:v>
      </x:c>
      <x:c r="F746" s="99" t="n">
        <x:v>815.7064705564037</x:v>
      </x:c>
      <x:c r="G746" s="100" t="str">
        <x:f>XLOOKUP(D746,'Reference Tables'!$A$4:$A$23,'Reference Tables'!$B$4:$B$23,"Other")</x:f>
        <x:v>Latin America</x:v>
      </x:c>
      <x:c r="H746" s="100" t="str">
        <x:f>VLOOKUP(G746,'Reference Tables'!$I$4:$J$9,2,FALSE)</x:f>
        <x:v>Moderate</x:v>
      </x:c>
      <x:c r="I746" s="101" t="n">
        <x:f>F746*'Inputs &amp; Guide'!$B$4*XLOOKUP(D746,'Reference Tables'!$A$4:$A$23,'Reference Tables'!$C$4:$C$23,0.75)</x:f>
        <x:v>107.02068893700016</x:v>
      </x:c>
      <x:c r="J746" s="102" t="n">
        <x:f>XLOOKUP(C746,'Reference Tables'!$E$4:$E$12,'Reference Tables'!$F$4:$F$12,0.05)</x:f>
        <x:v>0.12</x:v>
      </x:c>
      <x:c r="K746" s="103" t="n">
        <x:f>MIN(I746,F746*J746)</x:f>
        <x:v>97.88477646676844</x:v>
      </x:c>
      <x:c r="L746" s="103" t="n">
        <x:f>'Inputs &amp; Guide'!$B$5</x:f>
        <x:v>15</x:v>
      </x:c>
      <x:c r="M746" s="103" t="n">
        <x:f>I746*'Inputs &amp; Guide'!$B$6</x:f>
        <x:v>58.861378915350095</x:v>
      </x:c>
      <x:c r="N746" s="103" t="n">
        <x:f>MAX(0,MIN(K746-L746,M746))</x:f>
        <x:v>58.861378915350095</x:v>
      </x:c>
      <x:c r="O746" s="103" t="n">
        <x:f>MAX(0,N746-'Inputs &amp; Guide'!$B$7)</x:f>
        <x:v>0</x:v>
      </x:c>
      <x:c r="P746" s="103" t="n">
        <x:f>N746-O746</x:f>
        <x:v>58.861378915350095</x:v>
      </x:c>
      <x:c r="Q746" s="103" t="n">
        <x:f>I746*'Inputs &amp; Guide'!$B$8</x:f>
        <x:v>1.9263724008660028</x:v>
      </x:c>
      <x:c r="R746" s="104" t="n">
        <x:f>IFERROR(P746/Q746,0)</x:f>
        <x:v>30.55555555555556</x:v>
      </x:c>
      <x:c r="S746" s="105" t="n">
        <x:f>ROUND(E746*XLOOKUP(C746,'Reference Tables'!$E$4:$E$12,'Reference Tables'!$G$4:$G$12,1),1)</x:f>
        <x:v>11.4</x:v>
      </x:c>
      <x:c r="T746" s="106" t="str">
        <x:f>IF(R746&gt;='Inputs &amp; Guide'!$B$9,"HIGH",IF(R746&gt;=0.45,"WATCH","NORMAL"))</x:f>
        <x:v>HIGH</x:v>
      </x:c>
    </x:row>
    <x:row r="747">
      <x:c r="A747" s="95" t="n">
        <x:v>5945</x:v>
      </x:c>
      <x:c r="B747" s="96" t="n">
        <x:v>45539.4375</x:v>
      </x:c>
      <x:c r="C747" s="97" t="str">
        <x:v>Earthquake</x:v>
      </x:c>
      <x:c r="D747" s="97" t="str">
        <x:v>Brazil</x:v>
      </x:c>
      <x:c r="E747" s="98" t="n">
        <x:v>9.864309237544557</x:v>
      </x:c>
      <x:c r="F747" s="99" t="n">
        <x:v>988.1710047375192</x:v>
      </x:c>
      <x:c r="G747" s="100" t="str">
        <x:f>XLOOKUP(D747,'Reference Tables'!$A$4:$A$23,'Reference Tables'!$B$4:$B$23,"Other")</x:f>
        <x:v>Latin America</x:v>
      </x:c>
      <x:c r="H747" s="100" t="str">
        <x:f>VLOOKUP(G747,'Reference Tables'!$I$4:$J$9,2,FALSE)</x:f>
        <x:v>Moderate</x:v>
      </x:c>
      <x:c r="I747" s="101" t="n">
        <x:f>F747*'Inputs &amp; Guide'!$B$4*XLOOKUP(D747,'Reference Tables'!$A$4:$A$23,'Reference Tables'!$C$4:$C$23,0.75)</x:f>
        <x:v>129.6480358215625</x:v>
      </x:c>
      <x:c r="J747" s="102" t="n">
        <x:f>XLOOKUP(C747,'Reference Tables'!$E$4:$E$12,'Reference Tables'!$F$4:$F$12,0.05)</x:f>
        <x:v>0.14</x:v>
      </x:c>
      <x:c r="K747" s="103" t="n">
        <x:f>MIN(I747,F747*J747)</x:f>
        <x:v>129.6480358215625</x:v>
      </x:c>
      <x:c r="L747" s="103" t="n">
        <x:f>'Inputs &amp; Guide'!$B$5</x:f>
        <x:v>15</x:v>
      </x:c>
      <x:c r="M747" s="103" t="n">
        <x:f>I747*'Inputs &amp; Guide'!$B$6</x:f>
        <x:v>71.30641970185938</x:v>
      </x:c>
      <x:c r="N747" s="103" t="n">
        <x:f>MAX(0,MIN(K747-L747,M747))</x:f>
        <x:v>71.30641970185938</x:v>
      </x:c>
      <x:c r="O747" s="103" t="n">
        <x:f>MAX(0,N747-'Inputs &amp; Guide'!$B$7)</x:f>
        <x:v>11.306419701859383</x:v>
      </x:c>
      <x:c r="P747" s="103" t="n">
        <x:f>N747-O747</x:f>
        <x:v>60</x:v>
      </x:c>
      <x:c r="Q747" s="103" t="n">
        <x:f>I747*'Inputs &amp; Guide'!$B$8</x:f>
        <x:v>2.333664644788125</x:v>
      </x:c>
      <x:c r="R747" s="104" t="n">
        <x:f>IFERROR(P747/Q747,0)</x:f>
        <x:v>25.71063504518553</x:v>
      </x:c>
      <x:c r="S747" s="105" t="n">
        <x:f>ROUND(E747*XLOOKUP(C747,'Reference Tables'!$E$4:$E$12,'Reference Tables'!$G$4:$G$12,1),1)</x:f>
        <x:v>14.8</x:v>
      </x:c>
      <x:c r="T747" s="106" t="str">
        <x:f>IF(R747&gt;='Inputs &amp; Guide'!$B$9,"HIGH",IF(R747&gt;=0.45,"WATCH","NORMAL"))</x:f>
        <x:v>HIGH</x:v>
      </x:c>
    </x:row>
    <x:row r="748">
      <x:c r="A748" s="95" t="n">
        <x:v>5953</x:v>
      </x:c>
      <x:c r="B748" s="96" t="n">
        <x:v>45540</x:v>
      </x:c>
      <x:c r="C748" s="97" t="str">
        <x:v>Flood</x:v>
      </x:c>
      <x:c r="D748" s="97" t="str">
        <x:v>USA</x:v>
      </x:c>
      <x:c r="E748" s="98" t="n">
        <x:v>7.840712400042325</x:v>
      </x:c>
      <x:c r="F748" s="99" t="n">
        <x:v>279.62651926430004</x:v>
      </x:c>
      <x:c r="G748" s="100" t="str">
        <x:f>XLOOKUP(D748,'Reference Tables'!$A$4:$A$23,'Reference Tables'!$B$4:$B$23,"Other")</x:f>
        <x:v>Other</x:v>
      </x:c>
      <x:c r="H748" s="100" t="str">
        <x:f>VLOOKUP(G748,'Reference Tables'!$I$4:$J$9,2,FALSE)</x:f>
        <x:v>Moderate</x:v>
      </x:c>
      <x:c r="I748" s="101" t="n">
        <x:f>F748*'Inputs &amp; Guide'!$B$4*XLOOKUP(D748,'Reference Tables'!$A$4:$A$23,'Reference Tables'!$C$4:$C$23,0.75)</x:f>
        <x:v>33.55518231171601</x:v>
      </x:c>
      <x:c r="J748" s="102" t="n">
        <x:f>XLOOKUP(C748,'Reference Tables'!$E$4:$E$12,'Reference Tables'!$F$4:$F$12,0.05)</x:f>
        <x:v>0.12</x:v>
      </x:c>
      <x:c r="K748" s="103" t="n">
        <x:f>MIN(I748,F748*J748)</x:f>
        <x:v>33.555182311716</x:v>
      </x:c>
      <x:c r="L748" s="103" t="n">
        <x:f>'Inputs &amp; Guide'!$B$5</x:f>
        <x:v>15</x:v>
      </x:c>
      <x:c r="M748" s="103" t="n">
        <x:f>I748*'Inputs &amp; Guide'!$B$6</x:f>
        <x:v>18.455350271443805</x:v>
      </x:c>
      <x:c r="N748" s="103" t="n">
        <x:f>MAX(0,MIN(K748-L748,M748))</x:f>
        <x:v>18.455350271443805</x:v>
      </x:c>
      <x:c r="O748" s="103" t="n">
        <x:f>MAX(0,N748-'Inputs &amp; Guide'!$B$7)</x:f>
        <x:v>0</x:v>
      </x:c>
      <x:c r="P748" s="103" t="n">
        <x:f>N748-O748</x:f>
        <x:v>18.455350271443805</x:v>
      </x:c>
      <x:c r="Q748" s="103" t="n">
        <x:f>I748*'Inputs &amp; Guide'!$B$8</x:f>
        <x:v>0.6039932816108882</x:v>
      </x:c>
      <x:c r="R748" s="104" t="n">
        <x:f>IFERROR(P748/Q748,0)</x:f>
        <x:v>30.555555555555557</x:v>
      </x:c>
      <x:c r="S748" s="105" t="n">
        <x:f>ROUND(E748*XLOOKUP(C748,'Reference Tables'!$E$4:$E$12,'Reference Tables'!$G$4:$G$12,1),1)</x:f>
        <x:v>9.8</x:v>
      </x:c>
      <x:c r="T748" s="106" t="str">
        <x:f>IF(R748&gt;='Inputs &amp; Guide'!$B$9,"HIGH",IF(R748&gt;=0.45,"WATCH","NORMAL"))</x:f>
        <x:v>HIGH</x:v>
      </x:c>
    </x:row>
    <x:row r="749">
      <x:c r="A749" s="95" t="n">
        <x:v>5961</x:v>
      </x:c>
      <x:c r="B749" s="96" t="n">
        <x:v>45540.104166666664</x:v>
      </x:c>
      <x:c r="C749" s="97" t="str">
        <x:v>Tornado</x:v>
      </x:c>
      <x:c r="D749" s="97" t="str">
        <x:v>Brazil</x:v>
      </x:c>
      <x:c r="E749" s="98" t="n">
        <x:v>5.682705250084226</x:v>
      </x:c>
      <x:c r="F749" s="99" t="n">
        <x:v>717.8825332788066</x:v>
      </x:c>
      <x:c r="G749" s="100" t="str">
        <x:f>XLOOKUP(D749,'Reference Tables'!$A$4:$A$23,'Reference Tables'!$B$4:$B$23,"Other")</x:f>
        <x:v>Latin America</x:v>
      </x:c>
      <x:c r="H749" s="100" t="str">
        <x:f>VLOOKUP(G749,'Reference Tables'!$I$4:$J$9,2,FALSE)</x:f>
        <x:v>Moderate</x:v>
      </x:c>
      <x:c r="I749" s="101" t="n">
        <x:f>F749*'Inputs &amp; Guide'!$B$4*XLOOKUP(D749,'Reference Tables'!$A$4:$A$23,'Reference Tables'!$C$4:$C$23,0.75)</x:f>
        <x:v>94.18618836617942</x:v>
      </x:c>
      <x:c r="J749" s="102" t="n">
        <x:f>XLOOKUP(C749,'Reference Tables'!$E$4:$E$12,'Reference Tables'!$F$4:$F$12,0.05)</x:f>
        <x:v>0.09</x:v>
      </x:c>
      <x:c r="K749" s="103" t="n">
        <x:f>MIN(I749,F749*J749)</x:f>
        <x:v>64.60942799509259</x:v>
      </x:c>
      <x:c r="L749" s="103" t="n">
        <x:f>'Inputs &amp; Guide'!$B$5</x:f>
        <x:v>15</x:v>
      </x:c>
      <x:c r="M749" s="103" t="n">
        <x:f>I749*'Inputs &amp; Guide'!$B$6</x:f>
        <x:v>51.80240360139869</x:v>
      </x:c>
      <x:c r="N749" s="103" t="n">
        <x:f>MAX(0,MIN(K749-L749,M749))</x:f>
        <x:v>49.60942799509259</x:v>
      </x:c>
      <x:c r="O749" s="103" t="n">
        <x:f>MAX(0,N749-'Inputs &amp; Guide'!$B$7)</x:f>
        <x:v>0</x:v>
      </x:c>
      <x:c r="P749" s="103" t="n">
        <x:f>N749-O749</x:f>
        <x:v>49.60942799509259</x:v>
      </x:c>
      <x:c r="Q749" s="103" t="n">
        <x:f>I749*'Inputs &amp; Guide'!$B$8</x:f>
        <x:v>1.6953513905912294</x:v>
      </x:c>
      <x:c r="R749" s="104" t="n">
        <x:f>IFERROR(P749/Q749,0)</x:f>
        <x:v>29.26203279769158</x:v>
      </x:c>
      <x:c r="S749" s="105" t="n">
        <x:f>ROUND(E749*XLOOKUP(C749,'Reference Tables'!$E$4:$E$12,'Reference Tables'!$G$4:$G$12,1),1)</x:f>
        <x:v>6</x:v>
      </x:c>
      <x:c r="T749" s="106" t="str">
        <x:f>IF(R749&gt;='Inputs &amp; Guide'!$B$9,"HIGH",IF(R749&gt;=0.45,"WATCH","NORMAL"))</x:f>
        <x:v>HIGH</x:v>
      </x:c>
    </x:row>
    <x:row r="750">
      <x:c r="A750" s="95" t="n">
        <x:v>5969</x:v>
      </x:c>
      <x:c r="B750" s="96" t="n">
        <x:v>45540.4375</x:v>
      </x:c>
      <x:c r="C750" s="97" t="str">
        <x:v>Tornado</x:v>
      </x:c>
      <x:c r="D750" s="97" t="str">
        <x:v>USA</x:v>
      </x:c>
      <x:c r="E750" s="98" t="n">
        <x:v>4.904731210382544</x:v>
      </x:c>
      <x:c r="F750" s="99" t="n">
        <x:v>438.90461201219375</x:v>
      </x:c>
      <x:c r="G750" s="100" t="str">
        <x:f>XLOOKUP(D750,'Reference Tables'!$A$4:$A$23,'Reference Tables'!$B$4:$B$23,"Other")</x:f>
        <x:v>Other</x:v>
      </x:c>
      <x:c r="H750" s="100" t="str">
        <x:f>VLOOKUP(G750,'Reference Tables'!$I$4:$J$9,2,FALSE)</x:f>
        <x:v>Moderate</x:v>
      </x:c>
      <x:c r="I750" s="101" t="n">
        <x:f>F750*'Inputs &amp; Guide'!$B$4*XLOOKUP(D750,'Reference Tables'!$A$4:$A$23,'Reference Tables'!$C$4:$C$23,0.75)</x:f>
        <x:v>52.66855344146325</x:v>
      </x:c>
      <x:c r="J750" s="102" t="n">
        <x:f>XLOOKUP(C750,'Reference Tables'!$E$4:$E$12,'Reference Tables'!$F$4:$F$12,0.05)</x:f>
        <x:v>0.09</x:v>
      </x:c>
      <x:c r="K750" s="103" t="n">
        <x:f>MIN(I750,F750*J750)</x:f>
        <x:v>39.501415081097434</x:v>
      </x:c>
      <x:c r="L750" s="103" t="n">
        <x:f>'Inputs &amp; Guide'!$B$5</x:f>
        <x:v>15</x:v>
      </x:c>
      <x:c r="M750" s="103" t="n">
        <x:f>I750*'Inputs &amp; Guide'!$B$6</x:f>
        <x:v>28.96770439280479</x:v>
      </x:c>
      <x:c r="N750" s="103" t="n">
        <x:f>MAX(0,MIN(K750-L750,M750))</x:f>
        <x:v>24.501415081097434</x:v>
      </x:c>
      <x:c r="O750" s="103" t="n">
        <x:f>MAX(0,N750-'Inputs &amp; Guide'!$B$7)</x:f>
        <x:v>0</x:v>
      </x:c>
      <x:c r="P750" s="103" t="n">
        <x:f>N750-O750</x:f>
        <x:v>24.501415081097434</x:v>
      </x:c>
      <x:c r="Q750" s="103" t="n">
        <x:f>I750*'Inputs &amp; Guide'!$B$8</x:f>
        <x:v>0.9480339619463385</x:v>
      </x:c>
      <x:c r="R750" s="104" t="n">
        <x:f>IFERROR(P750/Q750,0)</x:f>
        <x:v>25.84444868493465</x:v>
      </x:c>
      <x:c r="S750" s="105" t="n">
        <x:f>ROUND(E750*XLOOKUP(C750,'Reference Tables'!$E$4:$E$12,'Reference Tables'!$G$4:$G$12,1),1)</x:f>
        <x:v>5.1</x:v>
      </x:c>
      <x:c r="T750" s="106" t="str">
        <x:f>IF(R750&gt;='Inputs &amp; Guide'!$B$9,"HIGH",IF(R750&gt;=0.45,"WATCH","NORMAL"))</x:f>
        <x:v>HIGH</x:v>
      </x:c>
    </x:row>
    <x:row r="751">
      <x:c r="A751" s="95" t="n">
        <x:v>5977</x:v>
      </x:c>
      <x:c r="B751" s="96" t="n">
        <x:v>45541</x:v>
      </x:c>
      <x:c r="C751" s="97" t="str">
        <x:v>Earthquake</x:v>
      </x:c>
      <x:c r="D751" s="97" t="str">
        <x:v>Japan</x:v>
      </x:c>
      <x:c r="E751" s="98" t="n">
        <x:v>9.35033906371708</x:v>
      </x:c>
      <x:c r="F751" s="99" t="n">
        <x:v>971.5811927962026</x:v>
      </x:c>
      <x:c r="G751" s="100" t="str">
        <x:f>XLOOKUP(D751,'Reference Tables'!$A$4:$A$23,'Reference Tables'!$B$4:$B$23,"Other")</x:f>
        <x:v>Asia Pacific</x:v>
      </x:c>
      <x:c r="H751" s="100" t="str">
        <x:f>VLOOKUP(G751,'Reference Tables'!$I$4:$J$9,2,FALSE)</x:f>
        <x:v>High</x:v>
      </x:c>
      <x:c r="I751" s="101" t="n">
        <x:f>F751*'Inputs &amp; Guide'!$B$4*XLOOKUP(D751,'Reference Tables'!$A$4:$A$23,'Reference Tables'!$C$4:$C$23,0.75)</x:f>
        <x:v>183.43452919992305</x:v>
      </x:c>
      <x:c r="J751" s="102" t="n">
        <x:f>XLOOKUP(C751,'Reference Tables'!$E$4:$E$12,'Reference Tables'!$F$4:$F$12,0.05)</x:f>
        <x:v>0.14</x:v>
      </x:c>
      <x:c r="K751" s="103" t="n">
        <x:f>MIN(I751,F751*J751)</x:f>
        <x:v>136.02136699146837</x:v>
      </x:c>
      <x:c r="L751" s="103" t="n">
        <x:f>'Inputs &amp; Guide'!$B$5</x:f>
        <x:v>15</x:v>
      </x:c>
      <x:c r="M751" s="103" t="n">
        <x:f>I751*'Inputs &amp; Guide'!$B$6</x:f>
        <x:v>100.88899105995769</x:v>
      </x:c>
      <x:c r="N751" s="103" t="n">
        <x:f>MAX(0,MIN(K751-L751,M751))</x:f>
        <x:v>100.88899105995769</x:v>
      </x:c>
      <x:c r="O751" s="103" t="n">
        <x:f>MAX(0,N751-'Inputs &amp; Guide'!$B$7)</x:f>
        <x:v>40.88899105995769</x:v>
      </x:c>
      <x:c r="P751" s="103" t="n">
        <x:f>N751-O751</x:f>
        <x:v>60</x:v>
      </x:c>
      <x:c r="Q751" s="103" t="n">
        <x:f>I751*'Inputs &amp; Guide'!$B$8</x:f>
        <x:v>3.3018215255986147</x:v>
      </x:c>
      <x:c r="R751" s="104" t="n">
        <x:f>IFERROR(P751/Q751,0)</x:f>
        <x:v>18.171787764670928</x:v>
      </x:c>
      <x:c r="S751" s="105" t="n">
        <x:f>ROUND(E751*XLOOKUP(C751,'Reference Tables'!$E$4:$E$12,'Reference Tables'!$G$4:$G$12,1),1)</x:f>
        <x:v>14</x:v>
      </x:c>
      <x:c r="T751" s="106" t="str">
        <x:f>IF(R751&gt;='Inputs &amp; Guide'!$B$9,"HIGH",IF(R751&gt;=0.45,"WATCH","NORMAL"))</x:f>
        <x:v>HIGH</x:v>
      </x:c>
    </x:row>
    <x:row r="752">
      <x:c r="A752" s="95" t="n">
        <x:v>5985</x:v>
      </x:c>
      <x:c r="B752" s="96" t="n">
        <x:v>45541.104166666664</x:v>
      </x:c>
      <x:c r="C752" s="97" t="str">
        <x:v>Earthquake</x:v>
      </x:c>
      <x:c r="D752" s="97" t="str">
        <x:v>USA</x:v>
      </x:c>
      <x:c r="E752" s="98" t="n">
        <x:v>3.1656307059022826</x:v>
      </x:c>
      <x:c r="F752" s="99" t="n">
        <x:v>498.1227420502362</x:v>
      </x:c>
      <x:c r="G752" s="100" t="str">
        <x:f>XLOOKUP(D752,'Reference Tables'!$A$4:$A$23,'Reference Tables'!$B$4:$B$23,"Other")</x:f>
        <x:v>Other</x:v>
      </x:c>
      <x:c r="H752" s="100" t="str">
        <x:f>VLOOKUP(G752,'Reference Tables'!$I$4:$J$9,2,FALSE)</x:f>
        <x:v>Moderate</x:v>
      </x:c>
      <x:c r="I752" s="101" t="n">
        <x:f>F752*'Inputs &amp; Guide'!$B$4*XLOOKUP(D752,'Reference Tables'!$A$4:$A$23,'Reference Tables'!$C$4:$C$23,0.75)</x:f>
        <x:v>59.77472904602835</x:v>
      </x:c>
      <x:c r="J752" s="102" t="n">
        <x:f>XLOOKUP(C752,'Reference Tables'!$E$4:$E$12,'Reference Tables'!$F$4:$F$12,0.05)</x:f>
        <x:v>0.14</x:v>
      </x:c>
      <x:c r="K752" s="103" t="n">
        <x:f>MIN(I752,F752*J752)</x:f>
        <x:v>59.77472904602835</x:v>
      </x:c>
      <x:c r="L752" s="103" t="n">
        <x:f>'Inputs &amp; Guide'!$B$5</x:f>
        <x:v>15</x:v>
      </x:c>
      <x:c r="M752" s="103" t="n">
        <x:f>I752*'Inputs &amp; Guide'!$B$6</x:f>
        <x:v>32.876100975315595</x:v>
      </x:c>
      <x:c r="N752" s="103" t="n">
        <x:f>MAX(0,MIN(K752-L752,M752))</x:f>
        <x:v>32.876100975315595</x:v>
      </x:c>
      <x:c r="O752" s="103" t="n">
        <x:f>MAX(0,N752-'Inputs &amp; Guide'!$B$7)</x:f>
        <x:v>0</x:v>
      </x:c>
      <x:c r="P752" s="103" t="n">
        <x:f>N752-O752</x:f>
        <x:v>32.876100975315595</x:v>
      </x:c>
      <x:c r="Q752" s="103" t="n">
        <x:f>I752*'Inputs &amp; Guide'!$B$8</x:f>
        <x:v>1.0759451228285102</x:v>
      </x:c>
      <x:c r="R752" s="104" t="n">
        <x:f>IFERROR(P752/Q752,0)</x:f>
        <x:v>30.55555555555556</x:v>
      </x:c>
      <x:c r="S752" s="105" t="n">
        <x:f>ROUND(E752*XLOOKUP(C752,'Reference Tables'!$E$4:$E$12,'Reference Tables'!$G$4:$G$12,1),1)</x:f>
        <x:v>4.7</x:v>
      </x:c>
      <x:c r="T752" s="106" t="str">
        <x:f>IF(R752&gt;='Inputs &amp; Guide'!$B$9,"HIGH",IF(R752&gt;=0.45,"WATCH","NORMAL"))</x:f>
        <x:v>HIGH</x:v>
      </x:c>
    </x:row>
    <x:row r="753">
      <x:c r="A753" s="95" t="n">
        <x:v>5993</x:v>
      </x:c>
      <x:c r="B753" s="96" t="n">
        <x:v>45541.4375</x:v>
      </x:c>
      <x:c r="C753" s="97" t="str">
        <x:v>Flood</x:v>
      </x:c>
      <x:c r="D753" s="97" t="str">
        <x:v>India</x:v>
      </x:c>
      <x:c r="E753" s="98" t="n">
        <x:v>1.0658990751666342</x:v>
      </x:c>
      <x:c r="F753" s="99" t="n">
        <x:v>36.58866382837749</x:v>
      </x:c>
      <x:c r="G753" s="100" t="str">
        <x:f>XLOOKUP(D753,'Reference Tables'!$A$4:$A$23,'Reference Tables'!$B$4:$B$23,"Other")</x:f>
        <x:v>Asia Pacific</x:v>
      </x:c>
      <x:c r="H753" s="100" t="str">
        <x:f>VLOOKUP(G753,'Reference Tables'!$I$4:$J$9,2,FALSE)</x:f>
        <x:v>High</x:v>
      </x:c>
      <x:c r="I753" s="101" t="n">
        <x:f>F753*'Inputs &amp; Guide'!$B$4*XLOOKUP(D753,'Reference Tables'!$A$4:$A$23,'Reference Tables'!$C$4:$C$23,0.75)</x:f>
        <x:v>5.327309453411763</x:v>
      </x:c>
      <x:c r="J753" s="102" t="n">
        <x:f>XLOOKUP(C753,'Reference Tables'!$E$4:$E$12,'Reference Tables'!$F$4:$F$12,0.05)</x:f>
        <x:v>0.12</x:v>
      </x:c>
      <x:c r="K753" s="103" t="n">
        <x:f>MIN(I753,F753*J753)</x:f>
        <x:v>4.3906396594052985</x:v>
      </x:c>
      <x:c r="L753" s="103" t="n">
        <x:f>'Inputs &amp; Guide'!$B$5</x:f>
        <x:v>15</x:v>
      </x:c>
      <x:c r="M753" s="103" t="n">
        <x:f>I753*'Inputs &amp; Guide'!$B$6</x:f>
        <x:v>2.93002019937647</x:v>
      </x:c>
      <x:c r="N753" s="103" t="n">
        <x:f>MAX(0,MIN(K753-L753,M753))</x:f>
        <x:v>0</x:v>
      </x:c>
      <x:c r="O753" s="103" t="n">
        <x:f>MAX(0,N753-'Inputs &amp; Guide'!$B$7)</x:f>
        <x:v>0</x:v>
      </x:c>
      <x:c r="P753" s="103" t="n">
        <x:f>N753-O753</x:f>
        <x:v>0</x:v>
      </x:c>
      <x:c r="Q753" s="103" t="n">
        <x:f>I753*'Inputs &amp; Guide'!$B$8</x:f>
        <x:v>0.09589157016141173</x:v>
      </x:c>
      <x:c r="R753" s="104" t="n">
        <x:f>IFERROR(P753/Q753,0)</x:f>
        <x:v>0</x:v>
      </x:c>
      <x:c r="S753" s="105" t="n">
        <x:f>ROUND(E753*XLOOKUP(C753,'Reference Tables'!$E$4:$E$12,'Reference Tables'!$G$4:$G$12,1),1)</x:f>
        <x:v>1.3</x:v>
      </x:c>
      <x:c r="T753" s="106" t="str">
        <x:f>IF(R753&gt;='Inputs &amp; Guide'!$B$9,"HIGH",IF(R753&gt;=0.45,"WATCH","NORMAL"))</x:f>
        <x:v>NORMAL</x:v>
      </x:c>
    </x:row>
    <x:row r="754">
      <x:c r="A754" s="95" t="n">
        <x:v>6001</x:v>
      </x:c>
      <x:c r="B754" s="96" t="n">
        <x:v>45542</x:v>
      </x:c>
      <x:c r="C754" s="97" t="str">
        <x:v>Wildfire</x:v>
      </x:c>
      <x:c r="D754" s="97" t="str">
        <x:v>Indonesia</x:v>
      </x:c>
      <x:c r="E754" s="98" t="n">
        <x:v>1.199069352178047</x:v>
      </x:c>
      <x:c r="F754" s="99" t="n">
        <x:v>886.1992508993854</x:v>
      </x:c>
      <x:c r="G754" s="100" t="str">
        <x:f>XLOOKUP(D754,'Reference Tables'!$A$4:$A$23,'Reference Tables'!$B$4:$B$23,"Other")</x:f>
        <x:v>Asia Pacific</x:v>
      </x:c>
      <x:c r="H754" s="100" t="str">
        <x:f>VLOOKUP(G754,'Reference Tables'!$I$4:$J$9,2,FALSE)</x:f>
        <x:v>High</x:v>
      </x:c>
      <x:c r="I754" s="101" t="n">
        <x:f>F754*'Inputs &amp; Guide'!$B$4*XLOOKUP(D754,'Reference Tables'!$A$4:$A$23,'Reference Tables'!$C$4:$C$23,0.75)</x:f>
        <x:v>146.0456365482187</x:v>
      </x:c>
      <x:c r="J754" s="102" t="n">
        <x:f>XLOOKUP(C754,'Reference Tables'!$E$4:$E$12,'Reference Tables'!$F$4:$F$12,0.05)</x:f>
        <x:v>0.1</x:v>
      </x:c>
      <x:c r="K754" s="103" t="n">
        <x:f>MIN(I754,F754*J754)</x:f>
        <x:v>88.61992508993855</x:v>
      </x:c>
      <x:c r="L754" s="103" t="n">
        <x:f>'Inputs &amp; Guide'!$B$5</x:f>
        <x:v>15</x:v>
      </x:c>
      <x:c r="M754" s="103" t="n">
        <x:f>I754*'Inputs &amp; Guide'!$B$6</x:f>
        <x:v>80.32510010152029</x:v>
      </x:c>
      <x:c r="N754" s="103" t="n">
        <x:f>MAX(0,MIN(K754-L754,M754))</x:f>
        <x:v>73.61992508993855</x:v>
      </x:c>
      <x:c r="O754" s="103" t="n">
        <x:f>MAX(0,N754-'Inputs &amp; Guide'!$B$7)</x:f>
        <x:v>13.619925089938548</x:v>
      </x:c>
      <x:c r="P754" s="103" t="n">
        <x:f>N754-O754</x:f>
        <x:v>60</x:v>
      </x:c>
      <x:c r="Q754" s="103" t="n">
        <x:f>I754*'Inputs &amp; Guide'!$B$8</x:f>
        <x:v>2.6288214578679368</x:v>
      </x:c>
      <x:c r="R754" s="104" t="n">
        <x:f>IFERROR(P754/Q754,0)</x:f>
        <x:v>22.82391594926421</x:v>
      </x:c>
      <x:c r="S754" s="105" t="n">
        <x:f>ROUND(E754*XLOOKUP(C754,'Reference Tables'!$E$4:$E$12,'Reference Tables'!$G$4:$G$12,1),1)</x:f>
        <x:v>1.4</x:v>
      </x:c>
      <x:c r="T754" s="106" t="str">
        <x:f>IF(R754&gt;='Inputs &amp; Guide'!$B$9,"HIGH",IF(R754&gt;=0.45,"WATCH","NORMAL"))</x:f>
        <x:v>HIGH</x:v>
      </x:c>
    </x:row>
    <x:row r="755">
      <x:c r="A755" s="95" t="n">
        <x:v>6009</x:v>
      </x:c>
      <x:c r="B755" s="96" t="n">
        <x:v>45542.104166666664</x:v>
      </x:c>
      <x:c r="C755" s="97" t="str">
        <x:v>Hurricane</x:v>
      </x:c>
      <x:c r="D755" s="97" t="str">
        <x:v>USA</x:v>
      </x:c>
      <x:c r="E755" s="98" t="n">
        <x:v>6.243891521559966</x:v>
      </x:c>
      <x:c r="F755" s="99" t="n">
        <x:v>543.7239923817389</x:v>
      </x:c>
      <x:c r="G755" s="100" t="str">
        <x:f>XLOOKUP(D755,'Reference Tables'!$A$4:$A$23,'Reference Tables'!$B$4:$B$23,"Other")</x:f>
        <x:v>Other</x:v>
      </x:c>
      <x:c r="H755" s="100" t="str">
        <x:f>VLOOKUP(G755,'Reference Tables'!$I$4:$J$9,2,FALSE)</x:f>
        <x:v>Moderate</x:v>
      </x:c>
      <x:c r="I755" s="101" t="n">
        <x:f>F755*'Inputs &amp; Guide'!$B$4*XLOOKUP(D755,'Reference Tables'!$A$4:$A$23,'Reference Tables'!$C$4:$C$23,0.75)</x:f>
        <x:v>65.24687908580867</x:v>
      </x:c>
      <x:c r="J755" s="102" t="n">
        <x:f>XLOOKUP(C755,'Reference Tables'!$E$4:$E$12,'Reference Tables'!$F$4:$F$12,0.05)</x:f>
        <x:v>0.18</x:v>
      </x:c>
      <x:c r="K755" s="103" t="n">
        <x:f>MIN(I755,F755*J755)</x:f>
        <x:v>65.24687908580867</x:v>
      </x:c>
      <x:c r="L755" s="103" t="n">
        <x:f>'Inputs &amp; Guide'!$B$5</x:f>
        <x:v>15</x:v>
      </x:c>
      <x:c r="M755" s="103" t="n">
        <x:f>I755*'Inputs &amp; Guide'!$B$6</x:f>
        <x:v>35.88578349719477</x:v>
      </x:c>
      <x:c r="N755" s="103" t="n">
        <x:f>MAX(0,MIN(K755-L755,M755))</x:f>
        <x:v>35.88578349719477</x:v>
      </x:c>
      <x:c r="O755" s="103" t="n">
        <x:f>MAX(0,N755-'Inputs &amp; Guide'!$B$7)</x:f>
        <x:v>0</x:v>
      </x:c>
      <x:c r="P755" s="103" t="n">
        <x:f>N755-O755</x:f>
        <x:v>35.88578349719477</x:v>
      </x:c>
      <x:c r="Q755" s="103" t="n">
        <x:f>I755*'Inputs &amp; Guide'!$B$8</x:f>
        <x:v>1.174443823544556</x:v>
      </x:c>
      <x:c r="R755" s="104" t="n">
        <x:f>IFERROR(P755/Q755,0)</x:f>
        <x:v>30.55555555555556</x:v>
      </x:c>
      <x:c r="S755" s="105" t="n">
        <x:f>ROUND(E755*XLOOKUP(C755,'Reference Tables'!$E$4:$E$12,'Reference Tables'!$G$4:$G$12,1),1)</x:f>
        <x:v>8.7</x:v>
      </x:c>
      <x:c r="T755" s="106" t="str">
        <x:f>IF(R755&gt;='Inputs &amp; Guide'!$B$9,"HIGH",IF(R755&gt;=0.45,"WATCH","NORMAL"))</x:f>
        <x:v>HIGH</x:v>
      </x:c>
    </x:row>
    <x:row r="756">
      <x:c r="A756" s="95" t="n">
        <x:v>6017</x:v>
      </x:c>
      <x:c r="B756" s="96" t="n">
        <x:v>45542.4375</x:v>
      </x:c>
      <x:c r="C756" s="97" t="str">
        <x:v>Wildfire</x:v>
      </x:c>
      <x:c r="D756" s="97" t="str">
        <x:v>India</x:v>
      </x:c>
      <x:c r="E756" s="98" t="n">
        <x:v>3.0921662044267366</x:v>
      </x:c>
      <x:c r="F756" s="99" t="n">
        <x:v>428.14935435530583</x:v>
      </x:c>
      <x:c r="G756" s="100" t="str">
        <x:f>XLOOKUP(D756,'Reference Tables'!$A$4:$A$23,'Reference Tables'!$B$4:$B$23,"Other")</x:f>
        <x:v>Asia Pacific</x:v>
      </x:c>
      <x:c r="H756" s="100" t="str">
        <x:f>VLOOKUP(G756,'Reference Tables'!$I$4:$J$9,2,FALSE)</x:f>
        <x:v>High</x:v>
      </x:c>
      <x:c r="I756" s="101" t="n">
        <x:f>F756*'Inputs &amp; Guide'!$B$4*XLOOKUP(D756,'Reference Tables'!$A$4:$A$23,'Reference Tables'!$C$4:$C$23,0.75)</x:f>
        <x:v>62.33854599413254</x:v>
      </x:c>
      <x:c r="J756" s="102" t="n">
        <x:f>XLOOKUP(C756,'Reference Tables'!$E$4:$E$12,'Reference Tables'!$F$4:$F$12,0.05)</x:f>
        <x:v>0.1</x:v>
      </x:c>
      <x:c r="K756" s="103" t="n">
        <x:f>MIN(I756,F756*J756)</x:f>
        <x:v>42.814935435530586</x:v>
      </x:c>
      <x:c r="L756" s="103" t="n">
        <x:f>'Inputs &amp; Guide'!$B$5</x:f>
        <x:v>15</x:v>
      </x:c>
      <x:c r="M756" s="103" t="n">
        <x:f>I756*'Inputs &amp; Guide'!$B$6</x:f>
        <x:v>34.2862002967729</x:v>
      </x:c>
      <x:c r="N756" s="103" t="n">
        <x:f>MAX(0,MIN(K756-L756,M756))</x:f>
        <x:v>27.814935435530586</x:v>
      </x:c>
      <x:c r="O756" s="103" t="n">
        <x:f>MAX(0,N756-'Inputs &amp; Guide'!$B$7)</x:f>
        <x:v>0</x:v>
      </x:c>
      <x:c r="P756" s="103" t="n">
        <x:f>N756-O756</x:f>
        <x:v>27.814935435530586</x:v>
      </x:c>
      <x:c r="Q756" s="103" t="n">
        <x:f>I756*'Inputs &amp; Guide'!$B$8</x:f>
        <x:v>1.1220938278943855</x:v>
      </x:c>
      <x:c r="R756" s="104" t="n">
        <x:f>IFERROR(P756/Q756,0)</x:f>
        <x:v>24.788422094545737</x:v>
      </x:c>
      <x:c r="S756" s="105" t="n">
        <x:f>ROUND(E756*XLOOKUP(C756,'Reference Tables'!$E$4:$E$12,'Reference Tables'!$G$4:$G$12,1),1)</x:f>
        <x:v>3.6</x:v>
      </x:c>
      <x:c r="T756" s="106" t="str">
        <x:f>IF(R756&gt;='Inputs &amp; Guide'!$B$9,"HIGH",IF(R756&gt;=0.45,"WATCH","NORMAL"))</x:f>
        <x:v>HIGH</x:v>
      </x:c>
    </x:row>
    <x:row r="757">
      <x:c r="A757" s="95" t="n">
        <x:v>6025</x:v>
      </x:c>
      <x:c r="B757" s="96" t="n">
        <x:v>45543</x:v>
      </x:c>
      <x:c r="C757" s="97" t="str">
        <x:v>Wildfire</x:v>
      </x:c>
      <x:c r="D757" s="97" t="str">
        <x:v>USA</x:v>
      </x:c>
      <x:c r="E757" s="98" t="n">
        <x:v>7.201723746528548</x:v>
      </x:c>
      <x:c r="F757" s="99" t="n">
        <x:v>291.1697316465993</x:v>
      </x:c>
      <x:c r="G757" s="100" t="str">
        <x:f>XLOOKUP(D757,'Reference Tables'!$A$4:$A$23,'Reference Tables'!$B$4:$B$23,"Other")</x:f>
        <x:v>Other</x:v>
      </x:c>
      <x:c r="H757" s="100" t="str">
        <x:f>VLOOKUP(G757,'Reference Tables'!$I$4:$J$9,2,FALSE)</x:f>
        <x:v>Moderate</x:v>
      </x:c>
      <x:c r="I757" s="101" t="n">
        <x:f>F757*'Inputs &amp; Guide'!$B$4*XLOOKUP(D757,'Reference Tables'!$A$4:$A$23,'Reference Tables'!$C$4:$C$23,0.75)</x:f>
        <x:v>34.94036779759192</x:v>
      </x:c>
      <x:c r="J757" s="102" t="n">
        <x:f>XLOOKUP(C757,'Reference Tables'!$E$4:$E$12,'Reference Tables'!$F$4:$F$12,0.05)</x:f>
        <x:v>0.1</x:v>
      </x:c>
      <x:c r="K757" s="103" t="n">
        <x:f>MIN(I757,F757*J757)</x:f>
        <x:v>29.11697316465993</x:v>
      </x:c>
      <x:c r="L757" s="103" t="n">
        <x:f>'Inputs &amp; Guide'!$B$5</x:f>
        <x:v>15</x:v>
      </x:c>
      <x:c r="M757" s="103" t="n">
        <x:f>I757*'Inputs &amp; Guide'!$B$6</x:f>
        <x:v>19.217202288675555</x:v>
      </x:c>
      <x:c r="N757" s="103" t="n">
        <x:f>MAX(0,MIN(K757-L757,M757))</x:f>
        <x:v>14.116973164659932</x:v>
      </x:c>
      <x:c r="O757" s="103" t="n">
        <x:f>MAX(0,N757-'Inputs &amp; Guide'!$B$7)</x:f>
        <x:v>0</x:v>
      </x:c>
      <x:c r="P757" s="103" t="n">
        <x:f>N757-O757</x:f>
        <x:v>14.116973164659932</x:v>
      </x:c>
      <x:c r="Q757" s="103" t="n">
        <x:f>I757*'Inputs &amp; Guide'!$B$8</x:f>
        <x:v>0.6289266203566545</x:v>
      </x:c>
      <x:c r="R757" s="104" t="n">
        <x:f>IFERROR(P757/Q757,0)</x:f>
        <x:v>22.44613712908895</x:v>
      </x:c>
      <x:c r="S757" s="105" t="n">
        <x:f>ROUND(E757*XLOOKUP(C757,'Reference Tables'!$E$4:$E$12,'Reference Tables'!$G$4:$G$12,1),1)</x:f>
        <x:v>8.3</x:v>
      </x:c>
      <x:c r="T757" s="106" t="str">
        <x:f>IF(R757&gt;='Inputs &amp; Guide'!$B$9,"HIGH",IF(R757&gt;=0.45,"WATCH","NORMAL"))</x:f>
        <x:v>HIGH</x:v>
      </x:c>
    </x:row>
    <x:row r="758">
      <x:c r="A758" s="95" t="n">
        <x:v>6033</x:v>
      </x:c>
      <x:c r="B758" s="96" t="n">
        <x:v>45543.104166666664</x:v>
      </x:c>
      <x:c r="C758" s="97" t="str">
        <x:v>Earthquake</x:v>
      </x:c>
      <x:c r="D758" s="97" t="str">
        <x:v>USA</x:v>
      </x:c>
      <x:c r="E758" s="98" t="n">
        <x:v>4.757919875816321</x:v>
      </x:c>
      <x:c r="F758" s="99" t="n">
        <x:v>250.48071271018114</x:v>
      </x:c>
      <x:c r="G758" s="100" t="str">
        <x:f>XLOOKUP(D758,'Reference Tables'!$A$4:$A$23,'Reference Tables'!$B$4:$B$23,"Other")</x:f>
        <x:v>Other</x:v>
      </x:c>
      <x:c r="H758" s="100" t="str">
        <x:f>VLOOKUP(G758,'Reference Tables'!$I$4:$J$9,2,FALSE)</x:f>
        <x:v>Moderate</x:v>
      </x:c>
      <x:c r="I758" s="101" t="n">
        <x:f>F758*'Inputs &amp; Guide'!$B$4*XLOOKUP(D758,'Reference Tables'!$A$4:$A$23,'Reference Tables'!$C$4:$C$23,0.75)</x:f>
        <x:v>30.057685525221736</x:v>
      </x:c>
      <x:c r="J758" s="102" t="n">
        <x:f>XLOOKUP(C758,'Reference Tables'!$E$4:$E$12,'Reference Tables'!$F$4:$F$12,0.05)</x:f>
        <x:v>0.14</x:v>
      </x:c>
      <x:c r="K758" s="103" t="n">
        <x:f>MIN(I758,F758*J758)</x:f>
        <x:v>30.057685525221736</x:v>
      </x:c>
      <x:c r="L758" s="103" t="n">
        <x:f>'Inputs &amp; Guide'!$B$5</x:f>
        <x:v>15</x:v>
      </x:c>
      <x:c r="M758" s="103" t="n">
        <x:f>I758*'Inputs &amp; Guide'!$B$6</x:f>
        <x:v>16.531727038871956</x:v>
      </x:c>
      <x:c r="N758" s="103" t="n">
        <x:f>MAX(0,MIN(K758-L758,M758))</x:f>
        <x:v>15.057685525221736</x:v>
      </x:c>
      <x:c r="O758" s="103" t="n">
        <x:f>MAX(0,N758-'Inputs &amp; Guide'!$B$7)</x:f>
        <x:v>0</x:v>
      </x:c>
      <x:c r="P758" s="103" t="n">
        <x:f>N758-O758</x:f>
        <x:v>15.057685525221736</x:v>
      </x:c>
      <x:c r="Q758" s="103" t="n">
        <x:f>I758*'Inputs &amp; Guide'!$B$8</x:f>
        <x:v>0.5410383394539912</x:v>
      </x:c>
      <x:c r="R758" s="104" t="n">
        <x:f>IFERROR(P758/Q758,0)</x:f>
        <x:v>27.831087793921878</x:v>
      </x:c>
      <x:c r="S758" s="105" t="n">
        <x:f>ROUND(E758*XLOOKUP(C758,'Reference Tables'!$E$4:$E$12,'Reference Tables'!$G$4:$G$12,1),1)</x:f>
        <x:v>7.1</x:v>
      </x:c>
      <x:c r="T758" s="106" t="str">
        <x:f>IF(R758&gt;='Inputs &amp; Guide'!$B$9,"HIGH",IF(R758&gt;=0.45,"WATCH","NORMAL"))</x:f>
        <x:v>HIGH</x:v>
      </x:c>
    </x:row>
    <x:row r="759">
      <x:c r="A759" s="95" t="n">
        <x:v>6041</x:v>
      </x:c>
      <x:c r="B759" s="96" t="n">
        <x:v>45543.4375</x:v>
      </x:c>
      <x:c r="C759" s="97" t="str">
        <x:v>Earthquake</x:v>
      </x:c>
      <x:c r="D759" s="97" t="str">
        <x:v>China</x:v>
      </x:c>
      <x:c r="E759" s="98" t="n">
        <x:v>6.032554511439222</x:v>
      </x:c>
      <x:c r="F759" s="99" t="n">
        <x:v>422.52077677270887</x:v>
      </x:c>
      <x:c r="G759" s="100" t="str">
        <x:f>XLOOKUP(D759,'Reference Tables'!$A$4:$A$23,'Reference Tables'!$B$4:$B$23,"Other")</x:f>
        <x:v>Asia Pacific</x:v>
      </x:c>
      <x:c r="H759" s="100" t="str">
        <x:f>VLOOKUP(G759,'Reference Tables'!$I$4:$J$9,2,FALSE)</x:f>
        <x:v>High</x:v>
      </x:c>
      <x:c r="I759" s="101" t="n">
        <x:f>F759*'Inputs &amp; Guide'!$B$4*XLOOKUP(D759,'Reference Tables'!$A$4:$A$23,'Reference Tables'!$C$4:$C$23,0.75)</x:f>
        <x:v>73.0115902263241</x:v>
      </x:c>
      <x:c r="J759" s="102" t="n">
        <x:f>XLOOKUP(C759,'Reference Tables'!$E$4:$E$12,'Reference Tables'!$F$4:$F$12,0.05)</x:f>
        <x:v>0.14</x:v>
      </x:c>
      <x:c r="K759" s="103" t="n">
        <x:f>MIN(I759,F759*J759)</x:f>
        <x:v>59.15290874817925</x:v>
      </x:c>
      <x:c r="L759" s="103" t="n">
        <x:f>'Inputs &amp; Guide'!$B$5</x:f>
        <x:v>15</x:v>
      </x:c>
      <x:c r="M759" s="103" t="n">
        <x:f>I759*'Inputs &amp; Guide'!$B$6</x:f>
        <x:v>40.15637462447826</x:v>
      </x:c>
      <x:c r="N759" s="103" t="n">
        <x:f>MAX(0,MIN(K759-L759,M759))</x:f>
        <x:v>40.15637462447826</x:v>
      </x:c>
      <x:c r="O759" s="103" t="n">
        <x:f>MAX(0,N759-'Inputs &amp; Guide'!$B$7)</x:f>
        <x:v>0</x:v>
      </x:c>
      <x:c r="P759" s="103" t="n">
        <x:f>N759-O759</x:f>
        <x:v>40.15637462447826</x:v>
      </x:c>
      <x:c r="Q759" s="103" t="n">
        <x:f>I759*'Inputs &amp; Guide'!$B$8</x:f>
        <x:v>1.3142086240738338</x:v>
      </x:c>
      <x:c r="R759" s="104" t="n">
        <x:f>IFERROR(P759/Q759,0)</x:f>
        <x:v>30.55555555555556</x:v>
      </x:c>
      <x:c r="S759" s="105" t="n">
        <x:f>ROUND(E759*XLOOKUP(C759,'Reference Tables'!$E$4:$E$12,'Reference Tables'!$G$4:$G$12,1),1)</x:f>
        <x:v>9</x:v>
      </x:c>
      <x:c r="T759" s="106" t="str">
        <x:f>IF(R759&gt;='Inputs &amp; Guide'!$B$9,"HIGH",IF(R759&gt;=0.45,"WATCH","NORMAL"))</x:f>
        <x:v>HIGH</x:v>
      </x:c>
    </x:row>
    <x:row r="760">
      <x:c r="A760" s="95" t="n">
        <x:v>6049</x:v>
      </x:c>
      <x:c r="B760" s="96" t="n">
        <x:v>45544</x:v>
      </x:c>
      <x:c r="C760" s="97" t="str">
        <x:v>Flood</x:v>
      </x:c>
      <x:c r="D760" s="97" t="str">
        <x:v>USA</x:v>
      </x:c>
      <x:c r="E760" s="98" t="n">
        <x:v>8.469731824474191</x:v>
      </x:c>
      <x:c r="F760" s="99" t="n">
        <x:v>101.31985272921047</x:v>
      </x:c>
      <x:c r="G760" s="100" t="str">
        <x:f>XLOOKUP(D760,'Reference Tables'!$A$4:$A$23,'Reference Tables'!$B$4:$B$23,"Other")</x:f>
        <x:v>Other</x:v>
      </x:c>
      <x:c r="H760" s="100" t="str">
        <x:f>VLOOKUP(G760,'Reference Tables'!$I$4:$J$9,2,FALSE)</x:f>
        <x:v>Moderate</x:v>
      </x:c>
      <x:c r="I760" s="101" t="n">
        <x:f>F760*'Inputs &amp; Guide'!$B$4*XLOOKUP(D760,'Reference Tables'!$A$4:$A$23,'Reference Tables'!$C$4:$C$23,0.75)</x:f>
        <x:v>12.158382327505256</x:v>
      </x:c>
      <x:c r="J760" s="102" t="n">
        <x:f>XLOOKUP(C760,'Reference Tables'!$E$4:$E$12,'Reference Tables'!$F$4:$F$12,0.05)</x:f>
        <x:v>0.12</x:v>
      </x:c>
      <x:c r="K760" s="103" t="n">
        <x:f>MIN(I760,F760*J760)</x:f>
        <x:v>12.158382327505256</x:v>
      </x:c>
      <x:c r="L760" s="103" t="n">
        <x:f>'Inputs &amp; Guide'!$B$5</x:f>
        <x:v>15</x:v>
      </x:c>
      <x:c r="M760" s="103" t="n">
        <x:f>I760*'Inputs &amp; Guide'!$B$6</x:f>
        <x:v>6.687110280127891</x:v>
      </x:c>
      <x:c r="N760" s="103" t="n">
        <x:f>MAX(0,MIN(K760-L760,M760))</x:f>
        <x:v>0</x:v>
      </x:c>
      <x:c r="O760" s="103" t="n">
        <x:f>MAX(0,N760-'Inputs &amp; Guide'!$B$7)</x:f>
        <x:v>0</x:v>
      </x:c>
      <x:c r="P760" s="103" t="n">
        <x:f>N760-O760</x:f>
        <x:v>0</x:v>
      </x:c>
      <x:c r="Q760" s="103" t="n">
        <x:f>I760*'Inputs &amp; Guide'!$B$8</x:f>
        <x:v>0.2188508818950946</x:v>
      </x:c>
      <x:c r="R760" s="104" t="n">
        <x:f>IFERROR(P760/Q760,0)</x:f>
        <x:v>0</x:v>
      </x:c>
      <x:c r="S760" s="105" t="n">
        <x:f>ROUND(E760*XLOOKUP(C760,'Reference Tables'!$E$4:$E$12,'Reference Tables'!$G$4:$G$12,1),1)</x:f>
        <x:v>10.6</x:v>
      </x:c>
      <x:c r="T760" s="106" t="str">
        <x:f>IF(R760&gt;='Inputs &amp; Guide'!$B$9,"HIGH",IF(R760&gt;=0.45,"WATCH","NORMAL"))</x:f>
        <x:v>NORMAL</x:v>
      </x:c>
    </x:row>
    <x:row r="761">
      <x:c r="A761" s="95" t="n">
        <x:v>6057</x:v>
      </x:c>
      <x:c r="B761" s="96" t="n">
        <x:v>45544.104166666664</x:v>
      </x:c>
      <x:c r="C761" s="97" t="str">
        <x:v>Tornado</x:v>
      </x:c>
      <x:c r="D761" s="97" t="str">
        <x:v>India</x:v>
      </x:c>
      <x:c r="E761" s="98" t="n">
        <x:v>5.56344458026432</x:v>
      </x:c>
      <x:c r="F761" s="99" t="n">
        <x:v>795.3996082551521</x:v>
      </x:c>
      <x:c r="G761" s="100" t="str">
        <x:f>XLOOKUP(D761,'Reference Tables'!$A$4:$A$23,'Reference Tables'!$B$4:$B$23,"Other")</x:f>
        <x:v>Asia Pacific</x:v>
      </x:c>
      <x:c r="H761" s="100" t="str">
        <x:f>VLOOKUP(G761,'Reference Tables'!$I$4:$J$9,2,FALSE)</x:f>
        <x:v>High</x:v>
      </x:c>
      <x:c r="I761" s="101" t="n">
        <x:f>F761*'Inputs &amp; Guide'!$B$4*XLOOKUP(D761,'Reference Tables'!$A$4:$A$23,'Reference Tables'!$C$4:$C$23,0.75)</x:f>
        <x:v>115.81018296195015</x:v>
      </x:c>
      <x:c r="J761" s="102" t="n">
        <x:f>XLOOKUP(C761,'Reference Tables'!$E$4:$E$12,'Reference Tables'!$F$4:$F$12,0.05)</x:f>
        <x:v>0.09</x:v>
      </x:c>
      <x:c r="K761" s="103" t="n">
        <x:f>MIN(I761,F761*J761)</x:f>
        <x:v>71.58596474296368</x:v>
      </x:c>
      <x:c r="L761" s="103" t="n">
        <x:f>'Inputs &amp; Guide'!$B$5</x:f>
        <x:v>15</x:v>
      </x:c>
      <x:c r="M761" s="103" t="n">
        <x:f>I761*'Inputs &amp; Guide'!$B$6</x:f>
        <x:v>63.69560062907259</x:v>
      </x:c>
      <x:c r="N761" s="103" t="n">
        <x:f>MAX(0,MIN(K761-L761,M761))</x:f>
        <x:v>56.58596474296368</x:v>
      </x:c>
      <x:c r="O761" s="103" t="n">
        <x:f>MAX(0,N761-'Inputs &amp; Guide'!$B$7)</x:f>
        <x:v>0</x:v>
      </x:c>
      <x:c r="P761" s="103" t="n">
        <x:f>N761-O761</x:f>
        <x:v>56.58596474296368</x:v>
      </x:c>
      <x:c r="Q761" s="103" t="n">
        <x:f>I761*'Inputs &amp; Guide'!$B$8</x:f>
        <x:v>2.0845832933151023</x:v>
      </x:c>
      <x:c r="R761" s="104" t="n">
        <x:f>IFERROR(P761/Q761,0)</x:f>
        <x:v>27.144976612076416</x:v>
      </x:c>
      <x:c r="S761" s="105" t="n">
        <x:f>ROUND(E761*XLOOKUP(C761,'Reference Tables'!$E$4:$E$12,'Reference Tables'!$G$4:$G$12,1),1)</x:f>
        <x:v>5.8</x:v>
      </x:c>
      <x:c r="T761" s="106" t="str">
        <x:f>IF(R761&gt;='Inputs &amp; Guide'!$B$9,"HIGH",IF(R761&gt;=0.45,"WATCH","NORMAL"))</x:f>
        <x:v>HIGH</x:v>
      </x:c>
    </x:row>
    <x:row r="762">
      <x:c r="A762" s="95" t="n">
        <x:v>6065</x:v>
      </x:c>
      <x:c r="B762" s="96" t="n">
        <x:v>45544.4375</x:v>
      </x:c>
      <x:c r="C762" s="97" t="str">
        <x:v>Wildfire</x:v>
      </x:c>
      <x:c r="D762" s="97" t="str">
        <x:v>USA</x:v>
      </x:c>
      <x:c r="E762" s="98" t="n">
        <x:v>4.4458015498432815</x:v>
      </x:c>
      <x:c r="F762" s="99" t="n">
        <x:v>203.17879235786302</x:v>
      </x:c>
      <x:c r="G762" s="100" t="str">
        <x:f>XLOOKUP(D762,'Reference Tables'!$A$4:$A$23,'Reference Tables'!$B$4:$B$23,"Other")</x:f>
        <x:v>Other</x:v>
      </x:c>
      <x:c r="H762" s="100" t="str">
        <x:f>VLOOKUP(G762,'Reference Tables'!$I$4:$J$9,2,FALSE)</x:f>
        <x:v>Moderate</x:v>
      </x:c>
      <x:c r="I762" s="101" t="n">
        <x:f>F762*'Inputs &amp; Guide'!$B$4*XLOOKUP(D762,'Reference Tables'!$A$4:$A$23,'Reference Tables'!$C$4:$C$23,0.75)</x:f>
        <x:v>24.38145508294356</x:v>
      </x:c>
      <x:c r="J762" s="102" t="n">
        <x:f>XLOOKUP(C762,'Reference Tables'!$E$4:$E$12,'Reference Tables'!$F$4:$F$12,0.05)</x:f>
        <x:v>0.1</x:v>
      </x:c>
      <x:c r="K762" s="103" t="n">
        <x:f>MIN(I762,F762*J762)</x:f>
        <x:v>20.317879235786304</x:v>
      </x:c>
      <x:c r="L762" s="103" t="n">
        <x:f>'Inputs &amp; Guide'!$B$5</x:f>
        <x:v>15</x:v>
      </x:c>
      <x:c r="M762" s="103" t="n">
        <x:f>I762*'Inputs &amp; Guide'!$B$6</x:f>
        <x:v>13.40980029561896</x:v>
      </x:c>
      <x:c r="N762" s="103" t="n">
        <x:f>MAX(0,MIN(K762-L762,M762))</x:f>
        <x:v>5.317879235786304</x:v>
      </x:c>
      <x:c r="O762" s="103" t="n">
        <x:f>MAX(0,N762-'Inputs &amp; Guide'!$B$7)</x:f>
        <x:v>0</x:v>
      </x:c>
      <x:c r="P762" s="103" t="n">
        <x:f>N762-O762</x:f>
        <x:v>5.317879235786304</x:v>
      </x:c>
      <x:c r="Q762" s="103" t="n">
        <x:f>I762*'Inputs &amp; Guide'!$B$8</x:f>
        <x:v>0.43886619149298406</x:v>
      </x:c>
      <x:c r="R762" s="104" t="n">
        <x:f>IFERROR(P762/Q762,0)</x:f>
        <x:v>12.117313520313214</x:v>
      </x:c>
      <x:c r="S762" s="105" t="n">
        <x:f>ROUND(E762*XLOOKUP(C762,'Reference Tables'!$E$4:$E$12,'Reference Tables'!$G$4:$G$12,1),1)</x:f>
        <x:v>5.1</x:v>
      </x:c>
      <x:c r="T762" s="106" t="str">
        <x:f>IF(R762&gt;='Inputs &amp; Guide'!$B$9,"HIGH",IF(R762&gt;=0.45,"WATCH","NORMAL"))</x:f>
        <x:v>HIGH</x:v>
      </x:c>
    </x:row>
    <x:row r="763">
      <x:c r="A763" s="95" t="n">
        <x:v>6073</x:v>
      </x:c>
      <x:c r="B763" s="96" t="n">
        <x:v>45545</x:v>
      </x:c>
      <x:c r="C763" s="97" t="str">
        <x:v>Hurricane</x:v>
      </x:c>
      <x:c r="D763" s="97" t="str">
        <x:v>India</x:v>
      </x:c>
      <x:c r="E763" s="98" t="n">
        <x:v>2.7311991207164876</x:v>
      </x:c>
      <x:c r="F763" s="99" t="n">
        <x:v>82.61652288845947</x:v>
      </x:c>
      <x:c r="G763" s="100" t="str">
        <x:f>XLOOKUP(D763,'Reference Tables'!$A$4:$A$23,'Reference Tables'!$B$4:$B$23,"Other")</x:f>
        <x:v>Asia Pacific</x:v>
      </x:c>
      <x:c r="H763" s="100" t="str">
        <x:f>VLOOKUP(G763,'Reference Tables'!$I$4:$J$9,2,FALSE)</x:f>
        <x:v>High</x:v>
      </x:c>
      <x:c r="I763" s="101" t="n">
        <x:f>F763*'Inputs &amp; Guide'!$B$4*XLOOKUP(D763,'Reference Tables'!$A$4:$A$23,'Reference Tables'!$C$4:$C$23,0.75)</x:f>
        <x:v>12.0289657325597</x:v>
      </x:c>
      <x:c r="J763" s="102" t="n">
        <x:f>XLOOKUP(C763,'Reference Tables'!$E$4:$E$12,'Reference Tables'!$F$4:$F$12,0.05)</x:f>
        <x:v>0.18</x:v>
      </x:c>
      <x:c r="K763" s="103" t="n">
        <x:f>MIN(I763,F763*J763)</x:f>
        <x:v>12.0289657325597</x:v>
      </x:c>
      <x:c r="L763" s="103" t="n">
        <x:f>'Inputs &amp; Guide'!$B$5</x:f>
        <x:v>15</x:v>
      </x:c>
      <x:c r="M763" s="103" t="n">
        <x:f>I763*'Inputs &amp; Guide'!$B$6</x:f>
        <x:v>6.6159311529078355</x:v>
      </x:c>
      <x:c r="N763" s="103" t="n">
        <x:f>MAX(0,MIN(K763-L763,M763))</x:f>
        <x:v>0</x:v>
      </x:c>
      <x:c r="O763" s="103" t="n">
        <x:f>MAX(0,N763-'Inputs &amp; Guide'!$B$7)</x:f>
        <x:v>0</x:v>
      </x:c>
      <x:c r="P763" s="103" t="n">
        <x:f>N763-O763</x:f>
        <x:v>0</x:v>
      </x:c>
      <x:c r="Q763" s="103" t="n">
        <x:f>I763*'Inputs &amp; Guide'!$B$8</x:f>
        <x:v>0.21652138318607458</x:v>
      </x:c>
      <x:c r="R763" s="104" t="n">
        <x:f>IFERROR(P763/Q763,0)</x:f>
        <x:v>0</x:v>
      </x:c>
      <x:c r="S763" s="105" t="n">
        <x:f>ROUND(E763*XLOOKUP(C763,'Reference Tables'!$E$4:$E$12,'Reference Tables'!$G$4:$G$12,1),1)</x:f>
        <x:v>3.8</x:v>
      </x:c>
      <x:c r="T763" s="106" t="str">
        <x:f>IF(R763&gt;='Inputs &amp; Guide'!$B$9,"HIGH",IF(R763&gt;=0.45,"WATCH","NORMAL"))</x:f>
        <x:v>NORMAL</x:v>
      </x:c>
    </x:row>
    <x:row r="764">
      <x:c r="A764" s="95" t="n">
        <x:v>6081</x:v>
      </x:c>
      <x:c r="B764" s="96" t="n">
        <x:v>45545.104166666664</x:v>
      </x:c>
      <x:c r="C764" s="97" t="str">
        <x:v>Tornado</x:v>
      </x:c>
      <x:c r="D764" s="97" t="str">
        <x:v>India</x:v>
      </x:c>
      <x:c r="E764" s="98" t="n">
        <x:v>9.382203286482047</x:v>
      </x:c>
      <x:c r="F764" s="99" t="n">
        <x:v>886.3689854357568</x:v>
      </x:c>
      <x:c r="G764" s="100" t="str">
        <x:f>XLOOKUP(D764,'Reference Tables'!$A$4:$A$23,'Reference Tables'!$B$4:$B$23,"Other")</x:f>
        <x:v>Asia Pacific</x:v>
      </x:c>
      <x:c r="H764" s="100" t="str">
        <x:f>VLOOKUP(G764,'Reference Tables'!$I$4:$J$9,2,FALSE)</x:f>
        <x:v>High</x:v>
      </x:c>
      <x:c r="I764" s="101" t="n">
        <x:f>F764*'Inputs &amp; Guide'!$B$4*XLOOKUP(D764,'Reference Tables'!$A$4:$A$23,'Reference Tables'!$C$4:$C$23,0.75)</x:f>
        <x:v>129.0553242794462</x:v>
      </x:c>
      <x:c r="J764" s="102" t="n">
        <x:f>XLOOKUP(C764,'Reference Tables'!$E$4:$E$12,'Reference Tables'!$F$4:$F$12,0.05)</x:f>
        <x:v>0.09</x:v>
      </x:c>
      <x:c r="K764" s="103" t="n">
        <x:f>MIN(I764,F764*J764)</x:f>
        <x:v>79.77320868921811</x:v>
      </x:c>
      <x:c r="L764" s="103" t="n">
        <x:f>'Inputs &amp; Guide'!$B$5</x:f>
        <x:v>15</x:v>
      </x:c>
      <x:c r="M764" s="103" t="n">
        <x:f>I764*'Inputs &amp; Guide'!$B$6</x:f>
        <x:v>70.98042835369542</x:v>
      </x:c>
      <x:c r="N764" s="103" t="n">
        <x:f>MAX(0,MIN(K764-L764,M764))</x:f>
        <x:v>64.77320868921811</x:v>
      </x:c>
      <x:c r="O764" s="103" t="n">
        <x:f>MAX(0,N764-'Inputs &amp; Guide'!$B$7)</x:f>
        <x:v>4.773208689218109</x:v>
      </x:c>
      <x:c r="P764" s="103" t="n">
        <x:f>N764-O764</x:f>
        <x:v>60</x:v>
      </x:c>
      <x:c r="Q764" s="103" t="n">
        <x:f>I764*'Inputs &amp; Guide'!$B$8</x:f>
        <x:v>2.3229958370300317</x:v>
      </x:c>
      <x:c r="R764" s="104" t="n">
        <x:f>IFERROR(P764/Q764,0)</x:f>
        <x:v>25.828716110275284</x:v>
      </x:c>
      <x:c r="S764" s="105" t="n">
        <x:f>ROUND(E764*XLOOKUP(C764,'Reference Tables'!$E$4:$E$12,'Reference Tables'!$G$4:$G$12,1),1)</x:f>
        <x:v>9.9</x:v>
      </x:c>
      <x:c r="T764" s="106" t="str">
        <x:f>IF(R764&gt;='Inputs &amp; Guide'!$B$9,"HIGH",IF(R764&gt;=0.45,"WATCH","NORMAL"))</x:f>
        <x:v>HIGH</x:v>
      </x:c>
    </x:row>
    <x:row r="765">
      <x:c r="A765" s="95" t="n">
        <x:v>6089</x:v>
      </x:c>
      <x:c r="B765" s="96" t="n">
        <x:v>45545.4375</x:v>
      </x:c>
      <x:c r="C765" s="97" t="str">
        <x:v>Hurricane</x:v>
      </x:c>
      <x:c r="D765" s="97" t="str">
        <x:v>Brazil</x:v>
      </x:c>
      <x:c r="E765" s="98" t="n">
        <x:v>2.175002969968555</x:v>
      </x:c>
      <x:c r="F765" s="99" t="n">
        <x:v>48.27660939446782</x:v>
      </x:c>
      <x:c r="G765" s="100" t="str">
        <x:f>XLOOKUP(D765,'Reference Tables'!$A$4:$A$23,'Reference Tables'!$B$4:$B$23,"Other")</x:f>
        <x:v>Latin America</x:v>
      </x:c>
      <x:c r="H765" s="100" t="str">
        <x:f>VLOOKUP(G765,'Reference Tables'!$I$4:$J$9,2,FALSE)</x:f>
        <x:v>Moderate</x:v>
      </x:c>
      <x:c r="I765" s="101" t="n">
        <x:f>F765*'Inputs &amp; Guide'!$B$4*XLOOKUP(D765,'Reference Tables'!$A$4:$A$23,'Reference Tables'!$C$4:$C$23,0.75)</x:f>
        <x:v>6.333891152554178</x:v>
      </x:c>
      <x:c r="J765" s="102" t="n">
        <x:f>XLOOKUP(C765,'Reference Tables'!$E$4:$E$12,'Reference Tables'!$F$4:$F$12,0.05)</x:f>
        <x:v>0.18</x:v>
      </x:c>
      <x:c r="K765" s="103" t="n">
        <x:f>MIN(I765,F765*J765)</x:f>
        <x:v>6.333891152554178</x:v>
      </x:c>
      <x:c r="L765" s="103" t="n">
        <x:f>'Inputs &amp; Guide'!$B$5</x:f>
        <x:v>15</x:v>
      </x:c>
      <x:c r="M765" s="103" t="n">
        <x:f>I765*'Inputs &amp; Guide'!$B$6</x:f>
        <x:v>3.483640133904798</x:v>
      </x:c>
      <x:c r="N765" s="103" t="n">
        <x:f>MAX(0,MIN(K765-L765,M765))</x:f>
        <x:v>0</x:v>
      </x:c>
      <x:c r="O765" s="103" t="n">
        <x:f>MAX(0,N765-'Inputs &amp; Guide'!$B$7)</x:f>
        <x:v>0</x:v>
      </x:c>
      <x:c r="P765" s="103" t="n">
        <x:f>N765-O765</x:f>
        <x:v>0</x:v>
      </x:c>
      <x:c r="Q765" s="103" t="n">
        <x:f>I765*'Inputs &amp; Guide'!$B$8</x:f>
        <x:v>0.11401004074597519</x:v>
      </x:c>
      <x:c r="R765" s="104" t="n">
        <x:f>IFERROR(P765/Q765,0)</x:f>
        <x:v>0</x:v>
      </x:c>
      <x:c r="S765" s="105" t="n">
        <x:f>ROUND(E765*XLOOKUP(C765,'Reference Tables'!$E$4:$E$12,'Reference Tables'!$G$4:$G$12,1),1)</x:f>
        <x:v>3</x:v>
      </x:c>
      <x:c r="T765" s="106" t="str">
        <x:f>IF(R765&gt;='Inputs &amp; Guide'!$B$9,"HIGH",IF(R765&gt;=0.45,"WATCH","NORMAL"))</x:f>
        <x:v>NORMAL</x:v>
      </x:c>
    </x:row>
    <x:row r="766">
      <x:c r="A766" s="95" t="n">
        <x:v>6097</x:v>
      </x:c>
      <x:c r="B766" s="96" t="n">
        <x:v>45546</x:v>
      </x:c>
      <x:c r="C766" s="97" t="str">
        <x:v>Wildfire</x:v>
      </x:c>
      <x:c r="D766" s="97" t="str">
        <x:v>India</x:v>
      </x:c>
      <x:c r="E766" s="98" t="n">
        <x:v>6.174218503788891</x:v>
      </x:c>
      <x:c r="F766" s="99" t="n">
        <x:v>906.2127362563941</x:v>
      </x:c>
      <x:c r="G766" s="100" t="str">
        <x:f>XLOOKUP(D766,'Reference Tables'!$A$4:$A$23,'Reference Tables'!$B$4:$B$23,"Other")</x:f>
        <x:v>Asia Pacific</x:v>
      </x:c>
      <x:c r="H766" s="100" t="str">
        <x:f>VLOOKUP(G766,'Reference Tables'!$I$4:$J$9,2,FALSE)</x:f>
        <x:v>High</x:v>
      </x:c>
      <x:c r="I766" s="101" t="n">
        <x:f>F766*'Inputs &amp; Guide'!$B$4*XLOOKUP(D766,'Reference Tables'!$A$4:$A$23,'Reference Tables'!$C$4:$C$23,0.75)</x:f>
        <x:v>131.944574398931</x:v>
      </x:c>
      <x:c r="J766" s="102" t="n">
        <x:f>XLOOKUP(C766,'Reference Tables'!$E$4:$E$12,'Reference Tables'!$F$4:$F$12,0.05)</x:f>
        <x:v>0.1</x:v>
      </x:c>
      <x:c r="K766" s="103" t="n">
        <x:f>MIN(I766,F766*J766)</x:f>
        <x:v>90.62127362563942</x:v>
      </x:c>
      <x:c r="L766" s="103" t="n">
        <x:f>'Inputs &amp; Guide'!$B$5</x:f>
        <x:v>15</x:v>
      </x:c>
      <x:c r="M766" s="103" t="n">
        <x:f>I766*'Inputs &amp; Guide'!$B$6</x:f>
        <x:v>72.56951591941205</x:v>
      </x:c>
      <x:c r="N766" s="103" t="n">
        <x:f>MAX(0,MIN(K766-L766,M766))</x:f>
        <x:v>72.56951591941205</x:v>
      </x:c>
      <x:c r="O766" s="103" t="n">
        <x:f>MAX(0,N766-'Inputs &amp; Guide'!$B$7)</x:f>
        <x:v>12.569515919412055</x:v>
      </x:c>
      <x:c r="P766" s="103" t="n">
        <x:f>N766-O766</x:f>
        <x:v>60</x:v>
      </x:c>
      <x:c r="Q766" s="103" t="n">
        <x:f>I766*'Inputs &amp; Guide'!$B$8</x:f>
        <x:v>2.3750023391807575</x:v>
      </x:c>
      <x:c r="R766" s="104" t="n">
        <x:f>IFERROR(P766/Q766,0)</x:f>
        <x:v>25.263133012617004</x:v>
      </x:c>
      <x:c r="S766" s="105" t="n">
        <x:f>ROUND(E766*XLOOKUP(C766,'Reference Tables'!$E$4:$E$12,'Reference Tables'!$G$4:$G$12,1),1)</x:f>
        <x:v>7.1</x:v>
      </x:c>
      <x:c r="T766" s="106" t="str">
        <x:f>IF(R766&gt;='Inputs &amp; Guide'!$B$9,"HIGH",IF(R766&gt;=0.45,"WATCH","NORMAL"))</x:f>
        <x:v>HIGH</x:v>
      </x:c>
    </x:row>
    <x:row r="767">
      <x:c r="A767" s="95" t="n">
        <x:v>6105</x:v>
      </x:c>
      <x:c r="B767" s="96" t="n">
        <x:v>45546.104166666664</x:v>
      </x:c>
      <x:c r="C767" s="97" t="str">
        <x:v>Earthquake</x:v>
      </x:c>
      <x:c r="D767" s="97" t="str">
        <x:v>Indonesia</x:v>
      </x:c>
      <x:c r="E767" s="98" t="n">
        <x:v>1.08308792494857</x:v>
      </x:c>
      <x:c r="F767" s="99" t="n">
        <x:v>287.82807703464346</x:v>
      </x:c>
      <x:c r="G767" s="100" t="str">
        <x:f>XLOOKUP(D767,'Reference Tables'!$A$4:$A$23,'Reference Tables'!$B$4:$B$23,"Other")</x:f>
        <x:v>Asia Pacific</x:v>
      </x:c>
      <x:c r="H767" s="100" t="str">
        <x:f>VLOOKUP(G767,'Reference Tables'!$I$4:$J$9,2,FALSE)</x:f>
        <x:v>High</x:v>
      </x:c>
      <x:c r="I767" s="101" t="n">
        <x:f>F767*'Inputs &amp; Guide'!$B$4*XLOOKUP(D767,'Reference Tables'!$A$4:$A$23,'Reference Tables'!$C$4:$C$23,0.75)</x:f>
        <x:v>47.434067095309246</x:v>
      </x:c>
      <x:c r="J767" s="102" t="n">
        <x:f>XLOOKUP(C767,'Reference Tables'!$E$4:$E$12,'Reference Tables'!$F$4:$F$12,0.05)</x:f>
        <x:v>0.14</x:v>
      </x:c>
      <x:c r="K767" s="103" t="n">
        <x:f>MIN(I767,F767*J767)</x:f>
        <x:v>40.295930784850086</x:v>
      </x:c>
      <x:c r="L767" s="103" t="n">
        <x:f>'Inputs &amp; Guide'!$B$5</x:f>
        <x:v>15</x:v>
      </x:c>
      <x:c r="M767" s="103" t="n">
        <x:f>I767*'Inputs &amp; Guide'!$B$6</x:f>
        <x:v>26.088736902420088</x:v>
      </x:c>
      <x:c r="N767" s="103" t="n">
        <x:f>MAX(0,MIN(K767-L767,M767))</x:f>
        <x:v>25.295930784850086</x:v>
      </x:c>
      <x:c r="O767" s="103" t="n">
        <x:f>MAX(0,N767-'Inputs &amp; Guide'!$B$7)</x:f>
        <x:v>0</x:v>
      </x:c>
      <x:c r="P767" s="103" t="n">
        <x:f>N767-O767</x:f>
        <x:v>25.295930784850086</x:v>
      </x:c>
      <x:c r="Q767" s="103" t="n">
        <x:f>I767*'Inputs &amp; Guide'!$B$8</x:f>
        <x:v>0.8538132077155663</x:v>
      </x:c>
      <x:c r="R767" s="104" t="n">
        <x:f>IFERROR(P767/Q767,0)</x:f>
        <x:v>29.62700805780578</x:v>
      </x:c>
      <x:c r="S767" s="105" t="n">
        <x:f>ROUND(E767*XLOOKUP(C767,'Reference Tables'!$E$4:$E$12,'Reference Tables'!$G$4:$G$12,1),1)</x:f>
        <x:v>1.6</x:v>
      </x:c>
      <x:c r="T767" s="106" t="str">
        <x:f>IF(R767&gt;='Inputs &amp; Guide'!$B$9,"HIGH",IF(R767&gt;=0.45,"WATCH","NORMAL"))</x:f>
        <x:v>HIGH</x:v>
      </x:c>
    </x:row>
    <x:row r="768">
      <x:c r="A768" s="95" t="n">
        <x:v>6113</x:v>
      </x:c>
      <x:c r="B768" s="96" t="n">
        <x:v>45546.4375</x:v>
      </x:c>
      <x:c r="C768" s="97" t="str">
        <x:v>Earthquake</x:v>
      </x:c>
      <x:c r="D768" s="97" t="str">
        <x:v>Japan</x:v>
      </x:c>
      <x:c r="E768" s="98" t="n">
        <x:v>5.661355787032907</x:v>
      </x:c>
      <x:c r="F768" s="99" t="n">
        <x:v>489.93076645543533</x:v>
      </x:c>
      <x:c r="G768" s="100" t="str">
        <x:f>XLOOKUP(D768,'Reference Tables'!$A$4:$A$23,'Reference Tables'!$B$4:$B$23,"Other")</x:f>
        <x:v>Asia Pacific</x:v>
      </x:c>
      <x:c r="H768" s="100" t="str">
        <x:f>VLOOKUP(G768,'Reference Tables'!$I$4:$J$9,2,FALSE)</x:f>
        <x:v>High</x:v>
      </x:c>
      <x:c r="I768" s="101" t="n">
        <x:f>F768*'Inputs &amp; Guide'!$B$4*XLOOKUP(D768,'Reference Tables'!$A$4:$A$23,'Reference Tables'!$C$4:$C$23,0.75)</x:f>
        <x:v>92.49892870678619</x:v>
      </x:c>
      <x:c r="J768" s="102" t="n">
        <x:f>XLOOKUP(C768,'Reference Tables'!$E$4:$E$12,'Reference Tables'!$F$4:$F$12,0.05)</x:f>
        <x:v>0.14</x:v>
      </x:c>
      <x:c r="K768" s="103" t="n">
        <x:f>MIN(I768,F768*J768)</x:f>
        <x:v>68.59030730376095</x:v>
      </x:c>
      <x:c r="L768" s="103" t="n">
        <x:f>'Inputs &amp; Guide'!$B$5</x:f>
        <x:v>15</x:v>
      </x:c>
      <x:c r="M768" s="103" t="n">
        <x:f>I768*'Inputs &amp; Guide'!$B$6</x:f>
        <x:v>50.874410788732405</x:v>
      </x:c>
      <x:c r="N768" s="103" t="n">
        <x:f>MAX(0,MIN(K768-L768,M768))</x:f>
        <x:v>50.874410788732405</x:v>
      </x:c>
      <x:c r="O768" s="103" t="n">
        <x:f>MAX(0,N768-'Inputs &amp; Guide'!$B$7)</x:f>
        <x:v>0</x:v>
      </x:c>
      <x:c r="P768" s="103" t="n">
        <x:f>N768-O768</x:f>
        <x:v>50.874410788732405</x:v>
      </x:c>
      <x:c r="Q768" s="103" t="n">
        <x:f>I768*'Inputs &amp; Guide'!$B$8</x:f>
        <x:v>1.6649807167221513</x:v>
      </x:c>
      <x:c r="R768" s="104" t="n">
        <x:f>IFERROR(P768/Q768,0)</x:f>
        <x:v>30.555555555555557</x:v>
      </x:c>
      <x:c r="S768" s="105" t="n">
        <x:f>ROUND(E768*XLOOKUP(C768,'Reference Tables'!$E$4:$E$12,'Reference Tables'!$G$4:$G$12,1),1)</x:f>
        <x:v>8.5</x:v>
      </x:c>
      <x:c r="T768" s="106" t="str">
        <x:f>IF(R768&gt;='Inputs &amp; Guide'!$B$9,"HIGH",IF(R768&gt;=0.45,"WATCH","NORMAL"))</x:f>
        <x:v>HIGH</x:v>
      </x:c>
    </x:row>
    <x:row r="769">
      <x:c r="A769" s="95" t="n">
        <x:v>6121</x:v>
      </x:c>
      <x:c r="B769" s="96" t="n">
        <x:v>45547</x:v>
      </x:c>
      <x:c r="C769" s="97" t="str">
        <x:v>Flood</x:v>
      </x:c>
      <x:c r="D769" s="97" t="str">
        <x:v>Japan</x:v>
      </x:c>
      <x:c r="E769" s="98" t="n">
        <x:v>5.880762625838121</x:v>
      </x:c>
      <x:c r="F769" s="99" t="n">
        <x:v>631.95818854848</x:v>
      </x:c>
      <x:c r="G769" s="100" t="str">
        <x:f>XLOOKUP(D769,'Reference Tables'!$A$4:$A$23,'Reference Tables'!$B$4:$B$23,"Other")</x:f>
        <x:v>Asia Pacific</x:v>
      </x:c>
      <x:c r="H769" s="100" t="str">
        <x:f>VLOOKUP(G769,'Reference Tables'!$I$4:$J$9,2,FALSE)</x:f>
        <x:v>High</x:v>
      </x:c>
      <x:c r="I769" s="101" t="n">
        <x:f>F769*'Inputs &amp; Guide'!$B$4*XLOOKUP(D769,'Reference Tables'!$A$4:$A$23,'Reference Tables'!$C$4:$C$23,0.75)</x:f>
        <x:v>119.31370599795302</x:v>
      </x:c>
      <x:c r="J769" s="102" t="n">
        <x:f>XLOOKUP(C769,'Reference Tables'!$E$4:$E$12,'Reference Tables'!$F$4:$F$12,0.05)</x:f>
        <x:v>0.12</x:v>
      </x:c>
      <x:c r="K769" s="103" t="n">
        <x:f>MIN(I769,F769*J769)</x:f>
        <x:v>75.8349826258176</x:v>
      </x:c>
      <x:c r="L769" s="103" t="n">
        <x:f>'Inputs &amp; Guide'!$B$5</x:f>
        <x:v>15</x:v>
      </x:c>
      <x:c r="M769" s="103" t="n">
        <x:f>I769*'Inputs &amp; Guide'!$B$6</x:f>
        <x:v>65.62253829887416</x:v>
      </x:c>
      <x:c r="N769" s="103" t="n">
        <x:f>MAX(0,MIN(K769-L769,M769))</x:f>
        <x:v>60.8349826258176</x:v>
      </x:c>
      <x:c r="O769" s="103" t="n">
        <x:f>MAX(0,N769-'Inputs &amp; Guide'!$B$7)</x:f>
        <x:v>0.8349826258176023</x:v>
      </x:c>
      <x:c r="P769" s="103" t="n">
        <x:f>N769-O769</x:f>
        <x:v>60</x:v>
      </x:c>
      <x:c r="Q769" s="103" t="n">
        <x:f>I769*'Inputs &amp; Guide'!$B$8</x:f>
        <x:v>2.1476467079631543</x:v>
      </x:c>
      <x:c r="R769" s="104" t="n">
        <x:f>IFERROR(P769/Q769,0)</x:f>
        <x:v>27.937555919942014</x:v>
      </x:c>
      <x:c r="S769" s="105" t="n">
        <x:f>ROUND(E769*XLOOKUP(C769,'Reference Tables'!$E$4:$E$12,'Reference Tables'!$G$4:$G$12,1),1)</x:f>
        <x:v>7.4</x:v>
      </x:c>
      <x:c r="T769" s="106" t="str">
        <x:f>IF(R769&gt;='Inputs &amp; Guide'!$B$9,"HIGH",IF(R769&gt;=0.45,"WATCH","NORMAL"))</x:f>
        <x:v>HIGH</x:v>
      </x:c>
    </x:row>
    <x:row r="770">
      <x:c r="A770" s="95" t="n">
        <x:v>6129</x:v>
      </x:c>
      <x:c r="B770" s="96" t="n">
        <x:v>45547.104166666664</x:v>
      </x:c>
      <x:c r="C770" s="97" t="str">
        <x:v>Flood</x:v>
      </x:c>
      <x:c r="D770" s="97" t="str">
        <x:v>USA</x:v>
      </x:c>
      <x:c r="E770" s="98" t="n">
        <x:v>8.417676712763239</x:v>
      </x:c>
      <x:c r="F770" s="99" t="n">
        <x:v>969.386114403743</x:v>
      </x:c>
      <x:c r="G770" s="100" t="str">
        <x:f>XLOOKUP(D770,'Reference Tables'!$A$4:$A$23,'Reference Tables'!$B$4:$B$23,"Other")</x:f>
        <x:v>Other</x:v>
      </x:c>
      <x:c r="H770" s="100" t="str">
        <x:f>VLOOKUP(G770,'Reference Tables'!$I$4:$J$9,2,FALSE)</x:f>
        <x:v>Moderate</x:v>
      </x:c>
      <x:c r="I770" s="101" t="n">
        <x:f>F770*'Inputs &amp; Guide'!$B$4*XLOOKUP(D770,'Reference Tables'!$A$4:$A$23,'Reference Tables'!$C$4:$C$23,0.75)</x:f>
        <x:v>116.32633372844917</x:v>
      </x:c>
      <x:c r="J770" s="102" t="n">
        <x:f>XLOOKUP(C770,'Reference Tables'!$E$4:$E$12,'Reference Tables'!$F$4:$F$12,0.05)</x:f>
        <x:v>0.12</x:v>
      </x:c>
      <x:c r="K770" s="103" t="n">
        <x:f>MIN(I770,F770*J770)</x:f>
        <x:v>116.32633372844916</x:v>
      </x:c>
      <x:c r="L770" s="103" t="n">
        <x:f>'Inputs &amp; Guide'!$B$5</x:f>
        <x:v>15</x:v>
      </x:c>
      <x:c r="M770" s="103" t="n">
        <x:f>I770*'Inputs &amp; Guide'!$B$6</x:f>
        <x:v>63.979483550647046</x:v>
      </x:c>
      <x:c r="N770" s="103" t="n">
        <x:f>MAX(0,MIN(K770-L770,M770))</x:f>
        <x:v>63.979483550647046</x:v>
      </x:c>
      <x:c r="O770" s="103" t="n">
        <x:f>MAX(0,N770-'Inputs &amp; Guide'!$B$7)</x:f>
        <x:v>3.9794835506470463</x:v>
      </x:c>
      <x:c r="P770" s="103" t="n">
        <x:f>N770-O770</x:f>
        <x:v>60</x:v>
      </x:c>
      <x:c r="Q770" s="103" t="n">
        <x:f>I770*'Inputs &amp; Guide'!$B$8</x:f>
        <x:v>2.0938740071120847</x:v>
      </x:c>
      <x:c r="R770" s="104" t="n">
        <x:f>IFERROR(P770/Q770,0)</x:f>
        <x:v>28.655019259135496</x:v>
      </x:c>
      <x:c r="S770" s="105" t="n">
        <x:f>ROUND(E770*XLOOKUP(C770,'Reference Tables'!$E$4:$E$12,'Reference Tables'!$G$4:$G$12,1),1)</x:f>
        <x:v>10.5</x:v>
      </x:c>
      <x:c r="T770" s="106" t="str">
        <x:f>IF(R770&gt;='Inputs &amp; Guide'!$B$9,"HIGH",IF(R770&gt;=0.45,"WATCH","NORMAL"))</x:f>
        <x:v>HIGH</x:v>
      </x:c>
    </x:row>
    <x:row r="771">
      <x:c r="A771" s="95" t="n">
        <x:v>6137</x:v>
      </x:c>
      <x:c r="B771" s="96" t="n">
        <x:v>45547.4375</x:v>
      </x:c>
      <x:c r="C771" s="97" t="str">
        <x:v>Hurricane</x:v>
      </x:c>
      <x:c r="D771" s="97" t="str">
        <x:v>USA</x:v>
      </x:c>
      <x:c r="E771" s="98" t="n">
        <x:v>3.262150730500008</x:v>
      </x:c>
      <x:c r="F771" s="99" t="n">
        <x:v>688.1111691346721</x:v>
      </x:c>
      <x:c r="G771" s="100" t="str">
        <x:f>XLOOKUP(D771,'Reference Tables'!$A$4:$A$23,'Reference Tables'!$B$4:$B$23,"Other")</x:f>
        <x:v>Other</x:v>
      </x:c>
      <x:c r="H771" s="100" t="str">
        <x:f>VLOOKUP(G771,'Reference Tables'!$I$4:$J$9,2,FALSE)</x:f>
        <x:v>Moderate</x:v>
      </x:c>
      <x:c r="I771" s="101" t="n">
        <x:f>F771*'Inputs &amp; Guide'!$B$4*XLOOKUP(D771,'Reference Tables'!$A$4:$A$23,'Reference Tables'!$C$4:$C$23,0.75)</x:f>
        <x:v>82.57334029616065</x:v>
      </x:c>
      <x:c r="J771" s="102" t="n">
        <x:f>XLOOKUP(C771,'Reference Tables'!$E$4:$E$12,'Reference Tables'!$F$4:$F$12,0.05)</x:f>
        <x:v>0.18</x:v>
      </x:c>
      <x:c r="K771" s="103" t="n">
        <x:f>MIN(I771,F771*J771)</x:f>
        <x:v>82.57334029616065</x:v>
      </x:c>
      <x:c r="L771" s="103" t="n">
        <x:f>'Inputs &amp; Guide'!$B$5</x:f>
        <x:v>15</x:v>
      </x:c>
      <x:c r="M771" s="103" t="n">
        <x:f>I771*'Inputs &amp; Guide'!$B$6</x:f>
        <x:v>45.41533716288836</x:v>
      </x:c>
      <x:c r="N771" s="103" t="n">
        <x:f>MAX(0,MIN(K771-L771,M771))</x:f>
        <x:v>45.41533716288836</x:v>
      </x:c>
      <x:c r="O771" s="103" t="n">
        <x:f>MAX(0,N771-'Inputs &amp; Guide'!$B$7)</x:f>
        <x:v>0</x:v>
      </x:c>
      <x:c r="P771" s="103" t="n">
        <x:f>N771-O771</x:f>
        <x:v>45.41533716288836</x:v>
      </x:c>
      <x:c r="Q771" s="103" t="n">
        <x:f>I771*'Inputs &amp; Guide'!$B$8</x:f>
        <x:v>1.4863201253308915</x:v>
      </x:c>
      <x:c r="R771" s="104" t="n">
        <x:f>IFERROR(P771/Q771,0)</x:f>
        <x:v>30.555555555555564</x:v>
      </x:c>
      <x:c r="S771" s="105" t="n">
        <x:f>ROUND(E771*XLOOKUP(C771,'Reference Tables'!$E$4:$E$12,'Reference Tables'!$G$4:$G$12,1),1)</x:f>
        <x:v>4.6</x:v>
      </x:c>
      <x:c r="T771" s="106" t="str">
        <x:f>IF(R771&gt;='Inputs &amp; Guide'!$B$9,"HIGH",IF(R771&gt;=0.45,"WATCH","NORMAL"))</x:f>
        <x:v>HIGH</x:v>
      </x:c>
    </x:row>
    <x:row r="772">
      <x:c r="A772" s="95" t="n">
        <x:v>6145</x:v>
      </x:c>
      <x:c r="B772" s="96" t="n">
        <x:v>45548</x:v>
      </x:c>
      <x:c r="C772" s="97" t="str">
        <x:v>Tornado</x:v>
      </x:c>
      <x:c r="D772" s="97" t="str">
        <x:v>India</x:v>
      </x:c>
      <x:c r="E772" s="98" t="n">
        <x:v>7.107990318166754</x:v>
      </x:c>
      <x:c r="F772" s="99" t="n">
        <x:v>911.6569286839406</x:v>
      </x:c>
      <x:c r="G772" s="100" t="str">
        <x:f>XLOOKUP(D772,'Reference Tables'!$A$4:$A$23,'Reference Tables'!$B$4:$B$23,"Other")</x:f>
        <x:v>Asia Pacific</x:v>
      </x:c>
      <x:c r="H772" s="100" t="str">
        <x:f>VLOOKUP(G772,'Reference Tables'!$I$4:$J$9,2,FALSE)</x:f>
        <x:v>High</x:v>
      </x:c>
      <x:c r="I772" s="101" t="n">
        <x:f>F772*'Inputs &amp; Guide'!$B$4*XLOOKUP(D772,'Reference Tables'!$A$4:$A$23,'Reference Tables'!$C$4:$C$23,0.75)</x:f>
        <x:v>132.73724881638176</x:v>
      </x:c>
      <x:c r="J772" s="102" t="n">
        <x:f>XLOOKUP(C772,'Reference Tables'!$E$4:$E$12,'Reference Tables'!$F$4:$F$12,0.05)</x:f>
        <x:v>0.09</x:v>
      </x:c>
      <x:c r="K772" s="103" t="n">
        <x:f>MIN(I772,F772*J772)</x:f>
        <x:v>82.04912358155465</x:v>
      </x:c>
      <x:c r="L772" s="103" t="n">
        <x:f>'Inputs &amp; Guide'!$B$5</x:f>
        <x:v>15</x:v>
      </x:c>
      <x:c r="M772" s="103" t="n">
        <x:f>I772*'Inputs &amp; Guide'!$B$6</x:f>
        <x:v>73.00548684900998</x:v>
      </x:c>
      <x:c r="N772" s="103" t="n">
        <x:f>MAX(0,MIN(K772-L772,M772))</x:f>
        <x:v>67.04912358155465</x:v>
      </x:c>
      <x:c r="O772" s="103" t="n">
        <x:f>MAX(0,N772-'Inputs &amp; Guide'!$B$7)</x:f>
        <x:v>7.049123581554653</x:v>
      </x:c>
      <x:c r="P772" s="103" t="n">
        <x:f>N772-O772</x:f>
        <x:v>60</x:v>
      </x:c>
      <x:c r="Q772" s="103" t="n">
        <x:f>I772*'Inputs &amp; Guide'!$B$8</x:f>
        <x:v>2.3892704786948715</x:v>
      </x:c>
      <x:c r="R772" s="104" t="n">
        <x:f>IFERROR(P772/Q772,0)</x:f>
        <x:v>25.112267754957042</x:v>
      </x:c>
      <x:c r="S772" s="105" t="n">
        <x:f>ROUND(E772*XLOOKUP(C772,'Reference Tables'!$E$4:$E$12,'Reference Tables'!$G$4:$G$12,1),1)</x:f>
        <x:v>7.5</x:v>
      </x:c>
      <x:c r="T772" s="106" t="str">
        <x:f>IF(R772&gt;='Inputs &amp; Guide'!$B$9,"HIGH",IF(R772&gt;=0.45,"WATCH","NORMAL"))</x:f>
        <x:v>HIGH</x:v>
      </x:c>
    </x:row>
    <x:row r="773">
      <x:c r="A773" s="95" t="n">
        <x:v>6153</x:v>
      </x:c>
      <x:c r="B773" s="96" t="n">
        <x:v>45548.104166666664</x:v>
      </x:c>
      <x:c r="C773" s="97" t="str">
        <x:v>Hurricane</x:v>
      </x:c>
      <x:c r="D773" s="97" t="str">
        <x:v>Indonesia</x:v>
      </x:c>
      <x:c r="E773" s="98" t="n">
        <x:v>8.000627511647922</x:v>
      </x:c>
      <x:c r="F773" s="99" t="n">
        <x:v>834.0249537050411</x:v>
      </x:c>
      <x:c r="G773" s="100" t="str">
        <x:f>XLOOKUP(D773,'Reference Tables'!$A$4:$A$23,'Reference Tables'!$B$4:$B$23,"Other")</x:f>
        <x:v>Asia Pacific</x:v>
      </x:c>
      <x:c r="H773" s="100" t="str">
        <x:f>VLOOKUP(G773,'Reference Tables'!$I$4:$J$9,2,FALSE)</x:f>
        <x:v>High</x:v>
      </x:c>
      <x:c r="I773" s="101" t="n">
        <x:f>F773*'Inputs &amp; Guide'!$B$4*XLOOKUP(D773,'Reference Tables'!$A$4:$A$23,'Reference Tables'!$C$4:$C$23,0.75)</x:f>
        <x:v>137.4473123705908</x:v>
      </x:c>
      <x:c r="J773" s="102" t="n">
        <x:f>XLOOKUP(C773,'Reference Tables'!$E$4:$E$12,'Reference Tables'!$F$4:$F$12,0.05)</x:f>
        <x:v>0.18</x:v>
      </x:c>
      <x:c r="K773" s="103" t="n">
        <x:f>MIN(I773,F773*J773)</x:f>
        <x:v>137.4473123705908</x:v>
      </x:c>
      <x:c r="L773" s="103" t="n">
        <x:f>'Inputs &amp; Guide'!$B$5</x:f>
        <x:v>15</x:v>
      </x:c>
      <x:c r="M773" s="103" t="n">
        <x:f>I773*'Inputs &amp; Guide'!$B$6</x:f>
        <x:v>75.59602180382494</x:v>
      </x:c>
      <x:c r="N773" s="103" t="n">
        <x:f>MAX(0,MIN(K773-L773,M773))</x:f>
        <x:v>75.59602180382494</x:v>
      </x:c>
      <x:c r="O773" s="103" t="n">
        <x:f>MAX(0,N773-'Inputs &amp; Guide'!$B$7)</x:f>
        <x:v>15.59602180382494</x:v>
      </x:c>
      <x:c r="P773" s="103" t="n">
        <x:f>N773-O773</x:f>
        <x:v>60</x:v>
      </x:c>
      <x:c r="Q773" s="103" t="n">
        <x:f>I773*'Inputs &amp; Guide'!$B$8</x:f>
        <x:v>2.474051622670634</x:v>
      </x:c>
      <x:c r="R773" s="104" t="n">
        <x:f>IFERROR(P773/Q773,0)</x:f>
        <x:v>24.251717082294565</x:v>
      </x:c>
      <x:c r="S773" s="105" t="n">
        <x:f>ROUND(E773*XLOOKUP(C773,'Reference Tables'!$E$4:$E$12,'Reference Tables'!$G$4:$G$12,1),1)</x:f>
        <x:v>11.2</x:v>
      </x:c>
      <x:c r="T773" s="106" t="str">
        <x:f>IF(R773&gt;='Inputs &amp; Guide'!$B$9,"HIGH",IF(R773&gt;=0.45,"WATCH","NORMAL"))</x:f>
        <x:v>HIGH</x:v>
      </x:c>
    </x:row>
    <x:row r="774">
      <x:c r="A774" s="95" t="n">
        <x:v>6161</x:v>
      </x:c>
      <x:c r="B774" s="96" t="n">
        <x:v>45548.4375</x:v>
      </x:c>
      <x:c r="C774" s="97" t="str">
        <x:v>Flood</x:v>
      </x:c>
      <x:c r="D774" s="97" t="str">
        <x:v>Brazil</x:v>
      </x:c>
      <x:c r="E774" s="98" t="n">
        <x:v>1.5325610736808608</x:v>
      </x:c>
      <x:c r="F774" s="99" t="n">
        <x:v>767.2921989759258</x:v>
      </x:c>
      <x:c r="G774" s="100" t="str">
        <x:f>XLOOKUP(D774,'Reference Tables'!$A$4:$A$23,'Reference Tables'!$B$4:$B$23,"Other")</x:f>
        <x:v>Latin America</x:v>
      </x:c>
      <x:c r="H774" s="100" t="str">
        <x:f>VLOOKUP(G774,'Reference Tables'!$I$4:$J$9,2,FALSE)</x:f>
        <x:v>Moderate</x:v>
      </x:c>
      <x:c r="I774" s="101" t="n">
        <x:f>F774*'Inputs &amp; Guide'!$B$4*XLOOKUP(D774,'Reference Tables'!$A$4:$A$23,'Reference Tables'!$C$4:$C$23,0.75)</x:f>
        <x:v>100.66873650564146</x:v>
      </x:c>
      <x:c r="J774" s="102" t="n">
        <x:f>XLOOKUP(C774,'Reference Tables'!$E$4:$E$12,'Reference Tables'!$F$4:$F$12,0.05)</x:f>
        <x:v>0.12</x:v>
      </x:c>
      <x:c r="K774" s="103" t="n">
        <x:f>MIN(I774,F774*J774)</x:f>
        <x:v>92.07506387711109</x:v>
      </x:c>
      <x:c r="L774" s="103" t="n">
        <x:f>'Inputs &amp; Guide'!$B$5</x:f>
        <x:v>15</x:v>
      </x:c>
      <x:c r="M774" s="103" t="n">
        <x:f>I774*'Inputs &amp; Guide'!$B$6</x:f>
        <x:v>55.36780507810281</x:v>
      </x:c>
      <x:c r="N774" s="103" t="n">
        <x:f>MAX(0,MIN(K774-L774,M774))</x:f>
        <x:v>55.36780507810281</x:v>
      </x:c>
      <x:c r="O774" s="103" t="n">
        <x:f>MAX(0,N774-'Inputs &amp; Guide'!$B$7)</x:f>
        <x:v>0</x:v>
      </x:c>
      <x:c r="P774" s="103" t="n">
        <x:f>N774-O774</x:f>
        <x:v>55.36780507810281</x:v>
      </x:c>
      <x:c r="Q774" s="103" t="n">
        <x:f>I774*'Inputs &amp; Guide'!$B$8</x:f>
        <x:v>1.8120372571015462</x:v>
      </x:c>
      <x:c r="R774" s="104" t="n">
        <x:f>IFERROR(P774/Q774,0)</x:f>
        <x:v>30.55555555555556</x:v>
      </x:c>
      <x:c r="S774" s="105" t="n">
        <x:f>ROUND(E774*XLOOKUP(C774,'Reference Tables'!$E$4:$E$12,'Reference Tables'!$G$4:$G$12,1),1)</x:f>
        <x:v>1.9</x:v>
      </x:c>
      <x:c r="T774" s="106" t="str">
        <x:f>IF(R774&gt;='Inputs &amp; Guide'!$B$9,"HIGH",IF(R774&gt;=0.45,"WATCH","NORMAL"))</x:f>
        <x:v>HIGH</x:v>
      </x:c>
    </x:row>
    <x:row r="775">
      <x:c r="A775" s="95" t="n">
        <x:v>6169</x:v>
      </x:c>
      <x:c r="B775" s="96" t="n">
        <x:v>45549</x:v>
      </x:c>
      <x:c r="C775" s="97" t="str">
        <x:v>Hurricane</x:v>
      </x:c>
      <x:c r="D775" s="97" t="str">
        <x:v>India</x:v>
      </x:c>
      <x:c r="E775" s="98" t="n">
        <x:v>9.740407851217164</x:v>
      </x:c>
      <x:c r="F775" s="99" t="n">
        <x:v>326.6591872419871</x:v>
      </x:c>
      <x:c r="G775" s="100" t="str">
        <x:f>XLOOKUP(D775,'Reference Tables'!$A$4:$A$23,'Reference Tables'!$B$4:$B$23,"Other")</x:f>
        <x:v>Asia Pacific</x:v>
      </x:c>
      <x:c r="H775" s="100" t="str">
        <x:f>VLOOKUP(G775,'Reference Tables'!$I$4:$J$9,2,FALSE)</x:f>
        <x:v>High</x:v>
      </x:c>
      <x:c r="I775" s="101" t="n">
        <x:f>F775*'Inputs &amp; Guide'!$B$4*XLOOKUP(D775,'Reference Tables'!$A$4:$A$23,'Reference Tables'!$C$4:$C$23,0.75)</x:f>
        <x:v>47.56157766243333</x:v>
      </x:c>
      <x:c r="J775" s="102" t="n">
        <x:f>XLOOKUP(C775,'Reference Tables'!$E$4:$E$12,'Reference Tables'!$F$4:$F$12,0.05)</x:f>
        <x:v>0.18</x:v>
      </x:c>
      <x:c r="K775" s="103" t="n">
        <x:f>MIN(I775,F775*J775)</x:f>
        <x:v>47.56157766243333</x:v>
      </x:c>
      <x:c r="L775" s="103" t="n">
        <x:f>'Inputs &amp; Guide'!$B$5</x:f>
        <x:v>15</x:v>
      </x:c>
      <x:c r="M775" s="103" t="n">
        <x:f>I775*'Inputs &amp; Guide'!$B$6</x:f>
        <x:v>26.15886771433833</x:v>
      </x:c>
      <x:c r="N775" s="103" t="n">
        <x:f>MAX(0,MIN(K775-L775,M775))</x:f>
        <x:v>26.15886771433833</x:v>
      </x:c>
      <x:c r="O775" s="103" t="n">
        <x:f>MAX(0,N775-'Inputs &amp; Guide'!$B$7)</x:f>
        <x:v>0</x:v>
      </x:c>
      <x:c r="P775" s="103" t="n">
        <x:f>N775-O775</x:f>
        <x:v>26.15886771433833</x:v>
      </x:c>
      <x:c r="Q775" s="103" t="n">
        <x:f>I775*'Inputs &amp; Guide'!$B$8</x:f>
        <x:v>0.8561083979237999</x:v>
      </x:c>
      <x:c r="R775" s="104" t="n">
        <x:f>IFERROR(P775/Q775,0)</x:f>
        <x:v>30.555555555555557</x:v>
      </x:c>
      <x:c r="S775" s="105" t="n">
        <x:f>ROUND(E775*XLOOKUP(C775,'Reference Tables'!$E$4:$E$12,'Reference Tables'!$G$4:$G$12,1),1)</x:f>
        <x:v>13.6</x:v>
      </x:c>
      <x:c r="T775" s="106" t="str">
        <x:f>IF(R775&gt;='Inputs &amp; Guide'!$B$9,"HIGH",IF(R775&gt;=0.45,"WATCH","NORMAL"))</x:f>
        <x:v>HIGH</x:v>
      </x:c>
    </x:row>
    <x:row r="776">
      <x:c r="A776" s="95" t="n">
        <x:v>6177</x:v>
      </x:c>
      <x:c r="B776" s="96" t="n">
        <x:v>45549.104166666664</x:v>
      </x:c>
      <x:c r="C776" s="97" t="str">
        <x:v>Hurricane</x:v>
      </x:c>
      <x:c r="D776" s="97" t="str">
        <x:v>Japan</x:v>
      </x:c>
      <x:c r="E776" s="98" t="n">
        <x:v>1.7463251874493873</x:v>
      </x:c>
      <x:c r="F776" s="99" t="n">
        <x:v>597.0842239604724</x:v>
      </x:c>
      <x:c r="G776" s="100" t="str">
        <x:f>XLOOKUP(D776,'Reference Tables'!$A$4:$A$23,'Reference Tables'!$B$4:$B$23,"Other")</x:f>
        <x:v>Asia Pacific</x:v>
      </x:c>
      <x:c r="H776" s="100" t="str">
        <x:f>VLOOKUP(G776,'Reference Tables'!$I$4:$J$9,2,FALSE)</x:f>
        <x:v>High</x:v>
      </x:c>
      <x:c r="I776" s="101" t="n">
        <x:f>F776*'Inputs &amp; Guide'!$B$4*XLOOKUP(D776,'Reference Tables'!$A$4:$A$23,'Reference Tables'!$C$4:$C$23,0.75)</x:f>
        <x:v>112.72950148373718</x:v>
      </x:c>
      <x:c r="J776" s="102" t="n">
        <x:f>XLOOKUP(C776,'Reference Tables'!$E$4:$E$12,'Reference Tables'!$F$4:$F$12,0.05)</x:f>
        <x:v>0.18</x:v>
      </x:c>
      <x:c r="K776" s="103" t="n">
        <x:f>MIN(I776,F776*J776)</x:f>
        <x:v>107.47516031288502</x:v>
      </x:c>
      <x:c r="L776" s="103" t="n">
        <x:f>'Inputs &amp; Guide'!$B$5</x:f>
        <x:v>15</x:v>
      </x:c>
      <x:c r="M776" s="103" t="n">
        <x:f>I776*'Inputs &amp; Guide'!$B$6</x:f>
        <x:v>62.00122581605545</x:v>
      </x:c>
      <x:c r="N776" s="103" t="n">
        <x:f>MAX(0,MIN(K776-L776,M776))</x:f>
        <x:v>62.00122581605545</x:v>
      </x:c>
      <x:c r="O776" s="103" t="n">
        <x:f>MAX(0,N776-'Inputs &amp; Guide'!$B$7)</x:f>
        <x:v>2.0012258160554524</x:v>
      </x:c>
      <x:c r="P776" s="103" t="n">
        <x:f>N776-O776</x:f>
        <x:v>60</x:v>
      </x:c>
      <x:c r="Q776" s="103" t="n">
        <x:f>I776*'Inputs &amp; Guide'!$B$8</x:f>
        <x:v>2.0291310267072693</x:v>
      </x:c>
      <x:c r="R776" s="104" t="n">
        <x:f>IFERROR(P776/Q776,0)</x:f>
        <x:v>29.569307851629357</x:v>
      </x:c>
      <x:c r="S776" s="105" t="n">
        <x:f>ROUND(E776*XLOOKUP(C776,'Reference Tables'!$E$4:$E$12,'Reference Tables'!$G$4:$G$12,1),1)</x:f>
        <x:v>2.4</x:v>
      </x:c>
      <x:c r="T776" s="106" t="str">
        <x:f>IF(R776&gt;='Inputs &amp; Guide'!$B$9,"HIGH",IF(R776&gt;=0.45,"WATCH","NORMAL"))</x:f>
        <x:v>HIGH</x:v>
      </x:c>
    </x:row>
    <x:row r="777">
      <x:c r="A777" s="95" t="n">
        <x:v>6185</x:v>
      </x:c>
      <x:c r="B777" s="96" t="n">
        <x:v>45549.4375</x:v>
      </x:c>
      <x:c r="C777" s="97" t="str">
        <x:v>Flood</x:v>
      </x:c>
      <x:c r="D777" s="97" t="str">
        <x:v>Brazil</x:v>
      </x:c>
      <x:c r="E777" s="98" t="n">
        <x:v>4.29604529800287</x:v>
      </x:c>
      <x:c r="F777" s="99" t="n">
        <x:v>449.479005022371</x:v>
      </x:c>
      <x:c r="G777" s="100" t="str">
        <x:f>XLOOKUP(D777,'Reference Tables'!$A$4:$A$23,'Reference Tables'!$B$4:$B$23,"Other")</x:f>
        <x:v>Latin America</x:v>
      </x:c>
      <x:c r="H777" s="100" t="str">
        <x:f>VLOOKUP(G777,'Reference Tables'!$I$4:$J$9,2,FALSE)</x:f>
        <x:v>Moderate</x:v>
      </x:c>
      <x:c r="I777" s="101" t="n">
        <x:f>F777*'Inputs &amp; Guide'!$B$4*XLOOKUP(D777,'Reference Tables'!$A$4:$A$23,'Reference Tables'!$C$4:$C$23,0.75)</x:f>
        <x:v>58.971645458935065</x:v>
      </x:c>
      <x:c r="J777" s="102" t="n">
        <x:f>XLOOKUP(C777,'Reference Tables'!$E$4:$E$12,'Reference Tables'!$F$4:$F$12,0.05)</x:f>
        <x:v>0.12</x:v>
      </x:c>
      <x:c r="K777" s="103" t="n">
        <x:f>MIN(I777,F777*J777)</x:f>
        <x:v>53.937480602684516</x:v>
      </x:c>
      <x:c r="L777" s="103" t="n">
        <x:f>'Inputs &amp; Guide'!$B$5</x:f>
        <x:v>15</x:v>
      </x:c>
      <x:c r="M777" s="103" t="n">
        <x:f>I777*'Inputs &amp; Guide'!$B$6</x:f>
        <x:v>32.43440500241429</x:v>
      </x:c>
      <x:c r="N777" s="103" t="n">
        <x:f>MAX(0,MIN(K777-L777,M777))</x:f>
        <x:v>32.43440500241429</x:v>
      </x:c>
      <x:c r="O777" s="103" t="n">
        <x:f>MAX(0,N777-'Inputs &amp; Guide'!$B$7)</x:f>
        <x:v>0</x:v>
      </x:c>
      <x:c r="P777" s="103" t="n">
        <x:f>N777-O777</x:f>
        <x:v>32.43440500241429</x:v>
      </x:c>
      <x:c r="Q777" s="103" t="n">
        <x:f>I777*'Inputs &amp; Guide'!$B$8</x:f>
        <x:v>1.061489618260831</x:v>
      </x:c>
      <x:c r="R777" s="104" t="n">
        <x:f>IFERROR(P777/Q777,0)</x:f>
        <x:v>30.55555555555556</x:v>
      </x:c>
      <x:c r="S777" s="105" t="n">
        <x:f>ROUND(E777*XLOOKUP(C777,'Reference Tables'!$E$4:$E$12,'Reference Tables'!$G$4:$G$12,1),1)</x:f>
        <x:v>5.4</x:v>
      </x:c>
      <x:c r="T777" s="106" t="str">
        <x:f>IF(R777&gt;='Inputs &amp; Guide'!$B$9,"HIGH",IF(R777&gt;=0.45,"WATCH","NORMAL"))</x:f>
        <x:v>HIGH</x:v>
      </x:c>
    </x:row>
    <x:row r="778">
      <x:c r="A778" s="95" t="n">
        <x:v>6193</x:v>
      </x:c>
      <x:c r="B778" s="96" t="n">
        <x:v>45550</x:v>
      </x:c>
      <x:c r="C778" s="97" t="str">
        <x:v>Wildfire</x:v>
      </x:c>
      <x:c r="D778" s="97" t="str">
        <x:v>India</x:v>
      </x:c>
      <x:c r="E778" s="98" t="n">
        <x:v>3.420469907987078</x:v>
      </x:c>
      <x:c r="F778" s="99" t="n">
        <x:v>408.3240996565368</x:v>
      </x:c>
      <x:c r="G778" s="100" t="str">
        <x:f>XLOOKUP(D778,'Reference Tables'!$A$4:$A$23,'Reference Tables'!$B$4:$B$23,"Other")</x:f>
        <x:v>Asia Pacific</x:v>
      </x:c>
      <x:c r="H778" s="100" t="str">
        <x:f>VLOOKUP(G778,'Reference Tables'!$I$4:$J$9,2,FALSE)</x:f>
        <x:v>High</x:v>
      </x:c>
      <x:c r="I778" s="101" t="n">
        <x:f>F778*'Inputs &amp; Guide'!$B$4*XLOOKUP(D778,'Reference Tables'!$A$4:$A$23,'Reference Tables'!$C$4:$C$23,0.75)</x:f>
        <x:v>59.45198890999176</x:v>
      </x:c>
      <x:c r="J778" s="102" t="n">
        <x:f>XLOOKUP(C778,'Reference Tables'!$E$4:$E$12,'Reference Tables'!$F$4:$F$12,0.05)</x:f>
        <x:v>0.1</x:v>
      </x:c>
      <x:c r="K778" s="103" t="n">
        <x:f>MIN(I778,F778*J778)</x:f>
        <x:v>40.83240996565368</x:v>
      </x:c>
      <x:c r="L778" s="103" t="n">
        <x:f>'Inputs &amp; Guide'!$B$5</x:f>
        <x:v>15</x:v>
      </x:c>
      <x:c r="M778" s="103" t="n">
        <x:f>I778*'Inputs &amp; Guide'!$B$6</x:f>
        <x:v>32.698593900495474</x:v>
      </x:c>
      <x:c r="N778" s="103" t="n">
        <x:f>MAX(0,MIN(K778-L778,M778))</x:f>
        <x:v>25.83240996565368</x:v>
      </x:c>
      <x:c r="O778" s="103" t="n">
        <x:f>MAX(0,N778-'Inputs &amp; Guide'!$B$7)</x:f>
        <x:v>0</x:v>
      </x:c>
      <x:c r="P778" s="103" t="n">
        <x:f>N778-O778</x:f>
        <x:v>25.83240996565368</x:v>
      </x:c>
      <x:c r="Q778" s="103" t="n">
        <x:f>I778*'Inputs &amp; Guide'!$B$8</x:f>
        <x:v>1.0701358003798516</x:v>
      </x:c>
      <x:c r="R778" s="104" t="n">
        <x:f>IFERROR(P778/Q778,0)</x:f>
        <x:v>24.13937554138858</x:v>
      </x:c>
      <x:c r="S778" s="105" t="n">
        <x:f>ROUND(E778*XLOOKUP(C778,'Reference Tables'!$E$4:$E$12,'Reference Tables'!$G$4:$G$12,1),1)</x:f>
        <x:v>3.9</x:v>
      </x:c>
      <x:c r="T778" s="106" t="str">
        <x:f>IF(R778&gt;='Inputs &amp; Guide'!$B$9,"HIGH",IF(R778&gt;=0.45,"WATCH","NORMAL"))</x:f>
        <x:v>HIGH</x:v>
      </x:c>
    </x:row>
    <x:row r="779">
      <x:c r="A779" s="95" t="n">
        <x:v>6201</x:v>
      </x:c>
      <x:c r="B779" s="96" t="n">
        <x:v>45550.104166666664</x:v>
      </x:c>
      <x:c r="C779" s="97" t="str">
        <x:v>Tornado</x:v>
      </x:c>
      <x:c r="D779" s="97" t="str">
        <x:v>China</x:v>
      </x:c>
      <x:c r="E779" s="98" t="n">
        <x:v>3.722020995627918</x:v>
      </x:c>
      <x:c r="F779" s="99" t="n">
        <x:v>869.2147896963226</x:v>
      </x:c>
      <x:c r="G779" s="100" t="str">
        <x:f>XLOOKUP(D779,'Reference Tables'!$A$4:$A$23,'Reference Tables'!$B$4:$B$23,"Other")</x:f>
        <x:v>Asia Pacific</x:v>
      </x:c>
      <x:c r="H779" s="100" t="str">
        <x:f>VLOOKUP(G779,'Reference Tables'!$I$4:$J$9,2,FALSE)</x:f>
        <x:v>High</x:v>
      </x:c>
      <x:c r="I779" s="101" t="n">
        <x:f>F779*'Inputs &amp; Guide'!$B$4*XLOOKUP(D779,'Reference Tables'!$A$4:$A$23,'Reference Tables'!$C$4:$C$23,0.75)</x:f>
        <x:v>150.20031565952456</x:v>
      </x:c>
      <x:c r="J779" s="102" t="n">
        <x:f>XLOOKUP(C779,'Reference Tables'!$E$4:$E$12,'Reference Tables'!$F$4:$F$12,0.05)</x:f>
        <x:v>0.09</x:v>
      </x:c>
      <x:c r="K779" s="103" t="n">
        <x:f>MIN(I779,F779*J779)</x:f>
        <x:v>78.22933107266903</x:v>
      </x:c>
      <x:c r="L779" s="103" t="n">
        <x:f>'Inputs &amp; Guide'!$B$5</x:f>
        <x:v>15</x:v>
      </x:c>
      <x:c r="M779" s="103" t="n">
        <x:f>I779*'Inputs &amp; Guide'!$B$6</x:f>
        <x:v>82.61017361273852</x:v>
      </x:c>
      <x:c r="N779" s="103" t="n">
        <x:f>MAX(0,MIN(K779-L779,M779))</x:f>
        <x:v>63.22933107266903</x:v>
      </x:c>
      <x:c r="O779" s="103" t="n">
        <x:f>MAX(0,N779-'Inputs &amp; Guide'!$B$7)</x:f>
        <x:v>3.2293310726690265</x:v>
      </x:c>
      <x:c r="P779" s="103" t="n">
        <x:f>N779-O779</x:f>
        <x:v>60</x:v>
      </x:c>
      <x:c r="Q779" s="103" t="n">
        <x:f>I779*'Inputs &amp; Guide'!$B$8</x:f>
        <x:v>2.703605681871442</x:v>
      </x:c>
      <x:c r="R779" s="104" t="n">
        <x:f>IFERROR(P779/Q779,0)</x:f>
        <x:v>22.192585406340715</x:v>
      </x:c>
      <x:c r="S779" s="105" t="n">
        <x:f>ROUND(E779*XLOOKUP(C779,'Reference Tables'!$E$4:$E$12,'Reference Tables'!$G$4:$G$12,1),1)</x:f>
        <x:v>3.9</x:v>
      </x:c>
      <x:c r="T779" s="106" t="str">
        <x:f>IF(R779&gt;='Inputs &amp; Guide'!$B$9,"HIGH",IF(R779&gt;=0.45,"WATCH","NORMAL"))</x:f>
        <x:v>HIGH</x:v>
      </x:c>
    </x:row>
    <x:row r="780">
      <x:c r="A780" s="95" t="n">
        <x:v>6209</x:v>
      </x:c>
      <x:c r="B780" s="96" t="n">
        <x:v>45550.4375</x:v>
      </x:c>
      <x:c r="C780" s="97" t="str">
        <x:v>Flood</x:v>
      </x:c>
      <x:c r="D780" s="97" t="str">
        <x:v>India</x:v>
      </x:c>
      <x:c r="E780" s="98" t="n">
        <x:v>8.641830228101224</x:v>
      </x:c>
      <x:c r="F780" s="99" t="n">
        <x:v>339.1493794021669</x:v>
      </x:c>
      <x:c r="G780" s="100" t="str">
        <x:f>XLOOKUP(D780,'Reference Tables'!$A$4:$A$23,'Reference Tables'!$B$4:$B$23,"Other")</x:f>
        <x:v>Asia Pacific</x:v>
      </x:c>
      <x:c r="H780" s="100" t="str">
        <x:f>VLOOKUP(G780,'Reference Tables'!$I$4:$J$9,2,FALSE)</x:f>
        <x:v>High</x:v>
      </x:c>
      <x:c r="I780" s="101" t="n">
        <x:f>F780*'Inputs &amp; Guide'!$B$4*XLOOKUP(D780,'Reference Tables'!$A$4:$A$23,'Reference Tables'!$C$4:$C$23,0.75)</x:f>
        <x:v>49.38014964095551</x:v>
      </x:c>
      <x:c r="J780" s="102" t="n">
        <x:f>XLOOKUP(C780,'Reference Tables'!$E$4:$E$12,'Reference Tables'!$F$4:$F$12,0.05)</x:f>
        <x:v>0.12</x:v>
      </x:c>
      <x:c r="K780" s="103" t="n">
        <x:f>MIN(I780,F780*J780)</x:f>
        <x:v>40.69792552826003</x:v>
      </x:c>
      <x:c r="L780" s="103" t="n">
        <x:f>'Inputs &amp; Guide'!$B$5</x:f>
        <x:v>15</x:v>
      </x:c>
      <x:c r="M780" s="103" t="n">
        <x:f>I780*'Inputs &amp; Guide'!$B$6</x:f>
        <x:v>27.159082302525533</x:v>
      </x:c>
      <x:c r="N780" s="103" t="n">
        <x:f>MAX(0,MIN(K780-L780,M780))</x:f>
        <x:v>25.69792552826003</x:v>
      </x:c>
      <x:c r="O780" s="103" t="n">
        <x:f>MAX(0,N780-'Inputs &amp; Guide'!$B$7)</x:f>
        <x:v>0</x:v>
      </x:c>
      <x:c r="P780" s="103" t="n">
        <x:f>N780-O780</x:f>
        <x:v>25.69792552826003</x:v>
      </x:c>
      <x:c r="Q780" s="103" t="n">
        <x:f>I780*'Inputs &amp; Guide'!$B$8</x:f>
        <x:v>0.8888426935371991</x:v>
      </x:c>
      <x:c r="R780" s="104" t="n">
        <x:f>IFERROR(P780/Q780,0)</x:f>
        <x:v>28.911668752086715</x:v>
      </x:c>
      <x:c r="S780" s="105" t="n">
        <x:f>ROUND(E780*XLOOKUP(C780,'Reference Tables'!$E$4:$E$12,'Reference Tables'!$G$4:$G$12,1),1)</x:f>
        <x:v>10.8</x:v>
      </x:c>
      <x:c r="T780" s="106" t="str">
        <x:f>IF(R780&gt;='Inputs &amp; Guide'!$B$9,"HIGH",IF(R780&gt;=0.45,"WATCH","NORMAL"))</x:f>
        <x:v>HIGH</x:v>
      </x:c>
    </x:row>
    <x:row r="781">
      <x:c r="A781" s="95" t="n">
        <x:v>6217</x:v>
      </x:c>
      <x:c r="B781" s="96" t="n">
        <x:v>45551</x:v>
      </x:c>
      <x:c r="C781" s="97" t="str">
        <x:v>Tornado</x:v>
      </x:c>
      <x:c r="D781" s="97" t="str">
        <x:v>Japan</x:v>
      </x:c>
      <x:c r="E781" s="98" t="n">
        <x:v>8.743481620415396</x:v>
      </x:c>
      <x:c r="F781" s="99" t="n">
        <x:v>85.75176906734174</x:v>
      </x:c>
      <x:c r="G781" s="100" t="str">
        <x:f>XLOOKUP(D781,'Reference Tables'!$A$4:$A$23,'Reference Tables'!$B$4:$B$23,"Other")</x:f>
        <x:v>Asia Pacific</x:v>
      </x:c>
      <x:c r="H781" s="100" t="str">
        <x:f>VLOOKUP(G781,'Reference Tables'!$I$4:$J$9,2,FALSE)</x:f>
        <x:v>High</x:v>
      </x:c>
      <x:c r="I781" s="101" t="n">
        <x:f>F781*'Inputs &amp; Guide'!$B$4*XLOOKUP(D781,'Reference Tables'!$A$4:$A$23,'Reference Tables'!$C$4:$C$23,0.75)</x:f>
        <x:v>16.18993399991412</x:v>
      </x:c>
      <x:c r="J781" s="102" t="n">
        <x:f>XLOOKUP(C781,'Reference Tables'!$E$4:$E$12,'Reference Tables'!$F$4:$F$12,0.05)</x:f>
        <x:v>0.09</x:v>
      </x:c>
      <x:c r="K781" s="103" t="n">
        <x:f>MIN(I781,F781*J781)</x:f>
        <x:v>7.717659216060756</x:v>
      </x:c>
      <x:c r="L781" s="103" t="n">
        <x:f>'Inputs &amp; Guide'!$B$5</x:f>
        <x:v>15</x:v>
      </x:c>
      <x:c r="M781" s="103" t="n">
        <x:f>I781*'Inputs &amp; Guide'!$B$6</x:f>
        <x:v>8.904463699952768</x:v>
      </x:c>
      <x:c r="N781" s="103" t="n">
        <x:f>MAX(0,MIN(K781-L781,M781))</x:f>
        <x:v>0</x:v>
      </x:c>
      <x:c r="O781" s="103" t="n">
        <x:f>MAX(0,N781-'Inputs &amp; Guide'!$B$7)</x:f>
        <x:v>0</x:v>
      </x:c>
      <x:c r="P781" s="103" t="n">
        <x:f>N781-O781</x:f>
        <x:v>0</x:v>
      </x:c>
      <x:c r="Q781" s="103" t="n">
        <x:f>I781*'Inputs &amp; Guide'!$B$8</x:f>
        <x:v>0.29141881199845415</x:v>
      </x:c>
      <x:c r="R781" s="104" t="n">
        <x:f>IFERROR(P781/Q781,0)</x:f>
        <x:v>0</x:v>
      </x:c>
      <x:c r="S781" s="105" t="n">
        <x:f>ROUND(E781*XLOOKUP(C781,'Reference Tables'!$E$4:$E$12,'Reference Tables'!$G$4:$G$12,1),1)</x:f>
        <x:v>9.2</x:v>
      </x:c>
      <x:c r="T781" s="106" t="str">
        <x:f>IF(R781&gt;='Inputs &amp; Guide'!$B$9,"HIGH",IF(R781&gt;=0.45,"WATCH","NORMAL"))</x:f>
        <x:v>NORMAL</x:v>
      </x:c>
    </x:row>
    <x:row r="782">
      <x:c r="A782" s="95" t="n">
        <x:v>6225</x:v>
      </x:c>
      <x:c r="B782" s="96" t="n">
        <x:v>45551.104166666664</x:v>
      </x:c>
      <x:c r="C782" s="97" t="str">
        <x:v>Flood</x:v>
      </x:c>
      <x:c r="D782" s="97" t="str">
        <x:v>Indonesia</x:v>
      </x:c>
      <x:c r="E782" s="98" t="n">
        <x:v>1.599413999442782</x:v>
      </x:c>
      <x:c r="F782" s="99" t="n">
        <x:v>507.067393514352</x:v>
      </x:c>
      <x:c r="G782" s="100" t="str">
        <x:f>XLOOKUP(D782,'Reference Tables'!$A$4:$A$23,'Reference Tables'!$B$4:$B$23,"Other")</x:f>
        <x:v>Asia Pacific</x:v>
      </x:c>
      <x:c r="H782" s="100" t="str">
        <x:f>VLOOKUP(G782,'Reference Tables'!$I$4:$J$9,2,FALSE)</x:f>
        <x:v>High</x:v>
      </x:c>
      <x:c r="I782" s="101" t="n">
        <x:f>F782*'Inputs &amp; Guide'!$B$4*XLOOKUP(D782,'Reference Tables'!$A$4:$A$23,'Reference Tables'!$C$4:$C$23,0.75)</x:f>
        <x:v>83.56470645116521</x:v>
      </x:c>
      <x:c r="J782" s="102" t="n">
        <x:f>XLOOKUP(C782,'Reference Tables'!$E$4:$E$12,'Reference Tables'!$F$4:$F$12,0.05)</x:f>
        <x:v>0.12</x:v>
      </x:c>
      <x:c r="K782" s="103" t="n">
        <x:f>MIN(I782,F782*J782)</x:f>
        <x:v>60.84808722172224</x:v>
      </x:c>
      <x:c r="L782" s="103" t="n">
        <x:f>'Inputs &amp; Guide'!$B$5</x:f>
        <x:v>15</x:v>
      </x:c>
      <x:c r="M782" s="103" t="n">
        <x:f>I782*'Inputs &amp; Guide'!$B$6</x:f>
        <x:v>45.96058854814087</x:v>
      </x:c>
      <x:c r="N782" s="103" t="n">
        <x:f>MAX(0,MIN(K782-L782,M782))</x:f>
        <x:v>45.84808722172224</x:v>
      </x:c>
      <x:c r="O782" s="103" t="n">
        <x:f>MAX(0,N782-'Inputs &amp; Guide'!$B$7)</x:f>
        <x:v>0</x:v>
      </x:c>
      <x:c r="P782" s="103" t="n">
        <x:f>N782-O782</x:f>
        <x:v>45.84808722172224</x:v>
      </x:c>
      <x:c r="Q782" s="103" t="n">
        <x:f>I782*'Inputs &amp; Guide'!$B$8</x:f>
        <x:v>1.5041647161209737</x:v>
      </x:c>
      <x:c r="R782" s="104" t="n">
        <x:f>IFERROR(P782/Q782,0)</x:f>
        <x:v>30.4807623329697</x:v>
      </x:c>
      <x:c r="S782" s="105" t="n">
        <x:f>ROUND(E782*XLOOKUP(C782,'Reference Tables'!$E$4:$E$12,'Reference Tables'!$G$4:$G$12,1),1)</x:f>
        <x:v>2</x:v>
      </x:c>
      <x:c r="T782" s="106" t="str">
        <x:f>IF(R782&gt;='Inputs &amp; Guide'!$B$9,"HIGH",IF(R782&gt;=0.45,"WATCH","NORMAL"))</x:f>
        <x:v>HIGH</x:v>
      </x:c>
    </x:row>
    <x:row r="783">
      <x:c r="A783" s="95" t="n">
        <x:v>6233</x:v>
      </x:c>
      <x:c r="B783" s="96" t="n">
        <x:v>45551.4375</x:v>
      </x:c>
      <x:c r="C783" s="97" t="str">
        <x:v>Flood</x:v>
      </x:c>
      <x:c r="D783" s="97" t="str">
        <x:v>USA</x:v>
      </x:c>
      <x:c r="E783" s="98" t="n">
        <x:v>7.199131600379007</x:v>
      </x:c>
      <x:c r="F783" s="99" t="n">
        <x:v>490.0092394471352</x:v>
      </x:c>
      <x:c r="G783" s="100" t="str">
        <x:f>XLOOKUP(D783,'Reference Tables'!$A$4:$A$23,'Reference Tables'!$B$4:$B$23,"Other")</x:f>
        <x:v>Other</x:v>
      </x:c>
      <x:c r="H783" s="100" t="str">
        <x:f>VLOOKUP(G783,'Reference Tables'!$I$4:$J$9,2,FALSE)</x:f>
        <x:v>Moderate</x:v>
      </x:c>
      <x:c r="I783" s="101" t="n">
        <x:f>F783*'Inputs &amp; Guide'!$B$4*XLOOKUP(D783,'Reference Tables'!$A$4:$A$23,'Reference Tables'!$C$4:$C$23,0.75)</x:f>
        <x:v>58.80110873365623</x:v>
      </x:c>
      <x:c r="J783" s="102" t="n">
        <x:f>XLOOKUP(C783,'Reference Tables'!$E$4:$E$12,'Reference Tables'!$F$4:$F$12,0.05)</x:f>
        <x:v>0.12</x:v>
      </x:c>
      <x:c r="K783" s="103" t="n">
        <x:f>MIN(I783,F783*J783)</x:f>
        <x:v>58.80110873365622</x:v>
      </x:c>
      <x:c r="L783" s="103" t="n">
        <x:f>'Inputs &amp; Guide'!$B$5</x:f>
        <x:v>15</x:v>
      </x:c>
      <x:c r="M783" s="103" t="n">
        <x:f>I783*'Inputs &amp; Guide'!$B$6</x:f>
        <x:v>32.34060980351093</x:v>
      </x:c>
      <x:c r="N783" s="103" t="n">
        <x:f>MAX(0,MIN(K783-L783,M783))</x:f>
        <x:v>32.34060980351093</x:v>
      </x:c>
      <x:c r="O783" s="103" t="n">
        <x:f>MAX(0,N783-'Inputs &amp; Guide'!$B$7)</x:f>
        <x:v>0</x:v>
      </x:c>
      <x:c r="P783" s="103" t="n">
        <x:f>N783-O783</x:f>
        <x:v>32.34060980351093</x:v>
      </x:c>
      <x:c r="Q783" s="103" t="n">
        <x:f>I783*'Inputs &amp; Guide'!$B$8</x:f>
        <x:v>1.058419957205812</x:v>
      </x:c>
      <x:c r="R783" s="104" t="n">
        <x:f>IFERROR(P783/Q783,0)</x:f>
        <x:v>30.555555555555564</x:v>
      </x:c>
      <x:c r="S783" s="105" t="n">
        <x:f>ROUND(E783*XLOOKUP(C783,'Reference Tables'!$E$4:$E$12,'Reference Tables'!$G$4:$G$12,1),1)</x:f>
        <x:v>9</x:v>
      </x:c>
      <x:c r="T783" s="106" t="str">
        <x:f>IF(R783&gt;='Inputs &amp; Guide'!$B$9,"HIGH",IF(R783&gt;=0.45,"WATCH","NORMAL"))</x:f>
        <x:v>HIGH</x:v>
      </x:c>
    </x:row>
    <x:row r="784">
      <x:c r="A784" s="95" t="n">
        <x:v>6241</x:v>
      </x:c>
      <x:c r="B784" s="96" t="n">
        <x:v>45552</x:v>
      </x:c>
      <x:c r="C784" s="97" t="str">
        <x:v>Tornado</x:v>
      </x:c>
      <x:c r="D784" s="97" t="str">
        <x:v>USA</x:v>
      </x:c>
      <x:c r="E784" s="98" t="n">
        <x:v>7.699025169908269</x:v>
      </x:c>
      <x:c r="F784" s="99" t="n">
        <x:v>928.1324860573724</x:v>
      </x:c>
      <x:c r="G784" s="100" t="str">
        <x:f>XLOOKUP(D784,'Reference Tables'!$A$4:$A$23,'Reference Tables'!$B$4:$B$23,"Other")</x:f>
        <x:v>Other</x:v>
      </x:c>
      <x:c r="H784" s="100" t="str">
        <x:f>VLOOKUP(G784,'Reference Tables'!$I$4:$J$9,2,FALSE)</x:f>
        <x:v>Moderate</x:v>
      </x:c>
      <x:c r="I784" s="101" t="n">
        <x:f>F784*'Inputs &amp; Guide'!$B$4*XLOOKUP(D784,'Reference Tables'!$A$4:$A$23,'Reference Tables'!$C$4:$C$23,0.75)</x:f>
        <x:v>111.37589832688468</x:v>
      </x:c>
      <x:c r="J784" s="102" t="n">
        <x:f>XLOOKUP(C784,'Reference Tables'!$E$4:$E$12,'Reference Tables'!$F$4:$F$12,0.05)</x:f>
        <x:v>0.09</x:v>
      </x:c>
      <x:c r="K784" s="103" t="n">
        <x:f>MIN(I784,F784*J784)</x:f>
        <x:v>83.53192374516351</x:v>
      </x:c>
      <x:c r="L784" s="103" t="n">
        <x:f>'Inputs &amp; Guide'!$B$5</x:f>
        <x:v>15</x:v>
      </x:c>
      <x:c r="M784" s="103" t="n">
        <x:f>I784*'Inputs &amp; Guide'!$B$6</x:f>
        <x:v>61.25674407978658</x:v>
      </x:c>
      <x:c r="N784" s="103" t="n">
        <x:f>MAX(0,MIN(K784-L784,M784))</x:f>
        <x:v>61.25674407978658</x:v>
      </x:c>
      <x:c r="O784" s="103" t="n">
        <x:f>MAX(0,N784-'Inputs &amp; Guide'!$B$7)</x:f>
        <x:v>1.2567440797865785</x:v>
      </x:c>
      <x:c r="P784" s="103" t="n">
        <x:f>N784-O784</x:f>
        <x:v>60</x:v>
      </x:c>
      <x:c r="Q784" s="103" t="n">
        <x:f>I784*'Inputs &amp; Guide'!$B$8</x:f>
        <x:v>2.0047661698839243</x:v>
      </x:c>
      <x:c r="R784" s="104" t="n">
        <x:f>IFERROR(P784/Q784,0)</x:f>
        <x:v>29.928677419508727</x:v>
      </x:c>
      <x:c r="S784" s="105" t="n">
        <x:f>ROUND(E784*XLOOKUP(C784,'Reference Tables'!$E$4:$E$12,'Reference Tables'!$G$4:$G$12,1),1)</x:f>
        <x:v>8.1</x:v>
      </x:c>
      <x:c r="T784" s="106" t="str">
        <x:f>IF(R784&gt;='Inputs &amp; Guide'!$B$9,"HIGH",IF(R784&gt;=0.45,"WATCH","NORMAL"))</x:f>
        <x:v>HIGH</x:v>
      </x:c>
    </x:row>
    <x:row r="785">
      <x:c r="A785" s="95" t="n">
        <x:v>6249</x:v>
      </x:c>
      <x:c r="B785" s="96" t="n">
        <x:v>45552.104166666664</x:v>
      </x:c>
      <x:c r="C785" s="97" t="str">
        <x:v>Wildfire</x:v>
      </x:c>
      <x:c r="D785" s="97" t="str">
        <x:v>Brazil</x:v>
      </x:c>
      <x:c r="E785" s="98" t="n">
        <x:v>6.993830600665197</x:v>
      </x:c>
      <x:c r="F785" s="99" t="n">
        <x:v>999.062720222177</x:v>
      </x:c>
      <x:c r="G785" s="100" t="str">
        <x:f>XLOOKUP(D785,'Reference Tables'!$A$4:$A$23,'Reference Tables'!$B$4:$B$23,"Other")</x:f>
        <x:v>Latin America</x:v>
      </x:c>
      <x:c r="H785" s="100" t="str">
        <x:f>VLOOKUP(G785,'Reference Tables'!$I$4:$J$9,2,FALSE)</x:f>
        <x:v>Moderate</x:v>
      </x:c>
      <x:c r="I785" s="101" t="n">
        <x:f>F785*'Inputs &amp; Guide'!$B$4*XLOOKUP(D785,'Reference Tables'!$A$4:$A$23,'Reference Tables'!$C$4:$C$23,0.75)</x:f>
        <x:v>131.07702889314962</x:v>
      </x:c>
      <x:c r="J785" s="102" t="n">
        <x:f>XLOOKUP(C785,'Reference Tables'!$E$4:$E$12,'Reference Tables'!$F$4:$F$12,0.05)</x:f>
        <x:v>0.1</x:v>
      </x:c>
      <x:c r="K785" s="103" t="n">
        <x:f>MIN(I785,F785*J785)</x:f>
        <x:v>99.9062720222177</x:v>
      </x:c>
      <x:c r="L785" s="103" t="n">
        <x:f>'Inputs &amp; Guide'!$B$5</x:f>
        <x:v>15</x:v>
      </x:c>
      <x:c r="M785" s="103" t="n">
        <x:f>I785*'Inputs &amp; Guide'!$B$6</x:f>
        <x:v>72.09236589123229</x:v>
      </x:c>
      <x:c r="N785" s="103" t="n">
        <x:f>MAX(0,MIN(K785-L785,M785))</x:f>
        <x:v>72.09236589123229</x:v>
      </x:c>
      <x:c r="O785" s="103" t="n">
        <x:f>MAX(0,N785-'Inputs &amp; Guide'!$B$7)</x:f>
        <x:v>12.09236589123229</x:v>
      </x:c>
      <x:c r="P785" s="103" t="n">
        <x:f>N785-O785</x:f>
        <x:v>60</x:v>
      </x:c>
      <x:c r="Q785" s="103" t="n">
        <x:f>I785*'Inputs &amp; Guide'!$B$8</x:f>
        <x:v>2.359386520076693</x:v>
      </x:c>
      <x:c r="R785" s="104" t="n">
        <x:f>IFERROR(P785/Q785,0)</x:f>
        <x:v>25.430339407910864</x:v>
      </x:c>
      <x:c r="S785" s="105" t="n">
        <x:f>ROUND(E785*XLOOKUP(C785,'Reference Tables'!$E$4:$E$12,'Reference Tables'!$G$4:$G$12,1),1)</x:f>
        <x:v>8</x:v>
      </x:c>
      <x:c r="T785" s="106" t="str">
        <x:f>IF(R785&gt;='Inputs &amp; Guide'!$B$9,"HIGH",IF(R785&gt;=0.45,"WATCH","NORMAL"))</x:f>
        <x:v>HIGH</x:v>
      </x:c>
    </x:row>
    <x:row r="786">
      <x:c r="A786" s="95" t="n">
        <x:v>6257</x:v>
      </x:c>
      <x:c r="B786" s="96" t="n">
        <x:v>45552.4375</x:v>
      </x:c>
      <x:c r="C786" s="97" t="str">
        <x:v>Tornado</x:v>
      </x:c>
      <x:c r="D786" s="97" t="str">
        <x:v>Indonesia</x:v>
      </x:c>
      <x:c r="E786" s="98" t="n">
        <x:v>1.9822995876129568</x:v>
      </x:c>
      <x:c r="F786" s="99" t="n">
        <x:v>358.69140868309535</x:v>
      </x:c>
      <x:c r="G786" s="100" t="str">
        <x:f>XLOOKUP(D786,'Reference Tables'!$A$4:$A$23,'Reference Tables'!$B$4:$B$23,"Other")</x:f>
        <x:v>Asia Pacific</x:v>
      </x:c>
      <x:c r="H786" s="100" t="str">
        <x:f>VLOOKUP(G786,'Reference Tables'!$I$4:$J$9,2,FALSE)</x:f>
        <x:v>High</x:v>
      </x:c>
      <x:c r="I786" s="101" t="n">
        <x:f>F786*'Inputs &amp; Guide'!$B$4*XLOOKUP(D786,'Reference Tables'!$A$4:$A$23,'Reference Tables'!$C$4:$C$23,0.75)</x:f>
        <x:v>59.11234415097412</x:v>
      </x:c>
      <x:c r="J786" s="102" t="n">
        <x:f>XLOOKUP(C786,'Reference Tables'!$E$4:$E$12,'Reference Tables'!$F$4:$F$12,0.05)</x:f>
        <x:v>0.09</x:v>
      </x:c>
      <x:c r="K786" s="103" t="n">
        <x:f>MIN(I786,F786*J786)</x:f>
        <x:v>32.28222678147858</x:v>
      </x:c>
      <x:c r="L786" s="103" t="n">
        <x:f>'Inputs &amp; Guide'!$B$5</x:f>
        <x:v>15</x:v>
      </x:c>
      <x:c r="M786" s="103" t="n">
        <x:f>I786*'Inputs &amp; Guide'!$B$6</x:f>
        <x:v>32.51178928303577</x:v>
      </x:c>
      <x:c r="N786" s="103" t="n">
        <x:f>MAX(0,MIN(K786-L786,M786))</x:f>
        <x:v>17.282226781478577</x:v>
      </x:c>
      <x:c r="O786" s="103" t="n">
        <x:f>MAX(0,N786-'Inputs &amp; Guide'!$B$7)</x:f>
        <x:v>0</x:v>
      </x:c>
      <x:c r="P786" s="103" t="n">
        <x:f>N786-O786</x:f>
        <x:v>17.282226781478577</x:v>
      </x:c>
      <x:c r="Q786" s="103" t="n">
        <x:f>I786*'Inputs &amp; Guide'!$B$8</x:f>
        <x:v>1.0640221947175341</x:v>
      </x:c>
      <x:c r="R786" s="104" t="n">
        <x:f>IFERROR(P786/Q786,0)</x:f>
        <x:v>16.24235553288105</x:v>
      </x:c>
      <x:c r="S786" s="105" t="n">
        <x:f>ROUND(E786*XLOOKUP(C786,'Reference Tables'!$E$4:$E$12,'Reference Tables'!$G$4:$G$12,1),1)</x:f>
        <x:v>2.1</x:v>
      </x:c>
      <x:c r="T786" s="106" t="str">
        <x:f>IF(R786&gt;='Inputs &amp; Guide'!$B$9,"HIGH",IF(R786&gt;=0.45,"WATCH","NORMAL"))</x:f>
        <x:v>HIGH</x:v>
      </x:c>
    </x:row>
    <x:row r="787">
      <x:c r="A787" s="95" t="n">
        <x:v>6265</x:v>
      </x:c>
      <x:c r="B787" s="96" t="n">
        <x:v>45553</x:v>
      </x:c>
      <x:c r="C787" s="97" t="str">
        <x:v>Tornado</x:v>
      </x:c>
      <x:c r="D787" s="97" t="str">
        <x:v>Brazil</x:v>
      </x:c>
      <x:c r="E787" s="98" t="n">
        <x:v>1.2383248365283075</x:v>
      </x:c>
      <x:c r="F787" s="99" t="n">
        <x:v>47.14087146051678</x:v>
      </x:c>
      <x:c r="G787" s="100" t="str">
        <x:f>XLOOKUP(D787,'Reference Tables'!$A$4:$A$23,'Reference Tables'!$B$4:$B$23,"Other")</x:f>
        <x:v>Latin America</x:v>
      </x:c>
      <x:c r="H787" s="100" t="str">
        <x:f>VLOOKUP(G787,'Reference Tables'!$I$4:$J$9,2,FALSE)</x:f>
        <x:v>Moderate</x:v>
      </x:c>
      <x:c r="I787" s="101" t="n">
        <x:f>F787*'Inputs &amp; Guide'!$B$4*XLOOKUP(D787,'Reference Tables'!$A$4:$A$23,'Reference Tables'!$C$4:$C$23,0.75)</x:f>
        <x:v>6.1848823356198</x:v>
      </x:c>
      <x:c r="J787" s="102" t="n">
        <x:f>XLOOKUP(C787,'Reference Tables'!$E$4:$E$12,'Reference Tables'!$F$4:$F$12,0.05)</x:f>
        <x:v>0.09</x:v>
      </x:c>
      <x:c r="K787" s="103" t="n">
        <x:f>MIN(I787,F787*J787)</x:f>
        <x:v>4.24267843144651</x:v>
      </x:c>
      <x:c r="L787" s="103" t="n">
        <x:f>'Inputs &amp; Guide'!$B$5</x:f>
        <x:v>15</x:v>
      </x:c>
      <x:c r="M787" s="103" t="n">
        <x:f>I787*'Inputs &amp; Guide'!$B$6</x:f>
        <x:v>3.4016852845908905</x:v>
      </x:c>
      <x:c r="N787" s="103" t="n">
        <x:f>MAX(0,MIN(K787-L787,M787))</x:f>
        <x:v>0</x:v>
      </x:c>
      <x:c r="O787" s="103" t="n">
        <x:f>MAX(0,N787-'Inputs &amp; Guide'!$B$7)</x:f>
        <x:v>0</x:v>
      </x:c>
      <x:c r="P787" s="103" t="n">
        <x:f>N787-O787</x:f>
        <x:v>0</x:v>
      </x:c>
      <x:c r="Q787" s="103" t="n">
        <x:f>I787*'Inputs &amp; Guide'!$B$8</x:f>
        <x:v>0.1113278820411564</x:v>
      </x:c>
      <x:c r="R787" s="104" t="n">
        <x:f>IFERROR(P787/Q787,0)</x:f>
        <x:v>0</x:v>
      </x:c>
      <x:c r="S787" s="105" t="n">
        <x:f>ROUND(E787*XLOOKUP(C787,'Reference Tables'!$E$4:$E$12,'Reference Tables'!$G$4:$G$12,1),1)</x:f>
        <x:v>1.3</x:v>
      </x:c>
      <x:c r="T787" s="106" t="str">
        <x:f>IF(R787&gt;='Inputs &amp; Guide'!$B$9,"HIGH",IF(R787&gt;=0.45,"WATCH","NORMAL"))</x:f>
        <x:v>NORMAL</x:v>
      </x:c>
    </x:row>
    <x:row r="788">
      <x:c r="A788" s="95" t="n">
        <x:v>6273</x:v>
      </x:c>
      <x:c r="B788" s="96" t="n">
        <x:v>45553.104166666664</x:v>
      </x:c>
      <x:c r="C788" s="97" t="str">
        <x:v>Tornado</x:v>
      </x:c>
      <x:c r="D788" s="97" t="str">
        <x:v>Brazil</x:v>
      </x:c>
      <x:c r="E788" s="98" t="n">
        <x:v>6.48816139104992</x:v>
      </x:c>
      <x:c r="F788" s="99" t="n">
        <x:v>967.0378224157245</x:v>
      </x:c>
      <x:c r="G788" s="100" t="str">
        <x:f>XLOOKUP(D788,'Reference Tables'!$A$4:$A$23,'Reference Tables'!$B$4:$B$23,"Other")</x:f>
        <x:v>Latin America</x:v>
      </x:c>
      <x:c r="H788" s="100" t="str">
        <x:f>VLOOKUP(G788,'Reference Tables'!$I$4:$J$9,2,FALSE)</x:f>
        <x:v>Moderate</x:v>
      </x:c>
      <x:c r="I788" s="101" t="n">
        <x:f>F788*'Inputs &amp; Guide'!$B$4*XLOOKUP(D788,'Reference Tables'!$A$4:$A$23,'Reference Tables'!$C$4:$C$23,0.75)</x:f>
        <x:v>126.87536230094305</x:v>
      </x:c>
      <x:c r="J788" s="102" t="n">
        <x:f>XLOOKUP(C788,'Reference Tables'!$E$4:$E$12,'Reference Tables'!$F$4:$F$12,0.05)</x:f>
        <x:v>0.09</x:v>
      </x:c>
      <x:c r="K788" s="103" t="n">
        <x:f>MIN(I788,F788*J788)</x:f>
        <x:v>87.0334040174152</x:v>
      </x:c>
      <x:c r="L788" s="103" t="n">
        <x:f>'Inputs &amp; Guide'!$B$5</x:f>
        <x:v>15</x:v>
      </x:c>
      <x:c r="M788" s="103" t="n">
        <x:f>I788*'Inputs &amp; Guide'!$B$6</x:f>
        <x:v>69.78144926551869</x:v>
      </x:c>
      <x:c r="N788" s="103" t="n">
        <x:f>MAX(0,MIN(K788-L788,M788))</x:f>
        <x:v>69.78144926551869</x:v>
      </x:c>
      <x:c r="O788" s="103" t="n">
        <x:f>MAX(0,N788-'Inputs &amp; Guide'!$B$7)</x:f>
        <x:v>9.781449265518688</x:v>
      </x:c>
      <x:c r="P788" s="103" t="n">
        <x:f>N788-O788</x:f>
        <x:v>60</x:v>
      </x:c>
      <x:c r="Q788" s="103" t="n">
        <x:f>I788*'Inputs &amp; Guide'!$B$8</x:f>
        <x:v>2.283756521416975</x:v>
      </x:c>
      <x:c r="R788" s="104" t="n">
        <x:f>IFERROR(P788/Q788,0)</x:f>
        <x:v>26.27250297364122</x:v>
      </x:c>
      <x:c r="S788" s="105" t="n">
        <x:f>ROUND(E788*XLOOKUP(C788,'Reference Tables'!$E$4:$E$12,'Reference Tables'!$G$4:$G$12,1),1)</x:f>
        <x:v>6.8</x:v>
      </x:c>
      <x:c r="T788" s="106" t="str">
        <x:f>IF(R788&gt;='Inputs &amp; Guide'!$B$9,"HIGH",IF(R788&gt;=0.45,"WATCH","NORMAL"))</x:f>
        <x:v>HIGH</x:v>
      </x:c>
    </x:row>
    <x:row r="789">
      <x:c r="A789" s="95" t="n">
        <x:v>6281</x:v>
      </x:c>
      <x:c r="B789" s="96" t="n">
        <x:v>45553.4375</x:v>
      </x:c>
      <x:c r="C789" s="97" t="str">
        <x:v>Earthquake</x:v>
      </x:c>
      <x:c r="D789" s="97" t="str">
        <x:v>India</x:v>
      </x:c>
      <x:c r="E789" s="98" t="n">
        <x:v>3.516069104328231</x:v>
      </x:c>
      <x:c r="F789" s="99" t="n">
        <x:v>725.3387484575378</x:v>
      </x:c>
      <x:c r="G789" s="100" t="str">
        <x:f>XLOOKUP(D789,'Reference Tables'!$A$4:$A$23,'Reference Tables'!$B$4:$B$23,"Other")</x:f>
        <x:v>Asia Pacific</x:v>
      </x:c>
      <x:c r="H789" s="100" t="str">
        <x:f>VLOOKUP(G789,'Reference Tables'!$I$4:$J$9,2,FALSE)</x:f>
        <x:v>High</x:v>
      </x:c>
      <x:c r="I789" s="101" t="n">
        <x:f>F789*'Inputs &amp; Guide'!$B$4*XLOOKUP(D789,'Reference Tables'!$A$4:$A$23,'Reference Tables'!$C$4:$C$23,0.75)</x:f>
        <x:v>105.60932177541751</x:v>
      </x:c>
      <x:c r="J789" s="102" t="n">
        <x:f>XLOOKUP(C789,'Reference Tables'!$E$4:$E$12,'Reference Tables'!$F$4:$F$12,0.05)</x:f>
        <x:v>0.14</x:v>
      </x:c>
      <x:c r="K789" s="103" t="n">
        <x:f>MIN(I789,F789*J789)</x:f>
        <x:v>101.54742478405531</x:v>
      </x:c>
      <x:c r="L789" s="103" t="n">
        <x:f>'Inputs &amp; Guide'!$B$5</x:f>
        <x:v>15</x:v>
      </x:c>
      <x:c r="M789" s="103" t="n">
        <x:f>I789*'Inputs &amp; Guide'!$B$6</x:f>
        <x:v>58.085126976479636</x:v>
      </x:c>
      <x:c r="N789" s="103" t="n">
        <x:f>MAX(0,MIN(K789-L789,M789))</x:f>
        <x:v>58.085126976479636</x:v>
      </x:c>
      <x:c r="O789" s="103" t="n">
        <x:f>MAX(0,N789-'Inputs &amp; Guide'!$B$7)</x:f>
        <x:v>0</x:v>
      </x:c>
      <x:c r="P789" s="103" t="n">
        <x:f>N789-O789</x:f>
        <x:v>58.085126976479636</x:v>
      </x:c>
      <x:c r="Q789" s="103" t="n">
        <x:f>I789*'Inputs &amp; Guide'!$B$8</x:f>
        <x:v>1.9009677919575152</x:v>
      </x:c>
      <x:c r="R789" s="104" t="n">
        <x:f>IFERROR(P789/Q789,0)</x:f>
        <x:v>30.555555555555557</x:v>
      </x:c>
      <x:c r="S789" s="105" t="n">
        <x:f>ROUND(E789*XLOOKUP(C789,'Reference Tables'!$E$4:$E$12,'Reference Tables'!$G$4:$G$12,1),1)</x:f>
        <x:v>5.3</x:v>
      </x:c>
      <x:c r="T789" s="106" t="str">
        <x:f>IF(R789&gt;='Inputs &amp; Guide'!$B$9,"HIGH",IF(R789&gt;=0.45,"WATCH","NORMAL"))</x:f>
        <x:v>HIGH</x:v>
      </x:c>
    </x:row>
    <x:row r="790">
      <x:c r="A790" s="95" t="n">
        <x:v>6289</x:v>
      </x:c>
      <x:c r="B790" s="96" t="n">
        <x:v>45554</x:v>
      </x:c>
      <x:c r="C790" s="97" t="str">
        <x:v>Earthquake</x:v>
      </x:c>
      <x:c r="D790" s="97" t="str">
        <x:v>Brazil</x:v>
      </x:c>
      <x:c r="E790" s="98" t="n">
        <x:v>5.890787308273758</x:v>
      </x:c>
      <x:c r="F790" s="99" t="n">
        <x:v>858.662993026782</x:v>
      </x:c>
      <x:c r="G790" s="100" t="str">
        <x:f>XLOOKUP(D790,'Reference Tables'!$A$4:$A$23,'Reference Tables'!$B$4:$B$23,"Other")</x:f>
        <x:v>Latin America</x:v>
      </x:c>
      <x:c r="H790" s="100" t="str">
        <x:f>VLOOKUP(G790,'Reference Tables'!$I$4:$J$9,2,FALSE)</x:f>
        <x:v>Moderate</x:v>
      </x:c>
      <x:c r="I790" s="101" t="n">
        <x:f>F790*'Inputs &amp; Guide'!$B$4*XLOOKUP(D790,'Reference Tables'!$A$4:$A$23,'Reference Tables'!$C$4:$C$23,0.75)</x:f>
        <x:v>112.6565846851138</x:v>
      </x:c>
      <x:c r="J790" s="102" t="n">
        <x:f>XLOOKUP(C790,'Reference Tables'!$E$4:$E$12,'Reference Tables'!$F$4:$F$12,0.05)</x:f>
        <x:v>0.14</x:v>
      </x:c>
      <x:c r="K790" s="103" t="n">
        <x:f>MIN(I790,F790*J790)</x:f>
        <x:v>112.6565846851138</x:v>
      </x:c>
      <x:c r="L790" s="103" t="n">
        <x:f>'Inputs &amp; Guide'!$B$5</x:f>
        <x:v>15</x:v>
      </x:c>
      <x:c r="M790" s="103" t="n">
        <x:f>I790*'Inputs &amp; Guide'!$B$6</x:f>
        <x:v>61.961121576812594</x:v>
      </x:c>
      <x:c r="N790" s="103" t="n">
        <x:f>MAX(0,MIN(K790-L790,M790))</x:f>
        <x:v>61.961121576812594</x:v>
      </x:c>
      <x:c r="O790" s="103" t="n">
        <x:f>MAX(0,N790-'Inputs &amp; Guide'!$B$7)</x:f>
        <x:v>1.9611215768125945</x:v>
      </x:c>
      <x:c r="P790" s="103" t="n">
        <x:f>N790-O790</x:f>
        <x:v>60</x:v>
      </x:c>
      <x:c r="Q790" s="103" t="n">
        <x:f>I790*'Inputs &amp; Guide'!$B$8</x:f>
        <x:v>2.0278185243320483</x:v>
      </x:c>
      <x:c r="R790" s="104" t="n">
        <x:f>IFERROR(P790/Q790,0)</x:f>
        <x:v>29.58844653998989</x:v>
      </x:c>
      <x:c r="S790" s="105" t="n">
        <x:f>ROUND(E790*XLOOKUP(C790,'Reference Tables'!$E$4:$E$12,'Reference Tables'!$G$4:$G$12,1),1)</x:f>
        <x:v>8.8</x:v>
      </x:c>
      <x:c r="T790" s="106" t="str">
        <x:f>IF(R790&gt;='Inputs &amp; Guide'!$B$9,"HIGH",IF(R790&gt;=0.45,"WATCH","NORMAL"))</x:f>
        <x:v>HIGH</x:v>
      </x:c>
    </x:row>
    <x:row r="791">
      <x:c r="A791" s="95" t="n">
        <x:v>6297</x:v>
      </x:c>
      <x:c r="B791" s="96" t="n">
        <x:v>45554.104166666664</x:v>
      </x:c>
      <x:c r="C791" s="97" t="str">
        <x:v>Earthquake</x:v>
      </x:c>
      <x:c r="D791" s="97" t="str">
        <x:v>Japan</x:v>
      </x:c>
      <x:c r="E791" s="98" t="n">
        <x:v>7.930874063187014</x:v>
      </x:c>
      <x:c r="F791" s="99" t="n">
        <x:v>818.7952300490484</x:v>
      </x:c>
      <x:c r="G791" s="100" t="str">
        <x:f>XLOOKUP(D791,'Reference Tables'!$A$4:$A$23,'Reference Tables'!$B$4:$B$23,"Other")</x:f>
        <x:v>Asia Pacific</x:v>
      </x:c>
      <x:c r="H791" s="100" t="str">
        <x:f>VLOOKUP(G791,'Reference Tables'!$I$4:$J$9,2,FALSE)</x:f>
        <x:v>High</x:v>
      </x:c>
      <x:c r="I791" s="101" t="n">
        <x:f>F791*'Inputs &amp; Guide'!$B$4*XLOOKUP(D791,'Reference Tables'!$A$4:$A$23,'Reference Tables'!$C$4:$C$23,0.75)</x:f>
        <x:v>154.58853943326034</x:v>
      </x:c>
      <x:c r="J791" s="102" t="n">
        <x:f>XLOOKUP(C791,'Reference Tables'!$E$4:$E$12,'Reference Tables'!$F$4:$F$12,0.05)</x:f>
        <x:v>0.14</x:v>
      </x:c>
      <x:c r="K791" s="103" t="n">
        <x:f>MIN(I791,F791*J791)</x:f>
        <x:v>114.63133220686679</x:v>
      </x:c>
      <x:c r="L791" s="103" t="n">
        <x:f>'Inputs &amp; Guide'!$B$5</x:f>
        <x:v>15</x:v>
      </x:c>
      <x:c r="M791" s="103" t="n">
        <x:f>I791*'Inputs &amp; Guide'!$B$6</x:f>
        <x:v>85.02369668829319</x:v>
      </x:c>
      <x:c r="N791" s="103" t="n">
        <x:f>MAX(0,MIN(K791-L791,M791))</x:f>
        <x:v>85.02369668829319</x:v>
      </x:c>
      <x:c r="O791" s="103" t="n">
        <x:f>MAX(0,N791-'Inputs &amp; Guide'!$B$7)</x:f>
        <x:v>25.023696688293185</x:v>
      </x:c>
      <x:c r="P791" s="103" t="n">
        <x:f>N791-O791</x:f>
        <x:v>60</x:v>
      </x:c>
      <x:c r="Q791" s="103" t="n">
        <x:f>I791*'Inputs &amp; Guide'!$B$8</x:f>
        <x:v>2.782593709798686</x:v>
      </x:c>
      <x:c r="R791" s="104" t="n">
        <x:f>IFERROR(P791/Q791,0)</x:f>
        <x:v>21.562616126355312</x:v>
      </x:c>
      <x:c r="S791" s="105" t="n">
        <x:f>ROUND(E791*XLOOKUP(C791,'Reference Tables'!$E$4:$E$12,'Reference Tables'!$G$4:$G$12,1),1)</x:f>
        <x:v>11.9</x:v>
      </x:c>
      <x:c r="T791" s="106" t="str">
        <x:f>IF(R791&gt;='Inputs &amp; Guide'!$B$9,"HIGH",IF(R791&gt;=0.45,"WATCH","NORMAL"))</x:f>
        <x:v>HIGH</x:v>
      </x:c>
    </x:row>
    <x:row r="792">
      <x:c r="A792" s="95" t="n">
        <x:v>6305</x:v>
      </x:c>
      <x:c r="B792" s="96" t="n">
        <x:v>45554.4375</x:v>
      </x:c>
      <x:c r="C792" s="97" t="str">
        <x:v>Flood</x:v>
      </x:c>
      <x:c r="D792" s="97" t="str">
        <x:v>Brazil</x:v>
      </x:c>
      <x:c r="E792" s="98" t="n">
        <x:v>8.901613059370664</x:v>
      </x:c>
      <x:c r="F792" s="99" t="n">
        <x:v>804.5931739363398</x:v>
      </x:c>
      <x:c r="G792" s="100" t="str">
        <x:f>XLOOKUP(D792,'Reference Tables'!$A$4:$A$23,'Reference Tables'!$B$4:$B$23,"Other")</x:f>
        <x:v>Latin America</x:v>
      </x:c>
      <x:c r="H792" s="100" t="str">
        <x:f>VLOOKUP(G792,'Reference Tables'!$I$4:$J$9,2,FALSE)</x:f>
        <x:v>Moderate</x:v>
      </x:c>
      <x:c r="I792" s="101" t="n">
        <x:f>F792*'Inputs &amp; Guide'!$B$4*XLOOKUP(D792,'Reference Tables'!$A$4:$A$23,'Reference Tables'!$C$4:$C$23,0.75)</x:f>
        <x:v>105.56262442044778</x:v>
      </x:c>
      <x:c r="J792" s="102" t="n">
        <x:f>XLOOKUP(C792,'Reference Tables'!$E$4:$E$12,'Reference Tables'!$F$4:$F$12,0.05)</x:f>
        <x:v>0.12</x:v>
      </x:c>
      <x:c r="K792" s="103" t="n">
        <x:f>MIN(I792,F792*J792)</x:f>
        <x:v>96.55118087236077</x:v>
      </x:c>
      <x:c r="L792" s="103" t="n">
        <x:f>'Inputs &amp; Guide'!$B$5</x:f>
        <x:v>15</x:v>
      </x:c>
      <x:c r="M792" s="103" t="n">
        <x:f>I792*'Inputs &amp; Guide'!$B$6</x:f>
        <x:v>58.05944343124628</x:v>
      </x:c>
      <x:c r="N792" s="103" t="n">
        <x:f>MAX(0,MIN(K792-L792,M792))</x:f>
        <x:v>58.05944343124628</x:v>
      </x:c>
      <x:c r="O792" s="103" t="n">
        <x:f>MAX(0,N792-'Inputs &amp; Guide'!$B$7)</x:f>
        <x:v>0</x:v>
      </x:c>
      <x:c r="P792" s="103" t="n">
        <x:f>N792-O792</x:f>
        <x:v>58.05944343124628</x:v>
      </x:c>
      <x:c r="Q792" s="103" t="n">
        <x:f>I792*'Inputs &amp; Guide'!$B$8</x:f>
        <x:v>1.9001272395680597</x:v>
      </x:c>
      <x:c r="R792" s="104" t="n">
        <x:f>IFERROR(P792/Q792,0)</x:f>
        <x:v>30.55555555555556</x:v>
      </x:c>
      <x:c r="S792" s="105" t="n">
        <x:f>ROUND(E792*XLOOKUP(C792,'Reference Tables'!$E$4:$E$12,'Reference Tables'!$G$4:$G$12,1),1)</x:f>
        <x:v>11.1</x:v>
      </x:c>
      <x:c r="T792" s="106" t="str">
        <x:f>IF(R792&gt;='Inputs &amp; Guide'!$B$9,"HIGH",IF(R792&gt;=0.45,"WATCH","NORMAL"))</x:f>
        <x:v>HIGH</x:v>
      </x:c>
    </x:row>
    <x:row r="793">
      <x:c r="A793" s="95" t="n">
        <x:v>6313</x:v>
      </x:c>
      <x:c r="B793" s="96" t="n">
        <x:v>45555</x:v>
      </x:c>
      <x:c r="C793" s="97" t="str">
        <x:v>Wildfire</x:v>
      </x:c>
      <x:c r="D793" s="97" t="str">
        <x:v>China</x:v>
      </x:c>
      <x:c r="E793" s="98" t="n">
        <x:v>5.636633781507923</x:v>
      </x:c>
      <x:c r="F793" s="99" t="n">
        <x:v>760.6998514593693</x:v>
      </x:c>
      <x:c r="G793" s="100" t="str">
        <x:f>XLOOKUP(D793,'Reference Tables'!$A$4:$A$23,'Reference Tables'!$B$4:$B$23,"Other")</x:f>
        <x:v>Asia Pacific</x:v>
      </x:c>
      <x:c r="H793" s="100" t="str">
        <x:f>VLOOKUP(G793,'Reference Tables'!$I$4:$J$9,2,FALSE)</x:f>
        <x:v>High</x:v>
      </x:c>
      <x:c r="I793" s="101" t="n">
        <x:f>F793*'Inputs &amp; Guide'!$B$4*XLOOKUP(D793,'Reference Tables'!$A$4:$A$23,'Reference Tables'!$C$4:$C$23,0.75)</x:f>
        <x:v>131.44893433217902</x:v>
      </x:c>
      <x:c r="J793" s="102" t="n">
        <x:f>XLOOKUP(C793,'Reference Tables'!$E$4:$E$12,'Reference Tables'!$F$4:$F$12,0.05)</x:f>
        <x:v>0.1</x:v>
      </x:c>
      <x:c r="K793" s="103" t="n">
        <x:f>MIN(I793,F793*J793)</x:f>
        <x:v>76.06998514593693</x:v>
      </x:c>
      <x:c r="L793" s="103" t="n">
        <x:f>'Inputs &amp; Guide'!$B$5</x:f>
        <x:v>15</x:v>
      </x:c>
      <x:c r="M793" s="103" t="n">
        <x:f>I793*'Inputs &amp; Guide'!$B$6</x:f>
        <x:v>72.29691388269846</x:v>
      </x:c>
      <x:c r="N793" s="103" t="n">
        <x:f>MAX(0,MIN(K793-L793,M793))</x:f>
        <x:v>61.069985145936926</x:v>
      </x:c>
      <x:c r="O793" s="103" t="n">
        <x:f>MAX(0,N793-'Inputs &amp; Guide'!$B$7)</x:f>
        <x:v>1.0699851459369256</x:v>
      </x:c>
      <x:c r="P793" s="103" t="n">
        <x:f>N793-O793</x:f>
        <x:v>60</x:v>
      </x:c>
      <x:c r="Q793" s="103" t="n">
        <x:f>I793*'Inputs &amp; Guide'!$B$8</x:f>
        <x:v>2.3660808179792223</x:v>
      </x:c>
      <x:c r="R793" s="104" t="n">
        <x:f>IFERROR(P793/Q793,0)</x:f>
        <x:v>25.358389934982725</x:v>
      </x:c>
      <x:c r="S793" s="105" t="n">
        <x:f>ROUND(E793*XLOOKUP(C793,'Reference Tables'!$E$4:$E$12,'Reference Tables'!$G$4:$G$12,1),1)</x:f>
        <x:v>6.5</x:v>
      </x:c>
      <x:c r="T793" s="106" t="str">
        <x:f>IF(R793&gt;='Inputs &amp; Guide'!$B$9,"HIGH",IF(R793&gt;=0.45,"WATCH","NORMAL"))</x:f>
        <x:v>HIGH</x:v>
      </x:c>
    </x:row>
    <x:row r="794">
      <x:c r="A794" s="95" t="n">
        <x:v>6321</x:v>
      </x:c>
      <x:c r="B794" s="96" t="n">
        <x:v>45555.104166666664</x:v>
      </x:c>
      <x:c r="C794" s="97" t="str">
        <x:v>Wildfire</x:v>
      </x:c>
      <x:c r="D794" s="97" t="str">
        <x:v>Indonesia</x:v>
      </x:c>
      <x:c r="E794" s="98" t="n">
        <x:v>9.705045786483293</x:v>
      </x:c>
      <x:c r="F794" s="99" t="n">
        <x:v>218.88041161083518</x:v>
      </x:c>
      <x:c r="G794" s="100" t="str">
        <x:f>XLOOKUP(D794,'Reference Tables'!$A$4:$A$23,'Reference Tables'!$B$4:$B$23,"Other")</x:f>
        <x:v>Asia Pacific</x:v>
      </x:c>
      <x:c r="H794" s="100" t="str">
        <x:f>VLOOKUP(G794,'Reference Tables'!$I$4:$J$9,2,FALSE)</x:f>
        <x:v>High</x:v>
      </x:c>
      <x:c r="I794" s="101" t="n">
        <x:f>F794*'Inputs &amp; Guide'!$B$4*XLOOKUP(D794,'Reference Tables'!$A$4:$A$23,'Reference Tables'!$C$4:$C$23,0.75)</x:f>
        <x:v>36.07149183346564</x:v>
      </x:c>
      <x:c r="J794" s="102" t="n">
        <x:f>XLOOKUP(C794,'Reference Tables'!$E$4:$E$12,'Reference Tables'!$F$4:$F$12,0.05)</x:f>
        <x:v>0.1</x:v>
      </x:c>
      <x:c r="K794" s="103" t="n">
        <x:f>MIN(I794,F794*J794)</x:f>
        <x:v>21.88804116108352</x:v>
      </x:c>
      <x:c r="L794" s="103" t="n">
        <x:f>'Inputs &amp; Guide'!$B$5</x:f>
        <x:v>15</x:v>
      </x:c>
      <x:c r="M794" s="103" t="n">
        <x:f>I794*'Inputs &amp; Guide'!$B$6</x:f>
        <x:v>19.839320508406104</x:v>
      </x:c>
      <x:c r="N794" s="103" t="n">
        <x:f>MAX(0,MIN(K794-L794,M794))</x:f>
        <x:v>6.888041161083521</x:v>
      </x:c>
      <x:c r="O794" s="103" t="n">
        <x:f>MAX(0,N794-'Inputs &amp; Guide'!$B$7)</x:f>
        <x:v>0</x:v>
      </x:c>
      <x:c r="P794" s="103" t="n">
        <x:f>N794-O794</x:f>
        <x:v>6.888041161083521</x:v>
      </x:c>
      <x:c r="Q794" s="103" t="n">
        <x:f>I794*'Inputs &amp; Guide'!$B$8</x:f>
        <x:v>0.6492868530023815</x:v>
      </x:c>
      <x:c r="R794" s="104" t="n">
        <x:f>IFERROR(P794/Q794,0)</x:f>
        <x:v>10.608625647096316</x:v>
      </x:c>
      <x:c r="S794" s="105" t="n">
        <x:f>ROUND(E794*XLOOKUP(C794,'Reference Tables'!$E$4:$E$12,'Reference Tables'!$G$4:$G$12,1),1)</x:f>
        <x:v>11.2</x:v>
      </x:c>
      <x:c r="T794" s="106" t="str">
        <x:f>IF(R794&gt;='Inputs &amp; Guide'!$B$9,"HIGH",IF(R794&gt;=0.45,"WATCH","NORMAL"))</x:f>
        <x:v>HIGH</x:v>
      </x:c>
    </x:row>
    <x:row r="795">
      <x:c r="A795" s="95" t="n">
        <x:v>6329</x:v>
      </x:c>
      <x:c r="B795" s="96" t="n">
        <x:v>45555.4375</x:v>
      </x:c>
      <x:c r="C795" s="97" t="str">
        <x:v>Wildfire</x:v>
      </x:c>
      <x:c r="D795" s="97" t="str">
        <x:v>India</x:v>
      </x:c>
      <x:c r="E795" s="98" t="n">
        <x:v>2.0774438166562073</x:v>
      </x:c>
      <x:c r="F795" s="99" t="n">
        <x:v>102.41477471458066</x:v>
      </x:c>
      <x:c r="G795" s="100" t="str">
        <x:f>XLOOKUP(D795,'Reference Tables'!$A$4:$A$23,'Reference Tables'!$B$4:$B$23,"Other")</x:f>
        <x:v>Asia Pacific</x:v>
      </x:c>
      <x:c r="H795" s="100" t="str">
        <x:f>VLOOKUP(G795,'Reference Tables'!$I$4:$J$9,2,FALSE)</x:f>
        <x:v>High</x:v>
      </x:c>
      <x:c r="I795" s="101" t="n">
        <x:f>F795*'Inputs &amp; Guide'!$B$4*XLOOKUP(D795,'Reference Tables'!$A$4:$A$23,'Reference Tables'!$C$4:$C$23,0.75)</x:f>
        <x:v>14.911591198442945</x:v>
      </x:c>
      <x:c r="J795" s="102" t="n">
        <x:f>XLOOKUP(C795,'Reference Tables'!$E$4:$E$12,'Reference Tables'!$F$4:$F$12,0.05)</x:f>
        <x:v>0.1</x:v>
      </x:c>
      <x:c r="K795" s="103" t="n">
        <x:f>MIN(I795,F795*J795)</x:f>
        <x:v>10.241477471458067</x:v>
      </x:c>
      <x:c r="L795" s="103" t="n">
        <x:f>'Inputs &amp; Guide'!$B$5</x:f>
        <x:v>15</x:v>
      </x:c>
      <x:c r="M795" s="103" t="n">
        <x:f>I795*'Inputs &amp; Guide'!$B$6</x:f>
        <x:v>8.20137515914362</x:v>
      </x:c>
      <x:c r="N795" s="103" t="n">
        <x:f>MAX(0,MIN(K795-L795,M795))</x:f>
        <x:v>0</x:v>
      </x:c>
      <x:c r="O795" s="103" t="n">
        <x:f>MAX(0,N795-'Inputs &amp; Guide'!$B$7)</x:f>
        <x:v>0</x:v>
      </x:c>
      <x:c r="P795" s="103" t="n">
        <x:f>N795-O795</x:f>
        <x:v>0</x:v>
      </x:c>
      <x:c r="Q795" s="103" t="n">
        <x:f>I795*'Inputs &amp; Guide'!$B$8</x:f>
        <x:v>0.268408641571973</x:v>
      </x:c>
      <x:c r="R795" s="104" t="n">
        <x:f>IFERROR(P795/Q795,0)</x:f>
        <x:v>0</x:v>
      </x:c>
      <x:c r="S795" s="105" t="n">
        <x:f>ROUND(E795*XLOOKUP(C795,'Reference Tables'!$E$4:$E$12,'Reference Tables'!$G$4:$G$12,1),1)</x:f>
        <x:v>2.4</x:v>
      </x:c>
      <x:c r="T795" s="106" t="str">
        <x:f>IF(R795&gt;='Inputs &amp; Guide'!$B$9,"HIGH",IF(R795&gt;=0.45,"WATCH","NORMAL"))</x:f>
        <x:v>NORMAL</x:v>
      </x:c>
    </x:row>
    <x:row r="796">
      <x:c r="A796" s="95" t="n">
        <x:v>6337</x:v>
      </x:c>
      <x:c r="B796" s="96" t="n">
        <x:v>45556</x:v>
      </x:c>
      <x:c r="C796" s="97" t="str">
        <x:v>Earthquake</x:v>
      </x:c>
      <x:c r="D796" s="97" t="str">
        <x:v>China</x:v>
      </x:c>
      <x:c r="E796" s="98" t="n">
        <x:v>8.948431151274427</x:v>
      </x:c>
      <x:c r="F796" s="99" t="n">
        <x:v>784.4310413442687</x:v>
      </x:c>
      <x:c r="G796" s="100" t="str">
        <x:f>XLOOKUP(D796,'Reference Tables'!$A$4:$A$23,'Reference Tables'!$B$4:$B$23,"Other")</x:f>
        <x:v>Asia Pacific</x:v>
      </x:c>
      <x:c r="H796" s="100" t="str">
        <x:f>VLOOKUP(G796,'Reference Tables'!$I$4:$J$9,2,FALSE)</x:f>
        <x:v>High</x:v>
      </x:c>
      <x:c r="I796" s="101" t="n">
        <x:f>F796*'Inputs &amp; Guide'!$B$4*XLOOKUP(D796,'Reference Tables'!$A$4:$A$23,'Reference Tables'!$C$4:$C$23,0.75)</x:f>
        <x:v>135.54968394428965</x:v>
      </x:c>
      <x:c r="J796" s="102" t="n">
        <x:f>XLOOKUP(C796,'Reference Tables'!$E$4:$E$12,'Reference Tables'!$F$4:$F$12,0.05)</x:f>
        <x:v>0.14</x:v>
      </x:c>
      <x:c r="K796" s="103" t="n">
        <x:f>MIN(I796,F796*J796)</x:f>
        <x:v>109.82034578819763</x:v>
      </x:c>
      <x:c r="L796" s="103" t="n">
        <x:f>'Inputs &amp; Guide'!$B$5</x:f>
        <x:v>15</x:v>
      </x:c>
      <x:c r="M796" s="103" t="n">
        <x:f>I796*'Inputs &amp; Guide'!$B$6</x:f>
        <x:v>74.55232616935932</x:v>
      </x:c>
      <x:c r="N796" s="103" t="n">
        <x:f>MAX(0,MIN(K796-L796,M796))</x:f>
        <x:v>74.55232616935932</x:v>
      </x:c>
      <x:c r="O796" s="103" t="n">
        <x:f>MAX(0,N796-'Inputs &amp; Guide'!$B$7)</x:f>
        <x:v>14.552326169359318</x:v>
      </x:c>
      <x:c r="P796" s="103" t="n">
        <x:f>N796-O796</x:f>
        <x:v>60</x:v>
      </x:c>
      <x:c r="Q796" s="103" t="n">
        <x:f>I796*'Inputs &amp; Guide'!$B$8</x:f>
        <x:v>2.4398943109972135</x:v>
      </x:c>
      <x:c r="R796" s="104" t="n">
        <x:f>IFERROR(P796/Q796,0)</x:f>
        <x:v>24.591229107574456</x:v>
      </x:c>
      <x:c r="S796" s="105" t="n">
        <x:f>ROUND(E796*XLOOKUP(C796,'Reference Tables'!$E$4:$E$12,'Reference Tables'!$G$4:$G$12,1),1)</x:f>
        <x:v>13.4</x:v>
      </x:c>
      <x:c r="T796" s="106" t="str">
        <x:f>IF(R796&gt;='Inputs &amp; Guide'!$B$9,"HIGH",IF(R796&gt;=0.45,"WATCH","NORMAL"))</x:f>
        <x:v>HIGH</x:v>
      </x:c>
    </x:row>
    <x:row r="797">
      <x:c r="A797" s="95" t="n">
        <x:v>6345</x:v>
      </x:c>
      <x:c r="B797" s="96" t="n">
        <x:v>45556.104166666664</x:v>
      </x:c>
      <x:c r="C797" s="97" t="str">
        <x:v>Tornado</x:v>
      </x:c>
      <x:c r="D797" s="97" t="str">
        <x:v>Brazil</x:v>
      </x:c>
      <x:c r="E797" s="98" t="n">
        <x:v>2.001959508718067</x:v>
      </x:c>
      <x:c r="F797" s="99" t="n">
        <x:v>731.2408515153271</x:v>
      </x:c>
      <x:c r="G797" s="100" t="str">
        <x:f>XLOOKUP(D797,'Reference Tables'!$A$4:$A$23,'Reference Tables'!$B$4:$B$23,"Other")</x:f>
        <x:v>Latin America</x:v>
      </x:c>
      <x:c r="H797" s="100" t="str">
        <x:f>VLOOKUP(G797,'Reference Tables'!$I$4:$J$9,2,FALSE)</x:f>
        <x:v>Moderate</x:v>
      </x:c>
      <x:c r="I797" s="101" t="n">
        <x:f>F797*'Inputs &amp; Guide'!$B$4*XLOOKUP(D797,'Reference Tables'!$A$4:$A$23,'Reference Tables'!$C$4:$C$23,0.75)</x:f>
        <x:v>95.93879971881091</x:v>
      </x:c>
      <x:c r="J797" s="102" t="n">
        <x:f>XLOOKUP(C797,'Reference Tables'!$E$4:$E$12,'Reference Tables'!$F$4:$F$12,0.05)</x:f>
        <x:v>0.09</x:v>
      </x:c>
      <x:c r="K797" s="103" t="n">
        <x:f>MIN(I797,F797*J797)</x:f>
        <x:v>65.81167663637943</x:v>
      </x:c>
      <x:c r="L797" s="103" t="n">
        <x:f>'Inputs &amp; Guide'!$B$5</x:f>
        <x:v>15</x:v>
      </x:c>
      <x:c r="M797" s="103" t="n">
        <x:f>I797*'Inputs &amp; Guide'!$B$6</x:f>
        <x:v>52.766339845346</x:v>
      </x:c>
      <x:c r="N797" s="103" t="n">
        <x:f>MAX(0,MIN(K797-L797,M797))</x:f>
        <x:v>50.81167663637943</x:v>
      </x:c>
      <x:c r="O797" s="103" t="n">
        <x:f>MAX(0,N797-'Inputs &amp; Guide'!$B$7)</x:f>
        <x:v>0</x:v>
      </x:c>
      <x:c r="P797" s="103" t="n">
        <x:f>N797-O797</x:f>
        <x:v>50.81167663637943</x:v>
      </x:c>
      <x:c r="Q797" s="103" t="n">
        <x:f>I797*'Inputs &amp; Guide'!$B$8</x:f>
        <x:v>1.7268983949385963</x:v>
      </x:c>
      <x:c r="R797" s="104" t="n">
        <x:f>IFERROR(P797/Q797,0)</x:f>
        <x:v>29.42366313229804</x:v>
      </x:c>
      <x:c r="S797" s="105" t="n">
        <x:f>ROUND(E797*XLOOKUP(C797,'Reference Tables'!$E$4:$E$12,'Reference Tables'!$G$4:$G$12,1),1)</x:f>
        <x:v>2.1</x:v>
      </x:c>
      <x:c r="T797" s="106" t="str">
        <x:f>IF(R797&gt;='Inputs &amp; Guide'!$B$9,"HIGH",IF(R797&gt;=0.45,"WATCH","NORMAL"))</x:f>
        <x:v>HIGH</x:v>
      </x:c>
    </x:row>
    <x:row r="798">
      <x:c r="A798" s="95" t="n">
        <x:v>6353</x:v>
      </x:c>
      <x:c r="B798" s="96" t="n">
        <x:v>45556.4375</x:v>
      </x:c>
      <x:c r="C798" s="97" t="str">
        <x:v>Earthquake</x:v>
      </x:c>
      <x:c r="D798" s="97" t="str">
        <x:v>China</x:v>
      </x:c>
      <x:c r="E798" s="98" t="n">
        <x:v>3.7882284651639715</x:v>
      </x:c>
      <x:c r="F798" s="99" t="n">
        <x:v>294.5891347065256</x:v>
      </x:c>
      <x:c r="G798" s="100" t="str">
        <x:f>XLOOKUP(D798,'Reference Tables'!$A$4:$A$23,'Reference Tables'!$B$4:$B$23,"Other")</x:f>
        <x:v>Asia Pacific</x:v>
      </x:c>
      <x:c r="H798" s="100" t="str">
        <x:f>VLOOKUP(G798,'Reference Tables'!$I$4:$J$9,2,FALSE)</x:f>
        <x:v>High</x:v>
      </x:c>
      <x:c r="I798" s="101" t="n">
        <x:f>F798*'Inputs &amp; Guide'!$B$4*XLOOKUP(D798,'Reference Tables'!$A$4:$A$23,'Reference Tables'!$C$4:$C$23,0.75)</x:f>
        <x:v>50.90500247728763</x:v>
      </x:c>
      <x:c r="J798" s="102" t="n">
        <x:f>XLOOKUP(C798,'Reference Tables'!$E$4:$E$12,'Reference Tables'!$F$4:$F$12,0.05)</x:f>
        <x:v>0.14</x:v>
      </x:c>
      <x:c r="K798" s="103" t="n">
        <x:f>MIN(I798,F798*J798)</x:f>
        <x:v>41.24247885891359</x:v>
      </x:c>
      <x:c r="L798" s="103" t="n">
        <x:f>'Inputs &amp; Guide'!$B$5</x:f>
        <x:v>15</x:v>
      </x:c>
      <x:c r="M798" s="103" t="n">
        <x:f>I798*'Inputs &amp; Guide'!$B$6</x:f>
        <x:v>27.9977513625082</x:v>
      </x:c>
      <x:c r="N798" s="103" t="n">
        <x:f>MAX(0,MIN(K798-L798,M798))</x:f>
        <x:v>26.242478858913593</x:v>
      </x:c>
      <x:c r="O798" s="103" t="n">
        <x:f>MAX(0,N798-'Inputs &amp; Guide'!$B$7)</x:f>
        <x:v>0</x:v>
      </x:c>
      <x:c r="P798" s="103" t="n">
        <x:f>N798-O798</x:f>
        <x:v>26.242478858913593</x:v>
      </x:c>
      <x:c r="Q798" s="103" t="n">
        <x:f>I798*'Inputs &amp; Guide'!$B$8</x:f>
        <x:v>0.9162900445911772</x:v>
      </x:c>
      <x:c r="R798" s="104" t="n">
        <x:f>IFERROR(P798/Q798,0)</x:f>
        <x:v>28.63992576785252</x:v>
      </x:c>
      <x:c r="S798" s="105" t="n">
        <x:f>ROUND(E798*XLOOKUP(C798,'Reference Tables'!$E$4:$E$12,'Reference Tables'!$G$4:$G$12,1),1)</x:f>
        <x:v>5.7</x:v>
      </x:c>
      <x:c r="T798" s="106" t="str">
        <x:f>IF(R798&gt;='Inputs &amp; Guide'!$B$9,"HIGH",IF(R798&gt;=0.45,"WATCH","NORMAL"))</x:f>
        <x:v>HIGH</x:v>
      </x:c>
    </x:row>
    <x:row r="799">
      <x:c r="A799" s="95" t="n">
        <x:v>6361</x:v>
      </x:c>
      <x:c r="B799" s="96" t="n">
        <x:v>45557</x:v>
      </x:c>
      <x:c r="C799" s="97" t="str">
        <x:v>Earthquake</x:v>
      </x:c>
      <x:c r="D799" s="97" t="str">
        <x:v>China</x:v>
      </x:c>
      <x:c r="E799" s="98" t="n">
        <x:v>7.617657226595827</x:v>
      </x:c>
      <x:c r="F799" s="99" t="n">
        <x:v>936.9147666629957</x:v>
      </x:c>
      <x:c r="G799" s="100" t="str">
        <x:f>XLOOKUP(D799,'Reference Tables'!$A$4:$A$23,'Reference Tables'!$B$4:$B$23,"Other")</x:f>
        <x:v>Asia Pacific</x:v>
      </x:c>
      <x:c r="H799" s="100" t="str">
        <x:f>VLOOKUP(G799,'Reference Tables'!$I$4:$J$9,2,FALSE)</x:f>
        <x:v>High</x:v>
      </x:c>
      <x:c r="I799" s="101" t="n">
        <x:f>F799*'Inputs &amp; Guide'!$B$4*XLOOKUP(D799,'Reference Tables'!$A$4:$A$23,'Reference Tables'!$C$4:$C$23,0.75)</x:f>
        <x:v>161.89887167936567</x:v>
      </x:c>
      <x:c r="J799" s="102" t="n">
        <x:f>XLOOKUP(C799,'Reference Tables'!$E$4:$E$12,'Reference Tables'!$F$4:$F$12,0.05)</x:f>
        <x:v>0.14</x:v>
      </x:c>
      <x:c r="K799" s="103" t="n">
        <x:f>MIN(I799,F799*J799)</x:f>
        <x:v>131.16806733281942</x:v>
      </x:c>
      <x:c r="L799" s="103" t="n">
        <x:f>'Inputs &amp; Guide'!$B$5</x:f>
        <x:v>15</x:v>
      </x:c>
      <x:c r="M799" s="103" t="n">
        <x:f>I799*'Inputs &amp; Guide'!$B$6</x:f>
        <x:v>89.04437942365112</x:v>
      </x:c>
      <x:c r="N799" s="103" t="n">
        <x:f>MAX(0,MIN(K799-L799,M799))</x:f>
        <x:v>89.04437942365112</x:v>
      </x:c>
      <x:c r="O799" s="103" t="n">
        <x:f>MAX(0,N799-'Inputs &amp; Guide'!$B$7)</x:f>
        <x:v>29.044379423651122</x:v>
      </x:c>
      <x:c r="P799" s="103" t="n">
        <x:f>N799-O799</x:f>
        <x:v>60</x:v>
      </x:c>
      <x:c r="Q799" s="103" t="n">
        <x:f>I799*'Inputs &amp; Guide'!$B$8</x:f>
        <x:v>2.9141796902285817</x:v>
      </x:c>
      <x:c r="R799" s="104" t="n">
        <x:f>IFERROR(P799/Q799,0)</x:f>
        <x:v>20.588984337919715</x:v>
      </x:c>
      <x:c r="S799" s="105" t="n">
        <x:f>ROUND(E799*XLOOKUP(C799,'Reference Tables'!$E$4:$E$12,'Reference Tables'!$G$4:$G$12,1),1)</x:f>
        <x:v>11.4</x:v>
      </x:c>
      <x:c r="T799" s="106" t="str">
        <x:f>IF(R799&gt;='Inputs &amp; Guide'!$B$9,"HIGH",IF(R799&gt;=0.45,"WATCH","NORMAL"))</x:f>
        <x:v>HIGH</x:v>
      </x:c>
    </x:row>
    <x:row r="800">
      <x:c r="A800" s="95" t="n">
        <x:v>6369</x:v>
      </x:c>
      <x:c r="B800" s="96" t="n">
        <x:v>45557.104166666664</x:v>
      </x:c>
      <x:c r="C800" s="97" t="str">
        <x:v>Flood</x:v>
      </x:c>
      <x:c r="D800" s="97" t="str">
        <x:v>Brazil</x:v>
      </x:c>
      <x:c r="E800" s="98" t="n">
        <x:v>4.344541960340523</x:v>
      </x:c>
      <x:c r="F800" s="99" t="n">
        <x:v>728.0875978988547</x:v>
      </x:c>
      <x:c r="G800" s="100" t="str">
        <x:f>XLOOKUP(D800,'Reference Tables'!$A$4:$A$23,'Reference Tables'!$B$4:$B$23,"Other")</x:f>
        <x:v>Latin America</x:v>
      </x:c>
      <x:c r="H800" s="100" t="str">
        <x:f>VLOOKUP(G800,'Reference Tables'!$I$4:$J$9,2,FALSE)</x:f>
        <x:v>Moderate</x:v>
      </x:c>
      <x:c r="I800" s="101" t="n">
        <x:f>F800*'Inputs &amp; Guide'!$B$4*XLOOKUP(D800,'Reference Tables'!$A$4:$A$23,'Reference Tables'!$C$4:$C$23,0.75)</x:f>
        <x:v>95.52509284432973</x:v>
      </x:c>
      <x:c r="J800" s="102" t="n">
        <x:f>XLOOKUP(C800,'Reference Tables'!$E$4:$E$12,'Reference Tables'!$F$4:$F$12,0.05)</x:f>
        <x:v>0.12</x:v>
      </x:c>
      <x:c r="K800" s="103" t="n">
        <x:f>MIN(I800,F800*J800)</x:f>
        <x:v>87.37051174786257</x:v>
      </x:c>
      <x:c r="L800" s="103" t="n">
        <x:f>'Inputs &amp; Guide'!$B$5</x:f>
        <x:v>15</x:v>
      </x:c>
      <x:c r="M800" s="103" t="n">
        <x:f>I800*'Inputs &amp; Guide'!$B$6</x:f>
        <x:v>52.53880106438136</x:v>
      </x:c>
      <x:c r="N800" s="103" t="n">
        <x:f>MAX(0,MIN(K800-L800,M800))</x:f>
        <x:v>52.53880106438136</x:v>
      </x:c>
      <x:c r="O800" s="103" t="n">
        <x:f>MAX(0,N800-'Inputs &amp; Guide'!$B$7)</x:f>
        <x:v>0</x:v>
      </x:c>
      <x:c r="P800" s="103" t="n">
        <x:f>N800-O800</x:f>
        <x:v>52.53880106438136</x:v>
      </x:c>
      <x:c r="Q800" s="103" t="n">
        <x:f>I800*'Inputs &amp; Guide'!$B$8</x:f>
        <x:v>1.719451671197935</x:v>
      </x:c>
      <x:c r="R800" s="104" t="n">
        <x:f>IFERROR(P800/Q800,0)</x:f>
        <x:v>30.55555555555556</x:v>
      </x:c>
      <x:c r="S800" s="105" t="n">
        <x:f>ROUND(E800*XLOOKUP(C800,'Reference Tables'!$E$4:$E$12,'Reference Tables'!$G$4:$G$12,1),1)</x:f>
        <x:v>5.4</x:v>
      </x:c>
      <x:c r="T800" s="106" t="str">
        <x:f>IF(R800&gt;='Inputs &amp; Guide'!$B$9,"HIGH",IF(R800&gt;=0.45,"WATCH","NORMAL"))</x:f>
        <x:v>HIGH</x:v>
      </x:c>
    </x:row>
    <x:row r="801">
      <x:c r="A801" s="95" t="n">
        <x:v>6377</x:v>
      </x:c>
      <x:c r="B801" s="96" t="n">
        <x:v>45557.4375</x:v>
      </x:c>
      <x:c r="C801" s="97" t="str">
        <x:v>Tornado</x:v>
      </x:c>
      <x:c r="D801" s="97" t="str">
        <x:v>China</x:v>
      </x:c>
      <x:c r="E801" s="98" t="n">
        <x:v>8.11323786661604</x:v>
      </x:c>
      <x:c r="F801" s="99" t="n">
        <x:v>60.834716253591566</x:v>
      </x:c>
      <x:c r="G801" s="100" t="str">
        <x:f>XLOOKUP(D801,'Reference Tables'!$A$4:$A$23,'Reference Tables'!$B$4:$B$23,"Other")</x:f>
        <x:v>Asia Pacific</x:v>
      </x:c>
      <x:c r="H801" s="100" t="str">
        <x:f>VLOOKUP(G801,'Reference Tables'!$I$4:$J$9,2,FALSE)</x:f>
        <x:v>High</x:v>
      </x:c>
      <x:c r="I801" s="101" t="n">
        <x:f>F801*'Inputs &amp; Guide'!$B$4*XLOOKUP(D801,'Reference Tables'!$A$4:$A$23,'Reference Tables'!$C$4:$C$23,0.75)</x:f>
        <x:v>10.512238968620624</x:v>
      </x:c>
      <x:c r="J801" s="102" t="n">
        <x:f>XLOOKUP(C801,'Reference Tables'!$E$4:$E$12,'Reference Tables'!$F$4:$F$12,0.05)</x:f>
        <x:v>0.09</x:v>
      </x:c>
      <x:c r="K801" s="103" t="n">
        <x:f>MIN(I801,F801*J801)</x:f>
        <x:v>5.47512446282324</x:v>
      </x:c>
      <x:c r="L801" s="103" t="n">
        <x:f>'Inputs &amp; Guide'!$B$5</x:f>
        <x:v>15</x:v>
      </x:c>
      <x:c r="M801" s="103" t="n">
        <x:f>I801*'Inputs &amp; Guide'!$B$6</x:f>
        <x:v>5.781731432741344</x:v>
      </x:c>
      <x:c r="N801" s="103" t="n">
        <x:f>MAX(0,MIN(K801-L801,M801))</x:f>
        <x:v>0</x:v>
      </x:c>
      <x:c r="O801" s="103" t="n">
        <x:f>MAX(0,N801-'Inputs &amp; Guide'!$B$7)</x:f>
        <x:v>0</x:v>
      </x:c>
      <x:c r="P801" s="103" t="n">
        <x:f>N801-O801</x:f>
        <x:v>0</x:v>
      </x:c>
      <x:c r="Q801" s="103" t="n">
        <x:f>I801*'Inputs &amp; Guide'!$B$8</x:f>
        <x:v>0.1892203014351712</x:v>
      </x:c>
      <x:c r="R801" s="104" t="n">
        <x:f>IFERROR(P801/Q801,0)</x:f>
        <x:v>0</x:v>
      </x:c>
      <x:c r="S801" s="105" t="n">
        <x:f>ROUND(E801*XLOOKUP(C801,'Reference Tables'!$E$4:$E$12,'Reference Tables'!$G$4:$G$12,1),1)</x:f>
        <x:v>8.5</x:v>
      </x:c>
      <x:c r="T801" s="106" t="str">
        <x:f>IF(R801&gt;='Inputs &amp; Guide'!$B$9,"HIGH",IF(R801&gt;=0.45,"WATCH","NORMAL"))</x:f>
        <x:v>NORMAL</x:v>
      </x:c>
    </x:row>
    <x:row r="802">
      <x:c r="A802" s="95" t="n">
        <x:v>6385</x:v>
      </x:c>
      <x:c r="B802" s="96" t="n">
        <x:v>45558</x:v>
      </x:c>
      <x:c r="C802" s="97" t="str">
        <x:v>Earthquake</x:v>
      </x:c>
      <x:c r="D802" s="97" t="str">
        <x:v>Brazil</x:v>
      </x:c>
      <x:c r="E802" s="98" t="n">
        <x:v>9.521059908858277</x:v>
      </x:c>
      <x:c r="F802" s="99" t="n">
        <x:v>325.1544674736366</x:v>
      </x:c>
      <x:c r="G802" s="100" t="str">
        <x:f>XLOOKUP(D802,'Reference Tables'!$A$4:$A$23,'Reference Tables'!$B$4:$B$23,"Other")</x:f>
        <x:v>Latin America</x:v>
      </x:c>
      <x:c r="H802" s="100" t="str">
        <x:f>VLOOKUP(G802,'Reference Tables'!$I$4:$J$9,2,FALSE)</x:f>
        <x:v>Moderate</x:v>
      </x:c>
      <x:c r="I802" s="101" t="n">
        <x:f>F802*'Inputs &amp; Guide'!$B$4*XLOOKUP(D802,'Reference Tables'!$A$4:$A$23,'Reference Tables'!$C$4:$C$23,0.75)</x:f>
        <x:v>42.66026613254112</x:v>
      </x:c>
      <x:c r="J802" s="102" t="n">
        <x:f>XLOOKUP(C802,'Reference Tables'!$E$4:$E$12,'Reference Tables'!$F$4:$F$12,0.05)</x:f>
        <x:v>0.14</x:v>
      </x:c>
      <x:c r="K802" s="103" t="n">
        <x:f>MIN(I802,F802*J802)</x:f>
        <x:v>42.66026613254112</x:v>
      </x:c>
      <x:c r="L802" s="103" t="n">
        <x:f>'Inputs &amp; Guide'!$B$5</x:f>
        <x:v>15</x:v>
      </x:c>
      <x:c r="M802" s="103" t="n">
        <x:f>I802*'Inputs &amp; Guide'!$B$6</x:f>
        <x:v>23.463146372897615</x:v>
      </x:c>
      <x:c r="N802" s="103" t="n">
        <x:f>MAX(0,MIN(K802-L802,M802))</x:f>
        <x:v>23.463146372897615</x:v>
      </x:c>
      <x:c r="O802" s="103" t="n">
        <x:f>MAX(0,N802-'Inputs &amp; Guide'!$B$7)</x:f>
        <x:v>0</x:v>
      </x:c>
      <x:c r="P802" s="103" t="n">
        <x:f>N802-O802</x:f>
        <x:v>23.463146372897615</x:v>
      </x:c>
      <x:c r="Q802" s="103" t="n">
        <x:f>I802*'Inputs &amp; Guide'!$B$8</x:f>
        <x:v>0.7678847903857401</x:v>
      </x:c>
      <x:c r="R802" s="104" t="n">
        <x:f>IFERROR(P802/Q802,0)</x:f>
        <x:v>30.555555555555557</x:v>
      </x:c>
      <x:c r="S802" s="105" t="n">
        <x:f>ROUND(E802*XLOOKUP(C802,'Reference Tables'!$E$4:$E$12,'Reference Tables'!$G$4:$G$12,1),1)</x:f>
        <x:v>14.3</x:v>
      </x:c>
      <x:c r="T802" s="106" t="str">
        <x:f>IF(R802&gt;='Inputs &amp; Guide'!$B$9,"HIGH",IF(R802&gt;=0.45,"WATCH","NORMAL"))</x:f>
        <x:v>HIGH</x:v>
      </x:c>
    </x:row>
    <x:row r="803">
      <x:c r="A803" s="95" t="n">
        <x:v>6393</x:v>
      </x:c>
      <x:c r="B803" s="96" t="n">
        <x:v>45558.104166666664</x:v>
      </x:c>
      <x:c r="C803" s="97" t="str">
        <x:v>Tornado</x:v>
      </x:c>
      <x:c r="D803" s="97" t="str">
        <x:v>USA</x:v>
      </x:c>
      <x:c r="E803" s="98" t="n">
        <x:v>4.673783847679104</x:v>
      </x:c>
      <x:c r="F803" s="99" t="n">
        <x:v>897.9464671586536</x:v>
      </x:c>
      <x:c r="G803" s="100" t="str">
        <x:f>XLOOKUP(D803,'Reference Tables'!$A$4:$A$23,'Reference Tables'!$B$4:$B$23,"Other")</x:f>
        <x:v>Other</x:v>
      </x:c>
      <x:c r="H803" s="100" t="str">
        <x:f>VLOOKUP(G803,'Reference Tables'!$I$4:$J$9,2,FALSE)</x:f>
        <x:v>Moderate</x:v>
      </x:c>
      <x:c r="I803" s="101" t="n">
        <x:f>F803*'Inputs &amp; Guide'!$B$4*XLOOKUP(D803,'Reference Tables'!$A$4:$A$23,'Reference Tables'!$C$4:$C$23,0.75)</x:f>
        <x:v>107.75357605903844</x:v>
      </x:c>
      <x:c r="J803" s="102" t="n">
        <x:f>XLOOKUP(C803,'Reference Tables'!$E$4:$E$12,'Reference Tables'!$F$4:$F$12,0.05)</x:f>
        <x:v>0.09</x:v>
      </x:c>
      <x:c r="K803" s="103" t="n">
        <x:f>MIN(I803,F803*J803)</x:f>
        <x:v>80.81518204427883</x:v>
      </x:c>
      <x:c r="L803" s="103" t="n">
        <x:f>'Inputs &amp; Guide'!$B$5</x:f>
        <x:v>15</x:v>
      </x:c>
      <x:c r="M803" s="103" t="n">
        <x:f>I803*'Inputs &amp; Guide'!$B$6</x:f>
        <x:v>59.26446683247114</x:v>
      </x:c>
      <x:c r="N803" s="103" t="n">
        <x:f>MAX(0,MIN(K803-L803,M803))</x:f>
        <x:v>59.26446683247114</x:v>
      </x:c>
      <x:c r="O803" s="103" t="n">
        <x:f>MAX(0,N803-'Inputs &amp; Guide'!$B$7)</x:f>
        <x:v>0</x:v>
      </x:c>
      <x:c r="P803" s="103" t="n">
        <x:f>N803-O803</x:f>
        <x:v>59.26446683247114</x:v>
      </x:c>
      <x:c r="Q803" s="103" t="n">
        <x:f>I803*'Inputs &amp; Guide'!$B$8</x:f>
        <x:v>1.9395643690626918</x:v>
      </x:c>
      <x:c r="R803" s="104" t="n">
        <x:f>IFERROR(P803/Q803,0)</x:f>
        <x:v>30.555555555555557</x:v>
      </x:c>
      <x:c r="S803" s="105" t="n">
        <x:f>ROUND(E803*XLOOKUP(C803,'Reference Tables'!$E$4:$E$12,'Reference Tables'!$G$4:$G$12,1),1)</x:f>
        <x:v>4.9</x:v>
      </x:c>
      <x:c r="T803" s="106" t="str">
        <x:f>IF(R803&gt;='Inputs &amp; Guide'!$B$9,"HIGH",IF(R803&gt;=0.45,"WATCH","NORMAL"))</x:f>
        <x:v>HIGH</x:v>
      </x:c>
    </x:row>
    <x:row r="804">
      <x:c r="A804" s="95" t="n">
        <x:v>6401</x:v>
      </x:c>
      <x:c r="B804" s="96" t="n">
        <x:v>45558.4375</x:v>
      </x:c>
      <x:c r="C804" s="97" t="str">
        <x:v>Flood</x:v>
      </x:c>
      <x:c r="D804" s="97" t="str">
        <x:v>Brazil</x:v>
      </x:c>
      <x:c r="E804" s="98" t="n">
        <x:v>5.350390177860913</x:v>
      </x:c>
      <x:c r="F804" s="99" t="n">
        <x:v>705.3463717855841</x:v>
      </x:c>
      <x:c r="G804" s="100" t="str">
        <x:f>XLOOKUP(D804,'Reference Tables'!$A$4:$A$23,'Reference Tables'!$B$4:$B$23,"Other")</x:f>
        <x:v>Latin America</x:v>
      </x:c>
      <x:c r="H804" s="100" t="str">
        <x:f>VLOOKUP(G804,'Reference Tables'!$I$4:$J$9,2,FALSE)</x:f>
        <x:v>Moderate</x:v>
      </x:c>
      <x:c r="I804" s="101" t="n">
        <x:f>F804*'Inputs &amp; Guide'!$B$4*XLOOKUP(D804,'Reference Tables'!$A$4:$A$23,'Reference Tables'!$C$4:$C$23,0.75)</x:f>
        <x:v>92.54144397826863</x:v>
      </x:c>
      <x:c r="J804" s="102" t="n">
        <x:f>XLOOKUP(C804,'Reference Tables'!$E$4:$E$12,'Reference Tables'!$F$4:$F$12,0.05)</x:f>
        <x:v>0.12</x:v>
      </x:c>
      <x:c r="K804" s="103" t="n">
        <x:f>MIN(I804,F804*J804)</x:f>
        <x:v>84.6415646142701</x:v>
      </x:c>
      <x:c r="L804" s="103" t="n">
        <x:f>'Inputs &amp; Guide'!$B$5</x:f>
        <x:v>15</x:v>
      </x:c>
      <x:c r="M804" s="103" t="n">
        <x:f>I804*'Inputs &amp; Guide'!$B$6</x:f>
        <x:v>50.897794188047754</x:v>
      </x:c>
      <x:c r="N804" s="103" t="n">
        <x:f>MAX(0,MIN(K804-L804,M804))</x:f>
        <x:v>50.897794188047754</x:v>
      </x:c>
      <x:c r="O804" s="103" t="n">
        <x:f>MAX(0,N804-'Inputs &amp; Guide'!$B$7)</x:f>
        <x:v>0</x:v>
      </x:c>
      <x:c r="P804" s="103" t="n">
        <x:f>N804-O804</x:f>
        <x:v>50.897794188047754</x:v>
      </x:c>
      <x:c r="Q804" s="103" t="n">
        <x:f>I804*'Inputs &amp; Guide'!$B$8</x:f>
        <x:v>1.6657459916088353</x:v>
      </x:c>
      <x:c r="R804" s="104" t="n">
        <x:f>IFERROR(P804/Q804,0)</x:f>
        <x:v>30.55555555555556</x:v>
      </x:c>
      <x:c r="S804" s="105" t="n">
        <x:f>ROUND(E804*XLOOKUP(C804,'Reference Tables'!$E$4:$E$12,'Reference Tables'!$G$4:$G$12,1),1)</x:f>
        <x:v>6.7</x:v>
      </x:c>
      <x:c r="T804" s="106" t="str">
        <x:f>IF(R804&gt;='Inputs &amp; Guide'!$B$9,"HIGH",IF(R804&gt;=0.45,"WATCH","NORMAL"))</x:f>
        <x:v>HIGH</x:v>
      </x:c>
    </x:row>
    <x:row r="805">
      <x:c r="A805" s="95" t="n">
        <x:v>6409</x:v>
      </x:c>
      <x:c r="B805" s="96" t="n">
        <x:v>45559</x:v>
      </x:c>
      <x:c r="C805" s="97" t="str">
        <x:v>Hurricane</x:v>
      </x:c>
      <x:c r="D805" s="97" t="str">
        <x:v>China</x:v>
      </x:c>
      <x:c r="E805" s="98" t="n">
        <x:v>7.324486891294472</x:v>
      </x:c>
      <x:c r="F805" s="99" t="n">
        <x:v>286.2795481270122</x:v>
      </x:c>
      <x:c r="G805" s="100" t="str">
        <x:f>XLOOKUP(D805,'Reference Tables'!$A$4:$A$23,'Reference Tables'!$B$4:$B$23,"Other")</x:f>
        <x:v>Asia Pacific</x:v>
      </x:c>
      <x:c r="H805" s="100" t="str">
        <x:f>VLOOKUP(G805,'Reference Tables'!$I$4:$J$9,2,FALSE)</x:f>
        <x:v>High</x:v>
      </x:c>
      <x:c r="I805" s="101" t="n">
        <x:f>F805*'Inputs &amp; Guide'!$B$4*XLOOKUP(D805,'Reference Tables'!$A$4:$A$23,'Reference Tables'!$C$4:$C$23,0.75)</x:f>
        <x:v>49.469105916347715</x:v>
      </x:c>
      <x:c r="J805" s="102" t="n">
        <x:f>XLOOKUP(C805,'Reference Tables'!$E$4:$E$12,'Reference Tables'!$F$4:$F$12,0.05)</x:f>
        <x:v>0.18</x:v>
      </x:c>
      <x:c r="K805" s="103" t="n">
        <x:f>MIN(I805,F805*J805)</x:f>
        <x:v>49.469105916347715</x:v>
      </x:c>
      <x:c r="L805" s="103" t="n">
        <x:f>'Inputs &amp; Guide'!$B$5</x:f>
        <x:v>15</x:v>
      </x:c>
      <x:c r="M805" s="103" t="n">
        <x:f>I805*'Inputs &amp; Guide'!$B$6</x:f>
        <x:v>27.208008253991245</x:v>
      </x:c>
      <x:c r="N805" s="103" t="n">
        <x:f>MAX(0,MIN(K805-L805,M805))</x:f>
        <x:v>27.208008253991245</x:v>
      </x:c>
      <x:c r="O805" s="103" t="n">
        <x:f>MAX(0,N805-'Inputs &amp; Guide'!$B$7)</x:f>
        <x:v>0</x:v>
      </x:c>
      <x:c r="P805" s="103" t="n">
        <x:f>N805-O805</x:f>
        <x:v>27.208008253991245</x:v>
      </x:c>
      <x:c r="Q805" s="103" t="n">
        <x:f>I805*'Inputs &amp; Guide'!$B$8</x:f>
        <x:v>0.8904439064942588</x:v>
      </x:c>
      <x:c r="R805" s="104" t="n">
        <x:f>IFERROR(P805/Q805,0)</x:f>
        <x:v>30.55555555555556</x:v>
      </x:c>
      <x:c r="S805" s="105" t="n">
        <x:f>ROUND(E805*XLOOKUP(C805,'Reference Tables'!$E$4:$E$12,'Reference Tables'!$G$4:$G$12,1),1)</x:f>
        <x:v>10.3</x:v>
      </x:c>
      <x:c r="T805" s="106" t="str">
        <x:f>IF(R805&gt;='Inputs &amp; Guide'!$B$9,"HIGH",IF(R805&gt;=0.45,"WATCH","NORMAL"))</x:f>
        <x:v>HIGH</x:v>
      </x:c>
    </x:row>
    <x:row r="806">
      <x:c r="A806" s="95" t="n">
        <x:v>6417</x:v>
      </x:c>
      <x:c r="B806" s="96" t="n">
        <x:v>45559.104166666664</x:v>
      </x:c>
      <x:c r="C806" s="97" t="str">
        <x:v>Earthquake</x:v>
      </x:c>
      <x:c r="D806" s="97" t="str">
        <x:v>Japan</x:v>
      </x:c>
      <x:c r="E806" s="98" t="n">
        <x:v>8.725371241571652</x:v>
      </x:c>
      <x:c r="F806" s="99" t="n">
        <x:v>44.105568818372745</x:v>
      </x:c>
      <x:c r="G806" s="100" t="str">
        <x:f>XLOOKUP(D806,'Reference Tables'!$A$4:$A$23,'Reference Tables'!$B$4:$B$23,"Other")</x:f>
        <x:v>Asia Pacific</x:v>
      </x:c>
      <x:c r="H806" s="100" t="str">
        <x:f>VLOOKUP(G806,'Reference Tables'!$I$4:$J$9,2,FALSE)</x:f>
        <x:v>High</x:v>
      </x:c>
      <x:c r="I806" s="101" t="n">
        <x:f>F806*'Inputs &amp; Guide'!$B$4*XLOOKUP(D806,'Reference Tables'!$A$4:$A$23,'Reference Tables'!$C$4:$C$23,0.75)</x:f>
        <x:v>8.327131392908774</x:v>
      </x:c>
      <x:c r="J806" s="102" t="n">
        <x:f>XLOOKUP(C806,'Reference Tables'!$E$4:$E$12,'Reference Tables'!$F$4:$F$12,0.05)</x:f>
        <x:v>0.14</x:v>
      </x:c>
      <x:c r="K806" s="103" t="n">
        <x:f>MIN(I806,F806*J806)</x:f>
        <x:v>6.174779634572185</x:v>
      </x:c>
      <x:c r="L806" s="103" t="n">
        <x:f>'Inputs &amp; Guide'!$B$5</x:f>
        <x:v>15</x:v>
      </x:c>
      <x:c r="M806" s="103" t="n">
        <x:f>I806*'Inputs &amp; Guide'!$B$6</x:f>
        <x:v>4.579922266099826</x:v>
      </x:c>
      <x:c r="N806" s="103" t="n">
        <x:f>MAX(0,MIN(K806-L806,M806))</x:f>
        <x:v>0</x:v>
      </x:c>
      <x:c r="O806" s="103" t="n">
        <x:f>MAX(0,N806-'Inputs &amp; Guide'!$B$7)</x:f>
        <x:v>0</x:v>
      </x:c>
      <x:c r="P806" s="103" t="n">
        <x:f>N806-O806</x:f>
        <x:v>0</x:v>
      </x:c>
      <x:c r="Q806" s="103" t="n">
        <x:f>I806*'Inputs &amp; Guide'!$B$8</x:f>
        <x:v>0.14988836507235792</x:v>
      </x:c>
      <x:c r="R806" s="104" t="n">
        <x:f>IFERROR(P806/Q806,0)</x:f>
        <x:v>0</x:v>
      </x:c>
      <x:c r="S806" s="105" t="n">
        <x:f>ROUND(E806*XLOOKUP(C806,'Reference Tables'!$E$4:$E$12,'Reference Tables'!$G$4:$G$12,1),1)</x:f>
        <x:v>13.1</x:v>
      </x:c>
      <x:c r="T806" s="106" t="str">
        <x:f>IF(R806&gt;='Inputs &amp; Guide'!$B$9,"HIGH",IF(R806&gt;=0.45,"WATCH","NORMAL"))</x:f>
        <x:v>NORMAL</x:v>
      </x:c>
    </x:row>
    <x:row r="807">
      <x:c r="A807" s="95" t="n">
        <x:v>6425</x:v>
      </x:c>
      <x:c r="B807" s="96" t="n">
        <x:v>45559.4375</x:v>
      </x:c>
      <x:c r="C807" s="97" t="str">
        <x:v>Flood</x:v>
      </x:c>
      <x:c r="D807" s="97" t="str">
        <x:v>USA</x:v>
      </x:c>
      <x:c r="E807" s="98" t="n">
        <x:v>4.31362970913146</x:v>
      </x:c>
      <x:c r="F807" s="99" t="n">
        <x:v>32.318543139896526</x:v>
      </x:c>
      <x:c r="G807" s="100" t="str">
        <x:f>XLOOKUP(D807,'Reference Tables'!$A$4:$A$23,'Reference Tables'!$B$4:$B$23,"Other")</x:f>
        <x:v>Other</x:v>
      </x:c>
      <x:c r="H807" s="100" t="str">
        <x:f>VLOOKUP(G807,'Reference Tables'!$I$4:$J$9,2,FALSE)</x:f>
        <x:v>Moderate</x:v>
      </x:c>
      <x:c r="I807" s="101" t="n">
        <x:f>F807*'Inputs &amp; Guide'!$B$4*XLOOKUP(D807,'Reference Tables'!$A$4:$A$23,'Reference Tables'!$C$4:$C$23,0.75)</x:f>
        <x:v>3.8782251767875833</x:v>
      </x:c>
      <x:c r="J807" s="102" t="n">
        <x:f>XLOOKUP(C807,'Reference Tables'!$E$4:$E$12,'Reference Tables'!$F$4:$F$12,0.05)</x:f>
        <x:v>0.12</x:v>
      </x:c>
      <x:c r="K807" s="103" t="n">
        <x:f>MIN(I807,F807*J807)</x:f>
        <x:v>3.878225176787583</x:v>
      </x:c>
      <x:c r="L807" s="103" t="n">
        <x:f>'Inputs &amp; Guide'!$B$5</x:f>
        <x:v>15</x:v>
      </x:c>
      <x:c r="M807" s="103" t="n">
        <x:f>I807*'Inputs &amp; Guide'!$B$6</x:f>
        <x:v>2.133023847233171</x:v>
      </x:c>
      <x:c r="N807" s="103" t="n">
        <x:f>MAX(0,MIN(K807-L807,M807))</x:f>
        <x:v>0</x:v>
      </x:c>
      <x:c r="O807" s="103" t="n">
        <x:f>MAX(0,N807-'Inputs &amp; Guide'!$B$7)</x:f>
        <x:v>0</x:v>
      </x:c>
      <x:c r="P807" s="103" t="n">
        <x:f>N807-O807</x:f>
        <x:v>0</x:v>
      </x:c>
      <x:c r="Q807" s="103" t="n">
        <x:f>I807*'Inputs &amp; Guide'!$B$8</x:f>
        <x:v>0.06980805318217649</x:v>
      </x:c>
      <x:c r="R807" s="104" t="n">
        <x:f>IFERROR(P807/Q807,0)</x:f>
        <x:v>0</x:v>
      </x:c>
      <x:c r="S807" s="105" t="n">
        <x:f>ROUND(E807*XLOOKUP(C807,'Reference Tables'!$E$4:$E$12,'Reference Tables'!$G$4:$G$12,1),1)</x:f>
        <x:v>5.4</x:v>
      </x:c>
      <x:c r="T807" s="106" t="str">
        <x:f>IF(R807&gt;='Inputs &amp; Guide'!$B$9,"HIGH",IF(R807&gt;=0.45,"WATCH","NORMAL"))</x:f>
        <x:v>NORMAL</x:v>
      </x:c>
    </x:row>
    <x:row r="808">
      <x:c r="A808" s="95" t="n">
        <x:v>6433</x:v>
      </x:c>
      <x:c r="B808" s="96" t="n">
        <x:v>45560</x:v>
      </x:c>
      <x:c r="C808" s="97" t="str">
        <x:v>Tornado</x:v>
      </x:c>
      <x:c r="D808" s="97" t="str">
        <x:v>Brazil</x:v>
      </x:c>
      <x:c r="E808" s="98" t="n">
        <x:v>6.349702459526647</x:v>
      </x:c>
      <x:c r="F808" s="99" t="n">
        <x:v>629.7412422895243</x:v>
      </x:c>
      <x:c r="G808" s="100" t="str">
        <x:f>XLOOKUP(D808,'Reference Tables'!$A$4:$A$23,'Reference Tables'!$B$4:$B$23,"Other")</x:f>
        <x:v>Latin America</x:v>
      </x:c>
      <x:c r="H808" s="100" t="str">
        <x:f>VLOOKUP(G808,'Reference Tables'!$I$4:$J$9,2,FALSE)</x:f>
        <x:v>Moderate</x:v>
      </x:c>
      <x:c r="I808" s="101" t="n">
        <x:f>F808*'Inputs &amp; Guide'!$B$4*XLOOKUP(D808,'Reference Tables'!$A$4:$A$23,'Reference Tables'!$C$4:$C$23,0.75)</x:f>
        <x:v>82.62205098838558</x:v>
      </x:c>
      <x:c r="J808" s="102" t="n">
        <x:f>XLOOKUP(C808,'Reference Tables'!$E$4:$E$12,'Reference Tables'!$F$4:$F$12,0.05)</x:f>
        <x:v>0.09</x:v>
      </x:c>
      <x:c r="K808" s="103" t="n">
        <x:f>MIN(I808,F808*J808)</x:f>
        <x:v>56.676711806057185</x:v>
      </x:c>
      <x:c r="L808" s="103" t="n">
        <x:f>'Inputs &amp; Guide'!$B$5</x:f>
        <x:v>15</x:v>
      </x:c>
      <x:c r="M808" s="103" t="n">
        <x:f>I808*'Inputs &amp; Guide'!$B$6</x:f>
        <x:v>45.44212804361207</x:v>
      </x:c>
      <x:c r="N808" s="103" t="n">
        <x:f>MAX(0,MIN(K808-L808,M808))</x:f>
        <x:v>41.676711806057185</x:v>
      </x:c>
      <x:c r="O808" s="103" t="n">
        <x:f>MAX(0,N808-'Inputs &amp; Guide'!$B$7)</x:f>
        <x:v>0</x:v>
      </x:c>
      <x:c r="P808" s="103" t="n">
        <x:f>N808-O808</x:f>
        <x:v>41.676711806057185</x:v>
      </x:c>
      <x:c r="Q808" s="103" t="n">
        <x:f>I808*'Inputs &amp; Guide'!$B$8</x:f>
        <x:v>1.4871969177909403</x:v>
      </x:c>
      <x:c r="R808" s="104" t="n">
        <x:f>IFERROR(P808/Q808,0)</x:f>
        <x:v>28.02366741585448</x:v>
      </x:c>
      <x:c r="S808" s="105" t="n">
        <x:f>ROUND(E808*XLOOKUP(C808,'Reference Tables'!$E$4:$E$12,'Reference Tables'!$G$4:$G$12,1),1)</x:f>
        <x:v>6.7</x:v>
      </x:c>
      <x:c r="T808" s="106" t="str">
        <x:f>IF(R808&gt;='Inputs &amp; Guide'!$B$9,"HIGH",IF(R808&gt;=0.45,"WATCH","NORMAL"))</x:f>
        <x:v>HIGH</x:v>
      </x:c>
    </x:row>
    <x:row r="809">
      <x:c r="A809" s="95" t="n">
        <x:v>6441</x:v>
      </x:c>
      <x:c r="B809" s="96" t="n">
        <x:v>45560.104166666664</x:v>
      </x:c>
      <x:c r="C809" s="97" t="str">
        <x:v>Hurricane</x:v>
      </x:c>
      <x:c r="D809" s="97" t="str">
        <x:v>USA</x:v>
      </x:c>
      <x:c r="E809" s="98" t="n">
        <x:v>3.8357707832461205</x:v>
      </x:c>
      <x:c r="F809" s="99" t="n">
        <x:v>210.3434161289578</x:v>
      </x:c>
      <x:c r="G809" s="100" t="str">
        <x:f>XLOOKUP(D809,'Reference Tables'!$A$4:$A$23,'Reference Tables'!$B$4:$B$23,"Other")</x:f>
        <x:v>Other</x:v>
      </x:c>
      <x:c r="H809" s="100" t="str">
        <x:f>VLOOKUP(G809,'Reference Tables'!$I$4:$J$9,2,FALSE)</x:f>
        <x:v>Moderate</x:v>
      </x:c>
      <x:c r="I809" s="101" t="n">
        <x:f>F809*'Inputs &amp; Guide'!$B$4*XLOOKUP(D809,'Reference Tables'!$A$4:$A$23,'Reference Tables'!$C$4:$C$23,0.75)</x:f>
        <x:v>25.241209935474938</x:v>
      </x:c>
      <x:c r="J809" s="102" t="n">
        <x:f>XLOOKUP(C809,'Reference Tables'!$E$4:$E$12,'Reference Tables'!$F$4:$F$12,0.05)</x:f>
        <x:v>0.18</x:v>
      </x:c>
      <x:c r="K809" s="103" t="n">
        <x:f>MIN(I809,F809*J809)</x:f>
        <x:v>25.241209935474938</x:v>
      </x:c>
      <x:c r="L809" s="103" t="n">
        <x:f>'Inputs &amp; Guide'!$B$5</x:f>
        <x:v>15</x:v>
      </x:c>
      <x:c r="M809" s="103" t="n">
        <x:f>I809*'Inputs &amp; Guide'!$B$6</x:f>
        <x:v>13.882665464511216</x:v>
      </x:c>
      <x:c r="N809" s="103" t="n">
        <x:f>MAX(0,MIN(K809-L809,M809))</x:f>
        <x:v>10.241209935474938</x:v>
      </x:c>
      <x:c r="O809" s="103" t="n">
        <x:f>MAX(0,N809-'Inputs &amp; Guide'!$B$7)</x:f>
        <x:v>0</x:v>
      </x:c>
      <x:c r="P809" s="103" t="n">
        <x:f>N809-O809</x:f>
        <x:v>10.241209935474938</x:v>
      </x:c>
      <x:c r="Q809" s="103" t="n">
        <x:f>I809*'Inputs &amp; Guide'!$B$8</x:f>
        <x:v>0.45434177883854887</x:v>
      </x:c>
      <x:c r="R809" s="104" t="n">
        <x:f>IFERROR(P809/Q809,0)</x:f>
        <x:v>22.540762070472436</x:v>
      </x:c>
      <x:c r="S809" s="105" t="n">
        <x:f>ROUND(E809*XLOOKUP(C809,'Reference Tables'!$E$4:$E$12,'Reference Tables'!$G$4:$G$12,1),1)</x:f>
        <x:v>5.4</x:v>
      </x:c>
      <x:c r="T809" s="106" t="str">
        <x:f>IF(R809&gt;='Inputs &amp; Guide'!$B$9,"HIGH",IF(R809&gt;=0.45,"WATCH","NORMAL"))</x:f>
        <x:v>HIGH</x:v>
      </x:c>
    </x:row>
    <x:row r="810">
      <x:c r="A810" s="95" t="n">
        <x:v>6449</x:v>
      </x:c>
      <x:c r="B810" s="96" t="n">
        <x:v>45560.4375</x:v>
      </x:c>
      <x:c r="C810" s="97" t="str">
        <x:v>Tornado</x:v>
      </x:c>
      <x:c r="D810" s="97" t="str">
        <x:v>USA</x:v>
      </x:c>
      <x:c r="E810" s="98" t="n">
        <x:v>7.990456503140241</x:v>
      </x:c>
      <x:c r="F810" s="99" t="n">
        <x:v>585.3910861777056</x:v>
      </x:c>
      <x:c r="G810" s="100" t="str">
        <x:f>XLOOKUP(D810,'Reference Tables'!$A$4:$A$23,'Reference Tables'!$B$4:$B$23,"Other")</x:f>
        <x:v>Other</x:v>
      </x:c>
      <x:c r="H810" s="100" t="str">
        <x:f>VLOOKUP(G810,'Reference Tables'!$I$4:$J$9,2,FALSE)</x:f>
        <x:v>Moderate</x:v>
      </x:c>
      <x:c r="I810" s="101" t="n">
        <x:f>F810*'Inputs &amp; Guide'!$B$4*XLOOKUP(D810,'Reference Tables'!$A$4:$A$23,'Reference Tables'!$C$4:$C$23,0.75)</x:f>
        <x:v>70.24693034132467</x:v>
      </x:c>
      <x:c r="J810" s="102" t="n">
        <x:f>XLOOKUP(C810,'Reference Tables'!$E$4:$E$12,'Reference Tables'!$F$4:$F$12,0.05)</x:f>
        <x:v>0.09</x:v>
      </x:c>
      <x:c r="K810" s="103" t="n">
        <x:f>MIN(I810,F810*J810)</x:f>
        <x:v>52.6851977559935</x:v>
      </x:c>
      <x:c r="L810" s="103" t="n">
        <x:f>'Inputs &amp; Guide'!$B$5</x:f>
        <x:v>15</x:v>
      </x:c>
      <x:c r="M810" s="103" t="n">
        <x:f>I810*'Inputs &amp; Guide'!$B$6</x:f>
        <x:v>38.63581168772857</x:v>
      </x:c>
      <x:c r="N810" s="103" t="n">
        <x:f>MAX(0,MIN(K810-L810,M810))</x:f>
        <x:v>37.6851977559935</x:v>
      </x:c>
      <x:c r="O810" s="103" t="n">
        <x:f>MAX(0,N810-'Inputs &amp; Guide'!$B$7)</x:f>
        <x:v>0</x:v>
      </x:c>
      <x:c r="P810" s="103" t="n">
        <x:f>N810-O810</x:f>
        <x:v>37.6851977559935</x:v>
      </x:c>
      <x:c r="Q810" s="103" t="n">
        <x:f>I810*'Inputs &amp; Guide'!$B$8</x:f>
        <x:v>1.264444746143844</x:v>
      </x:c>
      <x:c r="R810" s="104" t="n">
        <x:f>IFERROR(P810/Q810,0)</x:f>
        <x:v>29.803752098240288</x:v>
      </x:c>
      <x:c r="S810" s="105" t="n">
        <x:f>ROUND(E810*XLOOKUP(C810,'Reference Tables'!$E$4:$E$12,'Reference Tables'!$G$4:$G$12,1),1)</x:f>
        <x:v>8.4</x:v>
      </x:c>
      <x:c r="T810" s="106" t="str">
        <x:f>IF(R810&gt;='Inputs &amp; Guide'!$B$9,"HIGH",IF(R810&gt;=0.45,"WATCH","NORMAL"))</x:f>
        <x:v>HIGH</x:v>
      </x:c>
    </x:row>
    <x:row r="811">
      <x:c r="A811" s="95" t="n">
        <x:v>6457</x:v>
      </x:c>
      <x:c r="B811" s="96" t="n">
        <x:v>45561</x:v>
      </x:c>
      <x:c r="C811" s="97" t="str">
        <x:v>Flood</x:v>
      </x:c>
      <x:c r="D811" s="97" t="str">
        <x:v>Indonesia</x:v>
      </x:c>
      <x:c r="E811" s="98" t="n">
        <x:v>6.538915934909803</x:v>
      </x:c>
      <x:c r="F811" s="99" t="n">
        <x:v>191.93320342889723</x:v>
      </x:c>
      <x:c r="G811" s="100" t="str">
        <x:f>XLOOKUP(D811,'Reference Tables'!$A$4:$A$23,'Reference Tables'!$B$4:$B$23,"Other")</x:f>
        <x:v>Asia Pacific</x:v>
      </x:c>
      <x:c r="H811" s="100" t="str">
        <x:f>VLOOKUP(G811,'Reference Tables'!$I$4:$J$9,2,FALSE)</x:f>
        <x:v>High</x:v>
      </x:c>
      <x:c r="I811" s="101" t="n">
        <x:f>F811*'Inputs &amp; Guide'!$B$4*XLOOKUP(D811,'Reference Tables'!$A$4:$A$23,'Reference Tables'!$C$4:$C$23,0.75)</x:f>
        <x:v>31.630591925082264</x:v>
      </x:c>
      <x:c r="J811" s="102" t="n">
        <x:f>XLOOKUP(C811,'Reference Tables'!$E$4:$E$12,'Reference Tables'!$F$4:$F$12,0.05)</x:f>
        <x:v>0.12</x:v>
      </x:c>
      <x:c r="K811" s="103" t="n">
        <x:f>MIN(I811,F811*J811)</x:f>
        <x:v>23.03198441146767</x:v>
      </x:c>
      <x:c r="L811" s="103" t="n">
        <x:f>'Inputs &amp; Guide'!$B$5</x:f>
        <x:v>15</x:v>
      </x:c>
      <x:c r="M811" s="103" t="n">
        <x:f>I811*'Inputs &amp; Guide'!$B$6</x:f>
        <x:v>17.396825558795246</x:v>
      </x:c>
      <x:c r="N811" s="103" t="n">
        <x:f>MAX(0,MIN(K811-L811,M811))</x:f>
        <x:v>8.031984411467668</x:v>
      </x:c>
      <x:c r="O811" s="103" t="n">
        <x:f>MAX(0,N811-'Inputs &amp; Guide'!$B$7)</x:f>
        <x:v>0</x:v>
      </x:c>
      <x:c r="P811" s="103" t="n">
        <x:f>N811-O811</x:f>
        <x:v>8.031984411467668</x:v>
      </x:c>
      <x:c r="Q811" s="103" t="n">
        <x:f>I811*'Inputs &amp; Guide'!$B$8</x:f>
        <x:v>0.5693506546514807</x:v>
      </x:c>
      <x:c r="R811" s="104" t="n">
        <x:f>IFERROR(P811/Q811,0)</x:f>
        <x:v>14.107271759236538</x:v>
      </x:c>
      <x:c r="S811" s="105" t="n">
        <x:f>ROUND(E811*XLOOKUP(C811,'Reference Tables'!$E$4:$E$12,'Reference Tables'!$G$4:$G$12,1),1)</x:f>
        <x:v>8.2</x:v>
      </x:c>
      <x:c r="T811" s="106" t="str">
        <x:f>IF(R811&gt;='Inputs &amp; Guide'!$B$9,"HIGH",IF(R811&gt;=0.45,"WATCH","NORMAL"))</x:f>
        <x:v>HIGH</x:v>
      </x:c>
    </x:row>
    <x:row r="812">
      <x:c r="A812" s="95" t="n">
        <x:v>6465</x:v>
      </x:c>
      <x:c r="B812" s="96" t="n">
        <x:v>45561.104166666664</x:v>
      </x:c>
      <x:c r="C812" s="97" t="str">
        <x:v>Wildfire</x:v>
      </x:c>
      <x:c r="D812" s="97" t="str">
        <x:v>USA</x:v>
      </x:c>
      <x:c r="E812" s="98" t="n">
        <x:v>9.013809746524085</x:v>
      </x:c>
      <x:c r="F812" s="99" t="n">
        <x:v>475.3226655038108</x:v>
      </x:c>
      <x:c r="G812" s="100" t="str">
        <x:f>XLOOKUP(D812,'Reference Tables'!$A$4:$A$23,'Reference Tables'!$B$4:$B$23,"Other")</x:f>
        <x:v>Other</x:v>
      </x:c>
      <x:c r="H812" s="100" t="str">
        <x:f>VLOOKUP(G812,'Reference Tables'!$I$4:$J$9,2,FALSE)</x:f>
        <x:v>Moderate</x:v>
      </x:c>
      <x:c r="I812" s="101" t="n">
        <x:f>F812*'Inputs &amp; Guide'!$B$4*XLOOKUP(D812,'Reference Tables'!$A$4:$A$23,'Reference Tables'!$C$4:$C$23,0.75)</x:f>
        <x:v>57.03871986045729</x:v>
      </x:c>
      <x:c r="J812" s="102" t="n">
        <x:f>XLOOKUP(C812,'Reference Tables'!$E$4:$E$12,'Reference Tables'!$F$4:$F$12,0.05)</x:f>
        <x:v>0.1</x:v>
      </x:c>
      <x:c r="K812" s="103" t="n">
        <x:f>MIN(I812,F812*J812)</x:f>
        <x:v>47.53226655038108</x:v>
      </x:c>
      <x:c r="L812" s="103" t="n">
        <x:f>'Inputs &amp; Guide'!$B$5</x:f>
        <x:v>15</x:v>
      </x:c>
      <x:c r="M812" s="103" t="n">
        <x:f>I812*'Inputs &amp; Guide'!$B$6</x:f>
        <x:v>31.371295923251513</x:v>
      </x:c>
      <x:c r="N812" s="103" t="n">
        <x:f>MAX(0,MIN(K812-L812,M812))</x:f>
        <x:v>31.371295923251513</x:v>
      </x:c>
      <x:c r="O812" s="103" t="n">
        <x:f>MAX(0,N812-'Inputs &amp; Guide'!$B$7)</x:f>
        <x:v>0</x:v>
      </x:c>
      <x:c r="P812" s="103" t="n">
        <x:f>N812-O812</x:f>
        <x:v>31.371295923251513</x:v>
      </x:c>
      <x:c r="Q812" s="103" t="n">
        <x:f>I812*'Inputs &amp; Guide'!$B$8</x:f>
        <x:v>1.0266969574882312</x:v>
      </x:c>
      <x:c r="R812" s="104" t="n">
        <x:f>IFERROR(P812/Q812,0)</x:f>
        <x:v>30.55555555555556</x:v>
      </x:c>
      <x:c r="S812" s="105" t="n">
        <x:f>ROUND(E812*XLOOKUP(C812,'Reference Tables'!$E$4:$E$12,'Reference Tables'!$G$4:$G$12,1),1)</x:f>
        <x:v>10.4</x:v>
      </x:c>
      <x:c r="T812" s="106" t="str">
        <x:f>IF(R812&gt;='Inputs &amp; Guide'!$B$9,"HIGH",IF(R812&gt;=0.45,"WATCH","NORMAL"))</x:f>
        <x:v>HIGH</x:v>
      </x:c>
    </x:row>
    <x:row r="813">
      <x:c r="A813" s="95" t="n">
        <x:v>6473</x:v>
      </x:c>
      <x:c r="B813" s="96" t="n">
        <x:v>45561.4375</x:v>
      </x:c>
      <x:c r="C813" s="97" t="str">
        <x:v>Tornado</x:v>
      </x:c>
      <x:c r="D813" s="97" t="str">
        <x:v>Indonesia</x:v>
      </x:c>
      <x:c r="E813" s="98" t="n">
        <x:v>1.5398251970812478</x:v>
      </x:c>
      <x:c r="F813" s="99" t="n">
        <x:v>930.3064652306188</x:v>
      </x:c>
      <x:c r="G813" s="100" t="str">
        <x:f>XLOOKUP(D813,'Reference Tables'!$A$4:$A$23,'Reference Tables'!$B$4:$B$23,"Other")</x:f>
        <x:v>Asia Pacific</x:v>
      </x:c>
      <x:c r="H813" s="100" t="str">
        <x:f>VLOOKUP(G813,'Reference Tables'!$I$4:$J$9,2,FALSE)</x:f>
        <x:v>High</x:v>
      </x:c>
      <x:c r="I813" s="101" t="n">
        <x:f>F813*'Inputs &amp; Guide'!$B$4*XLOOKUP(D813,'Reference Tables'!$A$4:$A$23,'Reference Tables'!$C$4:$C$23,0.75)</x:f>
        <x:v>153.314505470006</x:v>
      </x:c>
      <x:c r="J813" s="102" t="n">
        <x:f>XLOOKUP(C813,'Reference Tables'!$E$4:$E$12,'Reference Tables'!$F$4:$F$12,0.05)</x:f>
        <x:v>0.09</x:v>
      </x:c>
      <x:c r="K813" s="103" t="n">
        <x:f>MIN(I813,F813*J813)</x:f>
        <x:v>83.72758187075569</x:v>
      </x:c>
      <x:c r="L813" s="103" t="n">
        <x:f>'Inputs &amp; Guide'!$B$5</x:f>
        <x:v>15</x:v>
      </x:c>
      <x:c r="M813" s="103" t="n">
        <x:f>I813*'Inputs &amp; Guide'!$B$6</x:f>
        <x:v>84.3229780085033</x:v>
      </x:c>
      <x:c r="N813" s="103" t="n">
        <x:f>MAX(0,MIN(K813-L813,M813))</x:f>
        <x:v>68.72758187075569</x:v>
      </x:c>
      <x:c r="O813" s="103" t="n">
        <x:f>MAX(0,N813-'Inputs &amp; Guide'!$B$7)</x:f>
        <x:v>8.727581870755685</x:v>
      </x:c>
      <x:c r="P813" s="103" t="n">
        <x:f>N813-O813</x:f>
        <x:v>60</x:v>
      </x:c>
      <x:c r="Q813" s="103" t="n">
        <x:f>I813*'Inputs &amp; Guide'!$B$8</x:f>
        <x:v>2.7596610984601075</x:v>
      </x:c>
      <x:c r="R813" s="104" t="n">
        <x:f>IFERROR(P813/Q813,0)</x:f>
        <x:v>21.741800119398732</x:v>
      </x:c>
      <x:c r="S813" s="105" t="n">
        <x:f>ROUND(E813*XLOOKUP(C813,'Reference Tables'!$E$4:$E$12,'Reference Tables'!$G$4:$G$12,1),1)</x:f>
        <x:v>1.6</x:v>
      </x:c>
      <x:c r="T813" s="106" t="str">
        <x:f>IF(R813&gt;='Inputs &amp; Guide'!$B$9,"HIGH",IF(R813&gt;=0.45,"WATCH","NORMAL"))</x:f>
        <x:v>HIGH</x:v>
      </x:c>
    </x:row>
    <x:row r="814">
      <x:c r="A814" s="95" t="n">
        <x:v>6481</x:v>
      </x:c>
      <x:c r="B814" s="96" t="n">
        <x:v>45562</x:v>
      </x:c>
      <x:c r="C814" s="97" t="str">
        <x:v>Wildfire</x:v>
      </x:c>
      <x:c r="D814" s="97" t="str">
        <x:v>Indonesia</x:v>
      </x:c>
      <x:c r="E814" s="98" t="n">
        <x:v>3.581424674599144</x:v>
      </x:c>
      <x:c r="F814" s="99" t="n">
        <x:v>740.8353697759934</x:v>
      </x:c>
      <x:c r="G814" s="100" t="str">
        <x:f>XLOOKUP(D814,'Reference Tables'!$A$4:$A$23,'Reference Tables'!$B$4:$B$23,"Other")</x:f>
        <x:v>Asia Pacific</x:v>
      </x:c>
      <x:c r="H814" s="100" t="str">
        <x:f>VLOOKUP(G814,'Reference Tables'!$I$4:$J$9,2,FALSE)</x:f>
        <x:v>High</x:v>
      </x:c>
      <x:c r="I814" s="101" t="n">
        <x:f>F814*'Inputs &amp; Guide'!$B$4*XLOOKUP(D814,'Reference Tables'!$A$4:$A$23,'Reference Tables'!$C$4:$C$23,0.75)</x:f>
        <x:v>122.08966893908372</x:v>
      </x:c>
      <x:c r="J814" s="102" t="n">
        <x:f>XLOOKUP(C814,'Reference Tables'!$E$4:$E$12,'Reference Tables'!$F$4:$F$12,0.05)</x:f>
        <x:v>0.1</x:v>
      </x:c>
      <x:c r="K814" s="103" t="n">
        <x:f>MIN(I814,F814*J814)</x:f>
        <x:v>74.08353697759934</x:v>
      </x:c>
      <x:c r="L814" s="103" t="n">
        <x:f>'Inputs &amp; Guide'!$B$5</x:f>
        <x:v>15</x:v>
      </x:c>
      <x:c r="M814" s="103" t="n">
        <x:f>I814*'Inputs &amp; Guide'!$B$6</x:f>
        <x:v>67.14931791649606</x:v>
      </x:c>
      <x:c r="N814" s="103" t="n">
        <x:f>MAX(0,MIN(K814-L814,M814))</x:f>
        <x:v>59.08353697759934</x:v>
      </x:c>
      <x:c r="O814" s="103" t="n">
        <x:f>MAX(0,N814-'Inputs &amp; Guide'!$B$7)</x:f>
        <x:v>0</x:v>
      </x:c>
      <x:c r="P814" s="103" t="n">
        <x:f>N814-O814</x:f>
        <x:v>59.08353697759934</x:v>
      </x:c>
      <x:c r="Q814" s="103" t="n">
        <x:f>I814*'Inputs &amp; Guide'!$B$8</x:f>
        <x:v>2.197614040903507</x:v>
      </x:c>
      <x:c r="R814" s="104" t="n">
        <x:f>IFERROR(P814/Q814,0)</x:f>
        <x:v>26.8853110136247</x:v>
      </x:c>
      <x:c r="S814" s="105" t="n">
        <x:f>ROUND(E814*XLOOKUP(C814,'Reference Tables'!$E$4:$E$12,'Reference Tables'!$G$4:$G$12,1),1)</x:f>
        <x:v>4.1</x:v>
      </x:c>
      <x:c r="T814" s="106" t="str">
        <x:f>IF(R814&gt;='Inputs &amp; Guide'!$B$9,"HIGH",IF(R814&gt;=0.45,"WATCH","NORMAL"))</x:f>
        <x:v>HIGH</x:v>
      </x:c>
    </x:row>
    <x:row r="815">
      <x:c r="A815" s="95" t="n">
        <x:v>6489</x:v>
      </x:c>
      <x:c r="B815" s="96" t="n">
        <x:v>45562.104166666664</x:v>
      </x:c>
      <x:c r="C815" s="97" t="str">
        <x:v>Earthquake</x:v>
      </x:c>
      <x:c r="D815" s="97" t="str">
        <x:v>Indonesia</x:v>
      </x:c>
      <x:c r="E815" s="98" t="n">
        <x:v>8.01061934406572</x:v>
      </x:c>
      <x:c r="F815" s="99" t="n">
        <x:v>756.7248627473011</x:v>
      </x:c>
      <x:c r="G815" s="100" t="str">
        <x:f>XLOOKUP(D815,'Reference Tables'!$A$4:$A$23,'Reference Tables'!$B$4:$B$23,"Other")</x:f>
        <x:v>Asia Pacific</x:v>
      </x:c>
      <x:c r="H815" s="100" t="str">
        <x:f>VLOOKUP(G815,'Reference Tables'!$I$4:$J$9,2,FALSE)</x:f>
        <x:v>High</x:v>
      </x:c>
      <x:c r="I815" s="101" t="n">
        <x:f>F815*'Inputs &amp; Guide'!$B$4*XLOOKUP(D815,'Reference Tables'!$A$4:$A$23,'Reference Tables'!$C$4:$C$23,0.75)</x:f>
        <x:v>124.70825738075523</x:v>
      </x:c>
      <x:c r="J815" s="102" t="n">
        <x:f>XLOOKUP(C815,'Reference Tables'!$E$4:$E$12,'Reference Tables'!$F$4:$F$12,0.05)</x:f>
        <x:v>0.14</x:v>
      </x:c>
      <x:c r="K815" s="103" t="n">
        <x:f>MIN(I815,F815*J815)</x:f>
        <x:v>105.94148078462217</x:v>
      </x:c>
      <x:c r="L815" s="103" t="n">
        <x:f>'Inputs &amp; Guide'!$B$5</x:f>
        <x:v>15</x:v>
      </x:c>
      <x:c r="M815" s="103" t="n">
        <x:f>I815*'Inputs &amp; Guide'!$B$6</x:f>
        <x:v>68.58954155941538</x:v>
      </x:c>
      <x:c r="N815" s="103" t="n">
        <x:f>MAX(0,MIN(K815-L815,M815))</x:f>
        <x:v>68.58954155941538</x:v>
      </x:c>
      <x:c r="O815" s="103" t="n">
        <x:f>MAX(0,N815-'Inputs &amp; Guide'!$B$7)</x:f>
        <x:v>8.58954155941538</x:v>
      </x:c>
      <x:c r="P815" s="103" t="n">
        <x:f>N815-O815</x:f>
        <x:v>60</x:v>
      </x:c>
      <x:c r="Q815" s="103" t="n">
        <x:f>I815*'Inputs &amp; Guide'!$B$8</x:f>
        <x:v>2.244748632853594</x:v>
      </x:c>
      <x:c r="R815" s="104" t="n">
        <x:f>IFERROR(P815/Q815,0)</x:f>
        <x:v>26.729050692738877</x:v>
      </x:c>
      <x:c r="S815" s="105" t="n">
        <x:f>ROUND(E815*XLOOKUP(C815,'Reference Tables'!$E$4:$E$12,'Reference Tables'!$G$4:$G$12,1),1)</x:f>
        <x:v>12</x:v>
      </x:c>
      <x:c r="T815" s="106" t="str">
        <x:f>IF(R815&gt;='Inputs &amp; Guide'!$B$9,"HIGH",IF(R815&gt;=0.45,"WATCH","NORMAL"))</x:f>
        <x:v>HIGH</x:v>
      </x:c>
    </x:row>
    <x:row r="816">
      <x:c r="A816" s="95" t="n">
        <x:v>6497</x:v>
      </x:c>
      <x:c r="B816" s="96" t="n">
        <x:v>45562.4375</x:v>
      </x:c>
      <x:c r="C816" s="97" t="str">
        <x:v>Wildfire</x:v>
      </x:c>
      <x:c r="D816" s="97" t="str">
        <x:v>USA</x:v>
      </x:c>
      <x:c r="E816" s="98" t="n">
        <x:v>2.2883635153820996</x:v>
      </x:c>
      <x:c r="F816" s="99" t="n">
        <x:v>434.62810236663927</x:v>
      </x:c>
      <x:c r="G816" s="100" t="str">
        <x:f>XLOOKUP(D816,'Reference Tables'!$A$4:$A$23,'Reference Tables'!$B$4:$B$23,"Other")</x:f>
        <x:v>Other</x:v>
      </x:c>
      <x:c r="H816" s="100" t="str">
        <x:f>VLOOKUP(G816,'Reference Tables'!$I$4:$J$9,2,FALSE)</x:f>
        <x:v>Moderate</x:v>
      </x:c>
      <x:c r="I816" s="101" t="n">
        <x:f>F816*'Inputs &amp; Guide'!$B$4*XLOOKUP(D816,'Reference Tables'!$A$4:$A$23,'Reference Tables'!$C$4:$C$23,0.75)</x:f>
        <x:v>52.15537228399671</x:v>
      </x:c>
      <x:c r="J816" s="102" t="n">
        <x:f>XLOOKUP(C816,'Reference Tables'!$E$4:$E$12,'Reference Tables'!$F$4:$F$12,0.05)</x:f>
        <x:v>0.1</x:v>
      </x:c>
      <x:c r="K816" s="103" t="n">
        <x:f>MIN(I816,F816*J816)</x:f>
        <x:v>43.46281023666393</x:v>
      </x:c>
      <x:c r="L816" s="103" t="n">
        <x:f>'Inputs &amp; Guide'!$B$5</x:f>
        <x:v>15</x:v>
      </x:c>
      <x:c r="M816" s="103" t="n">
        <x:f>I816*'Inputs &amp; Guide'!$B$6</x:f>
        <x:v>28.685454756198194</x:v>
      </x:c>
      <x:c r="N816" s="103" t="n">
        <x:f>MAX(0,MIN(K816-L816,M816))</x:f>
        <x:v>28.462810236663927</x:v>
      </x:c>
      <x:c r="O816" s="103" t="n">
        <x:f>MAX(0,N816-'Inputs &amp; Guide'!$B$7)</x:f>
        <x:v>0</x:v>
      </x:c>
      <x:c r="P816" s="103" t="n">
        <x:f>N816-O816</x:f>
        <x:v>28.462810236663927</x:v>
      </x:c>
      <x:c r="Q816" s="103" t="n">
        <x:f>I816*'Inputs &amp; Guide'!$B$8</x:f>
        <x:v>0.9387967011119408</x:v>
      </x:c>
      <x:c r="R816" s="104" t="n">
        <x:f>IFERROR(P816/Q816,0)</x:f>
        <x:v>30.318396094651447</x:v>
      </x:c>
      <x:c r="S816" s="105" t="n">
        <x:f>ROUND(E816*XLOOKUP(C816,'Reference Tables'!$E$4:$E$12,'Reference Tables'!$G$4:$G$12,1),1)</x:f>
        <x:v>2.6</x:v>
      </x:c>
      <x:c r="T816" s="106" t="str">
        <x:f>IF(R816&gt;='Inputs &amp; Guide'!$B$9,"HIGH",IF(R816&gt;=0.45,"WATCH","NORMAL"))</x:f>
        <x:v>HIGH</x:v>
      </x:c>
    </x:row>
    <x:row r="817">
      <x:c r="A817" s="95" t="n">
        <x:v>6505</x:v>
      </x:c>
      <x:c r="B817" s="96" t="n">
        <x:v>45563</x:v>
      </x:c>
      <x:c r="C817" s="97" t="str">
        <x:v>Hurricane</x:v>
      </x:c>
      <x:c r="D817" s="97" t="str">
        <x:v>India</x:v>
      </x:c>
      <x:c r="E817" s="98" t="n">
        <x:v>5.744151701274024</x:v>
      </x:c>
      <x:c r="F817" s="99" t="n">
        <x:v>571.3203944150442</x:v>
      </x:c>
      <x:c r="G817" s="100" t="str">
        <x:f>XLOOKUP(D817,'Reference Tables'!$A$4:$A$23,'Reference Tables'!$B$4:$B$23,"Other")</x:f>
        <x:v>Asia Pacific</x:v>
      </x:c>
      <x:c r="H817" s="100" t="str">
        <x:f>VLOOKUP(G817,'Reference Tables'!$I$4:$J$9,2,FALSE)</x:f>
        <x:v>High</x:v>
      </x:c>
      <x:c r="I817" s="101" t="n">
        <x:f>F817*'Inputs &amp; Guide'!$B$4*XLOOKUP(D817,'Reference Tables'!$A$4:$A$23,'Reference Tables'!$C$4:$C$23,0.75)</x:f>
        <x:v>83.18424942683045</x:v>
      </x:c>
      <x:c r="J817" s="102" t="n">
        <x:f>XLOOKUP(C817,'Reference Tables'!$E$4:$E$12,'Reference Tables'!$F$4:$F$12,0.05)</x:f>
        <x:v>0.18</x:v>
      </x:c>
      <x:c r="K817" s="103" t="n">
        <x:f>MIN(I817,F817*J817)</x:f>
        <x:v>83.18424942683045</x:v>
      </x:c>
      <x:c r="L817" s="103" t="n">
        <x:f>'Inputs &amp; Guide'!$B$5</x:f>
        <x:v>15</x:v>
      </x:c>
      <x:c r="M817" s="103" t="n">
        <x:f>I817*'Inputs &amp; Guide'!$B$6</x:f>
        <x:v>45.75133718475675</x:v>
      </x:c>
      <x:c r="N817" s="103" t="n">
        <x:f>MAX(0,MIN(K817-L817,M817))</x:f>
        <x:v>45.75133718475675</x:v>
      </x:c>
      <x:c r="O817" s="103" t="n">
        <x:f>MAX(0,N817-'Inputs &amp; Guide'!$B$7)</x:f>
        <x:v>0</x:v>
      </x:c>
      <x:c r="P817" s="103" t="n">
        <x:f>N817-O817</x:f>
        <x:v>45.75133718475675</x:v>
      </x:c>
      <x:c r="Q817" s="103" t="n">
        <x:f>I817*'Inputs &amp; Guide'!$B$8</x:f>
        <x:v>1.4973164896829478</x:v>
      </x:c>
      <x:c r="R817" s="104" t="n">
        <x:f>IFERROR(P817/Q817,0)</x:f>
        <x:v>30.55555555555556</x:v>
      </x:c>
      <x:c r="S817" s="105" t="n">
        <x:f>ROUND(E817*XLOOKUP(C817,'Reference Tables'!$E$4:$E$12,'Reference Tables'!$G$4:$G$12,1),1)</x:f>
        <x:v>8</x:v>
      </x:c>
      <x:c r="T817" s="106" t="str">
        <x:f>IF(R817&gt;='Inputs &amp; Guide'!$B$9,"HIGH",IF(R817&gt;=0.45,"WATCH","NORMAL"))</x:f>
        <x:v>HIGH</x:v>
      </x:c>
    </x:row>
    <x:row r="818">
      <x:c r="A818" s="95" t="n">
        <x:v>6513</x:v>
      </x:c>
      <x:c r="B818" s="96" t="n">
        <x:v>45563.104166666664</x:v>
      </x:c>
      <x:c r="C818" s="97" t="str">
        <x:v>Tornado</x:v>
      </x:c>
      <x:c r="D818" s="97" t="str">
        <x:v>Indonesia</x:v>
      </x:c>
      <x:c r="E818" s="98" t="n">
        <x:v>1.5768673970668292</x:v>
      </x:c>
      <x:c r="F818" s="99" t="n">
        <x:v>804.462542259009</x:v>
      </x:c>
      <x:c r="G818" s="100" t="str">
        <x:f>XLOOKUP(D818,'Reference Tables'!$A$4:$A$23,'Reference Tables'!$B$4:$B$23,"Other")</x:f>
        <x:v>Asia Pacific</x:v>
      </x:c>
      <x:c r="H818" s="100" t="str">
        <x:f>VLOOKUP(G818,'Reference Tables'!$I$4:$J$9,2,FALSE)</x:f>
        <x:v>High</x:v>
      </x:c>
      <x:c r="I818" s="101" t="n">
        <x:f>F818*'Inputs &amp; Guide'!$B$4*XLOOKUP(D818,'Reference Tables'!$A$4:$A$23,'Reference Tables'!$C$4:$C$23,0.75)</x:f>
        <x:v>132.57542696428467</x:v>
      </x:c>
      <x:c r="J818" s="102" t="n">
        <x:f>XLOOKUP(C818,'Reference Tables'!$E$4:$E$12,'Reference Tables'!$F$4:$F$12,0.05)</x:f>
        <x:v>0.09</x:v>
      </x:c>
      <x:c r="K818" s="103" t="n">
        <x:f>MIN(I818,F818*J818)</x:f>
        <x:v>72.4016288033108</x:v>
      </x:c>
      <x:c r="L818" s="103" t="n">
        <x:f>'Inputs &amp; Guide'!$B$5</x:f>
        <x:v>15</x:v>
      </x:c>
      <x:c r="M818" s="103" t="n">
        <x:f>I818*'Inputs &amp; Guide'!$B$6</x:f>
        <x:v>72.91648483035658</x:v>
      </x:c>
      <x:c r="N818" s="103" t="n">
        <x:f>MAX(0,MIN(K818-L818,M818))</x:f>
        <x:v>57.4016288033108</x:v>
      </x:c>
      <x:c r="O818" s="103" t="n">
        <x:f>MAX(0,N818-'Inputs &amp; Guide'!$B$7)</x:f>
        <x:v>0</x:v>
      </x:c>
      <x:c r="P818" s="103" t="n">
        <x:f>N818-O818</x:f>
        <x:v>57.4016288033108</x:v>
      </x:c>
      <x:c r="Q818" s="103" t="n">
        <x:f>I818*'Inputs &amp; Guide'!$B$8</x:f>
        <x:v>2.386357685357124</x:v>
      </x:c>
      <x:c r="R818" s="104" t="n">
        <x:f>IFERROR(P818/Q818,0)</x:f>
        <x:v>24.054075864457225</x:v>
      </x:c>
      <x:c r="S818" s="105" t="n">
        <x:f>ROUND(E818*XLOOKUP(C818,'Reference Tables'!$E$4:$E$12,'Reference Tables'!$G$4:$G$12,1),1)</x:f>
        <x:v>1.7</x:v>
      </x:c>
      <x:c r="T818" s="106" t="str">
        <x:f>IF(R818&gt;='Inputs &amp; Guide'!$B$9,"HIGH",IF(R818&gt;=0.45,"WATCH","NORMAL"))</x:f>
        <x:v>HIGH</x:v>
      </x:c>
    </x:row>
    <x:row r="819">
      <x:c r="A819" s="95" t="n">
        <x:v>6521</x:v>
      </x:c>
      <x:c r="B819" s="96" t="n">
        <x:v>45563.4375</x:v>
      </x:c>
      <x:c r="C819" s="97" t="str">
        <x:v>Earthquake</x:v>
      </x:c>
      <x:c r="D819" s="97" t="str">
        <x:v>Brazil</x:v>
      </x:c>
      <x:c r="E819" s="98" t="n">
        <x:v>8.012535165961346</x:v>
      </x:c>
      <x:c r="F819" s="99" t="n">
        <x:v>722.0807347734503</x:v>
      </x:c>
      <x:c r="G819" s="100" t="str">
        <x:f>XLOOKUP(D819,'Reference Tables'!$A$4:$A$23,'Reference Tables'!$B$4:$B$23,"Other")</x:f>
        <x:v>Latin America</x:v>
      </x:c>
      <x:c r="H819" s="100" t="str">
        <x:f>VLOOKUP(G819,'Reference Tables'!$I$4:$J$9,2,FALSE)</x:f>
        <x:v>Moderate</x:v>
      </x:c>
      <x:c r="I819" s="101" t="n">
        <x:f>F819*'Inputs &amp; Guide'!$B$4*XLOOKUP(D819,'Reference Tables'!$A$4:$A$23,'Reference Tables'!$C$4:$C$23,0.75)</x:f>
        <x:v>94.73699240227667</x:v>
      </x:c>
      <x:c r="J819" s="102" t="n">
        <x:f>XLOOKUP(C819,'Reference Tables'!$E$4:$E$12,'Reference Tables'!$F$4:$F$12,0.05)</x:f>
        <x:v>0.14</x:v>
      </x:c>
      <x:c r="K819" s="103" t="n">
        <x:f>MIN(I819,F819*J819)</x:f>
        <x:v>94.73699240227667</x:v>
      </x:c>
      <x:c r="L819" s="103" t="n">
        <x:f>'Inputs &amp; Guide'!$B$5</x:f>
        <x:v>15</x:v>
      </x:c>
      <x:c r="M819" s="103" t="n">
        <x:f>I819*'Inputs &amp; Guide'!$B$6</x:f>
        <x:v>52.10534582125217</x:v>
      </x:c>
      <x:c r="N819" s="103" t="n">
        <x:f>MAX(0,MIN(K819-L819,M819))</x:f>
        <x:v>52.10534582125217</x:v>
      </x:c>
      <x:c r="O819" s="103" t="n">
        <x:f>MAX(0,N819-'Inputs &amp; Guide'!$B$7)</x:f>
        <x:v>0</x:v>
      </x:c>
      <x:c r="P819" s="103" t="n">
        <x:f>N819-O819</x:f>
        <x:v>52.10534582125217</x:v>
      </x:c>
      <x:c r="Q819" s="103" t="n">
        <x:f>I819*'Inputs &amp; Guide'!$B$8</x:f>
        <x:v>1.7052658632409798</x:v>
      </x:c>
      <x:c r="R819" s="104" t="n">
        <x:f>IFERROR(P819/Q819,0)</x:f>
        <x:v>30.55555555555556</x:v>
      </x:c>
      <x:c r="S819" s="105" t="n">
        <x:f>ROUND(E819*XLOOKUP(C819,'Reference Tables'!$E$4:$E$12,'Reference Tables'!$G$4:$G$12,1),1)</x:f>
        <x:v>12</x:v>
      </x:c>
      <x:c r="T819" s="106" t="str">
        <x:f>IF(R819&gt;='Inputs &amp; Guide'!$B$9,"HIGH",IF(R819&gt;=0.45,"WATCH","NORMAL"))</x:f>
        <x:v>HIGH</x:v>
      </x:c>
    </x:row>
    <x:row r="820">
      <x:c r="A820" s="95" t="n">
        <x:v>6529</x:v>
      </x:c>
      <x:c r="B820" s="96" t="n">
        <x:v>45564</x:v>
      </x:c>
      <x:c r="C820" s="97" t="str">
        <x:v>Hurricane</x:v>
      </x:c>
      <x:c r="D820" s="97" t="str">
        <x:v>India</x:v>
      </x:c>
      <x:c r="E820" s="98" t="n">
        <x:v>7.249391959541245</x:v>
      </x:c>
      <x:c r="F820" s="99" t="n">
        <x:v>754.1942163298522</x:v>
      </x:c>
      <x:c r="G820" s="100" t="str">
        <x:f>XLOOKUP(D820,'Reference Tables'!$A$4:$A$23,'Reference Tables'!$B$4:$B$23,"Other")</x:f>
        <x:v>Asia Pacific</x:v>
      </x:c>
      <x:c r="H820" s="100" t="str">
        <x:f>VLOOKUP(G820,'Reference Tables'!$I$4:$J$9,2,FALSE)</x:f>
        <x:v>High</x:v>
      </x:c>
      <x:c r="I820" s="101" t="n">
        <x:f>F820*'Inputs &amp; Guide'!$B$4*XLOOKUP(D820,'Reference Tables'!$A$4:$A$23,'Reference Tables'!$C$4:$C$23,0.75)</x:f>
        <x:v>109.81067789762649</x:v>
      </x:c>
      <x:c r="J820" s="102" t="n">
        <x:f>XLOOKUP(C820,'Reference Tables'!$E$4:$E$12,'Reference Tables'!$F$4:$F$12,0.05)</x:f>
        <x:v>0.18</x:v>
      </x:c>
      <x:c r="K820" s="103" t="n">
        <x:f>MIN(I820,F820*J820)</x:f>
        <x:v>109.81067789762649</x:v>
      </x:c>
      <x:c r="L820" s="103" t="n">
        <x:f>'Inputs &amp; Guide'!$B$5</x:f>
        <x:v>15</x:v>
      </x:c>
      <x:c r="M820" s="103" t="n">
        <x:f>I820*'Inputs &amp; Guide'!$B$6</x:f>
        <x:v>60.395872843694576</x:v>
      </x:c>
      <x:c r="N820" s="103" t="n">
        <x:f>MAX(0,MIN(K820-L820,M820))</x:f>
        <x:v>60.395872843694576</x:v>
      </x:c>
      <x:c r="O820" s="103" t="n">
        <x:f>MAX(0,N820-'Inputs &amp; Guide'!$B$7)</x:f>
        <x:v>0.3958728436945762</x:v>
      </x:c>
      <x:c r="P820" s="103" t="n">
        <x:f>N820-O820</x:f>
        <x:v>60</x:v>
      </x:c>
      <x:c r="Q820" s="103" t="n">
        <x:f>I820*'Inputs &amp; Guide'!$B$8</x:f>
        <x:v>1.9765922021572766</x:v>
      </x:c>
      <x:c r="R820" s="104" t="n">
        <x:f>IFERROR(P820/Q820,0)</x:f>
        <x:v>30.35527507116302</x:v>
      </x:c>
      <x:c r="S820" s="105" t="n">
        <x:f>ROUND(E820*XLOOKUP(C820,'Reference Tables'!$E$4:$E$12,'Reference Tables'!$G$4:$G$12,1),1)</x:f>
        <x:v>10.1</x:v>
      </x:c>
      <x:c r="T820" s="106" t="str">
        <x:f>IF(R820&gt;='Inputs &amp; Guide'!$B$9,"HIGH",IF(R820&gt;=0.45,"WATCH","NORMAL"))</x:f>
        <x:v>HIGH</x:v>
      </x:c>
    </x:row>
    <x:row r="821">
      <x:c r="A821" s="95" t="n">
        <x:v>6537</x:v>
      </x:c>
      <x:c r="B821" s="96" t="n">
        <x:v>45564.104166666664</x:v>
      </x:c>
      <x:c r="C821" s="97" t="str">
        <x:v>Flood</x:v>
      </x:c>
      <x:c r="D821" s="97" t="str">
        <x:v>China</x:v>
      </x:c>
      <x:c r="E821" s="98" t="n">
        <x:v>6.208147935599273</x:v>
      </x:c>
      <x:c r="F821" s="99" t="n">
        <x:v>372.0436914211951</x:v>
      </x:c>
      <x:c r="G821" s="100" t="str">
        <x:f>XLOOKUP(D821,'Reference Tables'!$A$4:$A$23,'Reference Tables'!$B$4:$B$23,"Other")</x:f>
        <x:v>Asia Pacific</x:v>
      </x:c>
      <x:c r="H821" s="100" t="str">
        <x:f>VLOOKUP(G821,'Reference Tables'!$I$4:$J$9,2,FALSE)</x:f>
        <x:v>High</x:v>
      </x:c>
      <x:c r="I821" s="101" t="n">
        <x:f>F821*'Inputs &amp; Guide'!$B$4*XLOOKUP(D821,'Reference Tables'!$A$4:$A$23,'Reference Tables'!$C$4:$C$23,0.75)</x:f>
        <x:v>64.28914987758252</x:v>
      </x:c>
      <x:c r="J821" s="102" t="n">
        <x:f>XLOOKUP(C821,'Reference Tables'!$E$4:$E$12,'Reference Tables'!$F$4:$F$12,0.05)</x:f>
        <x:v>0.12</x:v>
      </x:c>
      <x:c r="K821" s="103" t="n">
        <x:f>MIN(I821,F821*J821)</x:f>
        <x:v>44.64524297054341</x:v>
      </x:c>
      <x:c r="L821" s="103" t="n">
        <x:f>'Inputs &amp; Guide'!$B$5</x:f>
        <x:v>15</x:v>
      </x:c>
      <x:c r="M821" s="103" t="n">
        <x:f>I821*'Inputs &amp; Guide'!$B$6</x:f>
        <x:v>35.35903243267039</x:v>
      </x:c>
      <x:c r="N821" s="103" t="n">
        <x:f>MAX(0,MIN(K821-L821,M821))</x:f>
        <x:v>29.645242970543407</x:v>
      </x:c>
      <x:c r="O821" s="103" t="n">
        <x:f>MAX(0,N821-'Inputs &amp; Guide'!$B$7)</x:f>
        <x:v>0</x:v>
      </x:c>
      <x:c r="P821" s="103" t="n">
        <x:f>N821-O821</x:f>
        <x:v>29.645242970543407</x:v>
      </x:c>
      <x:c r="Q821" s="103" t="n">
        <x:f>I821*'Inputs &amp; Guide'!$B$8</x:f>
        <x:v>1.1572046977964852</x:v>
      </x:c>
      <x:c r="R821" s="104" t="n">
        <x:f>IFERROR(P821/Q821,0)</x:f>
        <x:v>25.617976687264576</x:v>
      </x:c>
      <x:c r="S821" s="105" t="n">
        <x:f>ROUND(E821*XLOOKUP(C821,'Reference Tables'!$E$4:$E$12,'Reference Tables'!$G$4:$G$12,1),1)</x:f>
        <x:v>7.8</x:v>
      </x:c>
      <x:c r="T821" s="106" t="str">
        <x:f>IF(R821&gt;='Inputs &amp; Guide'!$B$9,"HIGH",IF(R821&gt;=0.45,"WATCH","NORMAL"))</x:f>
        <x:v>HIGH</x:v>
      </x:c>
    </x:row>
    <x:row r="822">
      <x:c r="A822" s="95" t="n">
        <x:v>6545</x:v>
      </x:c>
      <x:c r="B822" s="96" t="n">
        <x:v>45564.4375</x:v>
      </x:c>
      <x:c r="C822" s="97" t="str">
        <x:v>Tornado</x:v>
      </x:c>
      <x:c r="D822" s="97" t="str">
        <x:v>Indonesia</x:v>
      </x:c>
      <x:c r="E822" s="98" t="n">
        <x:v>3.051822292232741</x:v>
      </x:c>
      <x:c r="F822" s="99" t="n">
        <x:v>880.8399698765767</x:v>
      </x:c>
      <x:c r="G822" s="100" t="str">
        <x:f>XLOOKUP(D822,'Reference Tables'!$A$4:$A$23,'Reference Tables'!$B$4:$B$23,"Other")</x:f>
        <x:v>Asia Pacific</x:v>
      </x:c>
      <x:c r="H822" s="100" t="str">
        <x:f>VLOOKUP(G822,'Reference Tables'!$I$4:$J$9,2,FALSE)</x:f>
        <x:v>High</x:v>
      </x:c>
      <x:c r="I822" s="101" t="n">
        <x:f>F822*'Inputs &amp; Guide'!$B$4*XLOOKUP(D822,'Reference Tables'!$A$4:$A$23,'Reference Tables'!$C$4:$C$23,0.75)</x:f>
        <x:v>145.16242703565985</x:v>
      </x:c>
      <x:c r="J822" s="102" t="n">
        <x:f>XLOOKUP(C822,'Reference Tables'!$E$4:$E$12,'Reference Tables'!$F$4:$F$12,0.05)</x:f>
        <x:v>0.09</x:v>
      </x:c>
      <x:c r="K822" s="103" t="n">
        <x:f>MIN(I822,F822*J822)</x:f>
        <x:v>79.2755972888919</x:v>
      </x:c>
      <x:c r="L822" s="103" t="n">
        <x:f>'Inputs &amp; Guide'!$B$5</x:f>
        <x:v>15</x:v>
      </x:c>
      <x:c r="M822" s="103" t="n">
        <x:f>I822*'Inputs &amp; Guide'!$B$6</x:f>
        <x:v>79.83933486961293</x:v>
      </x:c>
      <x:c r="N822" s="103" t="n">
        <x:f>MAX(0,MIN(K822-L822,M822))</x:f>
        <x:v>64.2755972888919</x:v>
      </x:c>
      <x:c r="O822" s="103" t="n">
        <x:f>MAX(0,N822-'Inputs &amp; Guide'!$B$7)</x:f>
        <x:v>4.275597288891902</x:v>
      </x:c>
      <x:c r="P822" s="103" t="n">
        <x:f>N822-O822</x:f>
        <x:v>60</x:v>
      </x:c>
      <x:c r="Q822" s="103" t="n">
        <x:f>I822*'Inputs &amp; Guide'!$B$8</x:f>
        <x:v>2.612923686641877</x:v>
      </x:c>
      <x:c r="R822" s="104" t="n">
        <x:f>IFERROR(P822/Q822,0)</x:f>
        <x:v>22.96278314852427</x:v>
      </x:c>
      <x:c r="S822" s="105" t="n">
        <x:f>ROUND(E822*XLOOKUP(C822,'Reference Tables'!$E$4:$E$12,'Reference Tables'!$G$4:$G$12,1),1)</x:f>
        <x:v>3.2</x:v>
      </x:c>
      <x:c r="T822" s="106" t="str">
        <x:f>IF(R822&gt;='Inputs &amp; Guide'!$B$9,"HIGH",IF(R822&gt;=0.45,"WATCH","NORMAL"))</x:f>
        <x:v>HIGH</x:v>
      </x:c>
    </x:row>
    <x:row r="823">
      <x:c r="A823" s="95" t="n">
        <x:v>6553</x:v>
      </x:c>
      <x:c r="B823" s="96" t="n">
        <x:v>45565</x:v>
      </x:c>
      <x:c r="C823" s="97" t="str">
        <x:v>Hurricane</x:v>
      </x:c>
      <x:c r="D823" s="97" t="str">
        <x:v>USA</x:v>
      </x:c>
      <x:c r="E823" s="98" t="n">
        <x:v>2.417436393137033</x:v>
      </x:c>
      <x:c r="F823" s="99" t="n">
        <x:v>799.9706951334833</x:v>
      </x:c>
      <x:c r="G823" s="100" t="str">
        <x:f>XLOOKUP(D823,'Reference Tables'!$A$4:$A$23,'Reference Tables'!$B$4:$B$23,"Other")</x:f>
        <x:v>Other</x:v>
      </x:c>
      <x:c r="H823" s="100" t="str">
        <x:f>VLOOKUP(G823,'Reference Tables'!$I$4:$J$9,2,FALSE)</x:f>
        <x:v>Moderate</x:v>
      </x:c>
      <x:c r="I823" s="101" t="n">
        <x:f>F823*'Inputs &amp; Guide'!$B$4*XLOOKUP(D823,'Reference Tables'!$A$4:$A$23,'Reference Tables'!$C$4:$C$23,0.75)</x:f>
        <x:v>95.99648341601801</x:v>
      </x:c>
      <x:c r="J823" s="102" t="n">
        <x:f>XLOOKUP(C823,'Reference Tables'!$E$4:$E$12,'Reference Tables'!$F$4:$F$12,0.05)</x:f>
        <x:v>0.18</x:v>
      </x:c>
      <x:c r="K823" s="103" t="n">
        <x:f>MIN(I823,F823*J823)</x:f>
        <x:v>95.99648341601801</x:v>
      </x:c>
      <x:c r="L823" s="103" t="n">
        <x:f>'Inputs &amp; Guide'!$B$5</x:f>
        <x:v>15</x:v>
      </x:c>
      <x:c r="M823" s="103" t="n">
        <x:f>I823*'Inputs &amp; Guide'!$B$6</x:f>
        <x:v>52.79806587880991</x:v>
      </x:c>
      <x:c r="N823" s="103" t="n">
        <x:f>MAX(0,MIN(K823-L823,M823))</x:f>
        <x:v>52.79806587880991</x:v>
      </x:c>
      <x:c r="O823" s="103" t="n">
        <x:f>MAX(0,N823-'Inputs &amp; Guide'!$B$7)</x:f>
        <x:v>0</x:v>
      </x:c>
      <x:c r="P823" s="103" t="n">
        <x:f>N823-O823</x:f>
        <x:v>52.79806587880991</x:v>
      </x:c>
      <x:c r="Q823" s="103" t="n">
        <x:f>I823*'Inputs &amp; Guide'!$B$8</x:f>
        <x:v>1.727936701488324</x:v>
      </x:c>
      <x:c r="R823" s="104" t="n">
        <x:f>IFERROR(P823/Q823,0)</x:f>
        <x:v>30.55555555555556</x:v>
      </x:c>
      <x:c r="S823" s="105" t="n">
        <x:f>ROUND(E823*XLOOKUP(C823,'Reference Tables'!$E$4:$E$12,'Reference Tables'!$G$4:$G$12,1),1)</x:f>
        <x:v>3.4</x:v>
      </x:c>
      <x:c r="T823" s="106" t="str">
        <x:f>IF(R823&gt;='Inputs &amp; Guide'!$B$9,"HIGH",IF(R823&gt;=0.45,"WATCH","NORMAL"))</x:f>
        <x:v>HIGH</x:v>
      </x:c>
    </x:row>
    <x:row r="824">
      <x:c r="A824" s="95" t="n">
        <x:v>6561</x:v>
      </x:c>
      <x:c r="B824" s="96" t="n">
        <x:v>45565.104166666664</x:v>
      </x:c>
      <x:c r="C824" s="97" t="str">
        <x:v>Flood</x:v>
      </x:c>
      <x:c r="D824" s="97" t="str">
        <x:v>China</x:v>
      </x:c>
      <x:c r="E824" s="98" t="n">
        <x:v>3.9250560617243515</x:v>
      </x:c>
      <x:c r="F824" s="99" t="n">
        <x:v>339.35550328310467</x:v>
      </x:c>
      <x:c r="G824" s="100" t="str">
        <x:f>XLOOKUP(D824,'Reference Tables'!$A$4:$A$23,'Reference Tables'!$B$4:$B$23,"Other")</x:f>
        <x:v>Asia Pacific</x:v>
      </x:c>
      <x:c r="H824" s="100" t="str">
        <x:f>VLOOKUP(G824,'Reference Tables'!$I$4:$J$9,2,FALSE)</x:f>
        <x:v>High</x:v>
      </x:c>
      <x:c r="I824" s="101" t="n">
        <x:f>F824*'Inputs &amp; Guide'!$B$4*XLOOKUP(D824,'Reference Tables'!$A$4:$A$23,'Reference Tables'!$C$4:$C$23,0.75)</x:f>
        <x:v>58.6406309673205</x:v>
      </x:c>
      <x:c r="J824" s="102" t="n">
        <x:f>XLOOKUP(C824,'Reference Tables'!$E$4:$E$12,'Reference Tables'!$F$4:$F$12,0.05)</x:f>
        <x:v>0.12</x:v>
      </x:c>
      <x:c r="K824" s="103" t="n">
        <x:f>MIN(I824,F824*J824)</x:f>
        <x:v>40.72266039397256</x:v>
      </x:c>
      <x:c r="L824" s="103" t="n">
        <x:f>'Inputs &amp; Guide'!$B$5</x:f>
        <x:v>15</x:v>
      </x:c>
      <x:c r="M824" s="103" t="n">
        <x:f>I824*'Inputs &amp; Guide'!$B$6</x:f>
        <x:v>32.25234703202628</x:v>
      </x:c>
      <x:c r="N824" s="103" t="n">
        <x:f>MAX(0,MIN(K824-L824,M824))</x:f>
        <x:v>25.72266039397256</x:v>
      </x:c>
      <x:c r="O824" s="103" t="n">
        <x:f>MAX(0,N824-'Inputs &amp; Guide'!$B$7)</x:f>
        <x:v>0</x:v>
      </x:c>
      <x:c r="P824" s="103" t="n">
        <x:f>N824-O824</x:f>
        <x:v>25.72266039397256</x:v>
      </x:c>
      <x:c r="Q824" s="103" t="n">
        <x:f>I824*'Inputs &amp; Guide'!$B$8</x:f>
        <x:v>1.0555313574117688</x:v>
      </x:c>
      <x:c r="R824" s="104" t="n">
        <x:f>IFERROR(P824/Q824,0)</x:f>
        <x:v>24.36939482029808</x:v>
      </x:c>
      <x:c r="S824" s="105" t="n">
        <x:f>ROUND(E824*XLOOKUP(C824,'Reference Tables'!$E$4:$E$12,'Reference Tables'!$G$4:$G$12,1),1)</x:f>
        <x:v>4.9</x:v>
      </x:c>
      <x:c r="T824" s="106" t="str">
        <x:f>IF(R824&gt;='Inputs &amp; Guide'!$B$9,"HIGH",IF(R824&gt;=0.45,"WATCH","NORMAL"))</x:f>
        <x:v>HIGH</x:v>
      </x:c>
    </x:row>
    <x:row r="825">
      <x:c r="A825" s="95" t="n">
        <x:v>6569</x:v>
      </x:c>
      <x:c r="B825" s="96" t="n">
        <x:v>45565.4375</x:v>
      </x:c>
      <x:c r="C825" s="97" t="str">
        <x:v>Wildfire</x:v>
      </x:c>
      <x:c r="D825" s="97" t="str">
        <x:v>Japan</x:v>
      </x:c>
      <x:c r="E825" s="98" t="n">
        <x:v>3.530963857565413</x:v>
      </x:c>
      <x:c r="F825" s="99" t="n">
        <x:v>208.54634437008573</x:v>
      </x:c>
      <x:c r="G825" s="100" t="str">
        <x:f>XLOOKUP(D825,'Reference Tables'!$A$4:$A$23,'Reference Tables'!$B$4:$B$23,"Other")</x:f>
        <x:v>Asia Pacific</x:v>
      </x:c>
      <x:c r="H825" s="100" t="str">
        <x:f>VLOOKUP(G825,'Reference Tables'!$I$4:$J$9,2,FALSE)</x:f>
        <x:v>High</x:v>
      </x:c>
      <x:c r="I825" s="101" t="n">
        <x:f>F825*'Inputs &amp; Guide'!$B$4*XLOOKUP(D825,'Reference Tables'!$A$4:$A$23,'Reference Tables'!$C$4:$C$23,0.75)</x:f>
        <x:v>39.37354981707218</x:v>
      </x:c>
      <x:c r="J825" s="102" t="n">
        <x:f>XLOOKUP(C825,'Reference Tables'!$E$4:$E$12,'Reference Tables'!$F$4:$F$12,0.05)</x:f>
        <x:v>0.1</x:v>
      </x:c>
      <x:c r="K825" s="103" t="n">
        <x:f>MIN(I825,F825*J825)</x:f>
        <x:v>20.854634437008574</x:v>
      </x:c>
      <x:c r="L825" s="103" t="n">
        <x:f>'Inputs &amp; Guide'!$B$5</x:f>
        <x:v>15</x:v>
      </x:c>
      <x:c r="M825" s="103" t="n">
        <x:f>I825*'Inputs &amp; Guide'!$B$6</x:f>
        <x:v>21.655452399389702</x:v>
      </x:c>
      <x:c r="N825" s="103" t="n">
        <x:f>MAX(0,MIN(K825-L825,M825))</x:f>
        <x:v>5.854634437008574</x:v>
      </x:c>
      <x:c r="O825" s="103" t="n">
        <x:f>MAX(0,N825-'Inputs &amp; Guide'!$B$7)</x:f>
        <x:v>0</x:v>
      </x:c>
      <x:c r="P825" s="103" t="n">
        <x:f>N825-O825</x:f>
        <x:v>5.854634437008574</x:v>
      </x:c>
      <x:c r="Q825" s="103" t="n">
        <x:f>I825*'Inputs &amp; Guide'!$B$8</x:f>
        <x:v>0.7087238967072992</x:v>
      </x:c>
      <x:c r="R825" s="104" t="n">
        <x:f>IFERROR(P825/Q825,0)</x:f>
        <x:v>8.260811388199205</x:v>
      </x:c>
      <x:c r="S825" s="105" t="n">
        <x:f>ROUND(E825*XLOOKUP(C825,'Reference Tables'!$E$4:$E$12,'Reference Tables'!$G$4:$G$12,1),1)</x:f>
        <x:v>4.1</x:v>
      </x:c>
      <x:c r="T825" s="106" t="str">
        <x:f>IF(R825&gt;='Inputs &amp; Guide'!$B$9,"HIGH",IF(R825&gt;=0.45,"WATCH","NORMAL"))</x:f>
        <x:v>HIGH</x:v>
      </x:c>
    </x:row>
    <x:row r="826">
      <x:c r="A826" s="95" t="n">
        <x:v>6577</x:v>
      </x:c>
      <x:c r="B826" s="96" t="n">
        <x:v>45566</x:v>
      </x:c>
      <x:c r="C826" s="97" t="str">
        <x:v>Hurricane</x:v>
      </x:c>
      <x:c r="D826" s="97" t="str">
        <x:v>Japan</x:v>
      </x:c>
      <x:c r="E826" s="98" t="n">
        <x:v>9.042912434046817</x:v>
      </x:c>
      <x:c r="F826" s="99" t="n">
        <x:v>166.79367807064662</x:v>
      </x:c>
      <x:c r="G826" s="100" t="str">
        <x:f>XLOOKUP(D826,'Reference Tables'!$A$4:$A$23,'Reference Tables'!$B$4:$B$23,"Other")</x:f>
        <x:v>Asia Pacific</x:v>
      </x:c>
      <x:c r="H826" s="100" t="str">
        <x:f>VLOOKUP(G826,'Reference Tables'!$I$4:$J$9,2,FALSE)</x:f>
        <x:v>High</x:v>
      </x:c>
      <x:c r="I826" s="101" t="n">
        <x:f>F826*'Inputs &amp; Guide'!$B$4*XLOOKUP(D826,'Reference Tables'!$A$4:$A$23,'Reference Tables'!$C$4:$C$23,0.75)</x:f>
        <x:v>31.49064641973808</x:v>
      </x:c>
      <x:c r="J826" s="102" t="n">
        <x:f>XLOOKUP(C826,'Reference Tables'!$E$4:$E$12,'Reference Tables'!$F$4:$F$12,0.05)</x:f>
        <x:v>0.18</x:v>
      </x:c>
      <x:c r="K826" s="103" t="n">
        <x:f>MIN(I826,F826*J826)</x:f>
        <x:v>30.02286205271639</x:v>
      </x:c>
      <x:c r="L826" s="103" t="n">
        <x:f>'Inputs &amp; Guide'!$B$5</x:f>
        <x:v>15</x:v>
      </x:c>
      <x:c r="M826" s="103" t="n">
        <x:f>I826*'Inputs &amp; Guide'!$B$6</x:f>
        <x:v>17.319855530855946</x:v>
      </x:c>
      <x:c r="N826" s="103" t="n">
        <x:f>MAX(0,MIN(K826-L826,M826))</x:f>
        <x:v>15.022862052716391</x:v>
      </x:c>
      <x:c r="O826" s="103" t="n">
        <x:f>MAX(0,N826-'Inputs &amp; Guide'!$B$7)</x:f>
        <x:v>0</x:v>
      </x:c>
      <x:c r="P826" s="103" t="n">
        <x:f>N826-O826</x:f>
        <x:v>15.022862052716391</x:v>
      </x:c>
      <x:c r="Q826" s="103" t="n">
        <x:f>I826*'Inputs &amp; Guide'!$B$8</x:f>
        <x:v>0.5668316355552854</x:v>
      </x:c>
      <x:c r="R826" s="104" t="n">
        <x:f>IFERROR(P826/Q826,0)</x:f>
        <x:v>26.503217376001857</x:v>
      </x:c>
      <x:c r="S826" s="105" t="n">
        <x:f>ROUND(E826*XLOOKUP(C826,'Reference Tables'!$E$4:$E$12,'Reference Tables'!$G$4:$G$12,1),1)</x:f>
        <x:v>12.7</x:v>
      </x:c>
      <x:c r="T826" s="106" t="str">
        <x:f>IF(R826&gt;='Inputs &amp; Guide'!$B$9,"HIGH",IF(R826&gt;=0.45,"WATCH","NORMAL"))</x:f>
        <x:v>HIGH</x:v>
      </x:c>
    </x:row>
    <x:row r="827">
      <x:c r="A827" s="95" t="n">
        <x:v>6585</x:v>
      </x:c>
      <x:c r="B827" s="96" t="n">
        <x:v>45566.104166666664</x:v>
      </x:c>
      <x:c r="C827" s="97" t="str">
        <x:v>Tornado</x:v>
      </x:c>
      <x:c r="D827" s="97" t="str">
        <x:v>China</x:v>
      </x:c>
      <x:c r="E827" s="98" t="n">
        <x:v>8.914388897608962</x:v>
      </x:c>
      <x:c r="F827" s="99" t="n">
        <x:v>450.0240142042693</x:v>
      </x:c>
      <x:c r="G827" s="100" t="str">
        <x:f>XLOOKUP(D827,'Reference Tables'!$A$4:$A$23,'Reference Tables'!$B$4:$B$23,"Other")</x:f>
        <x:v>Asia Pacific</x:v>
      </x:c>
      <x:c r="H827" s="100" t="str">
        <x:f>VLOOKUP(G827,'Reference Tables'!$I$4:$J$9,2,FALSE)</x:f>
        <x:v>High</x:v>
      </x:c>
      <x:c r="I827" s="101" t="n">
        <x:f>F827*'Inputs &amp; Guide'!$B$4*XLOOKUP(D827,'Reference Tables'!$A$4:$A$23,'Reference Tables'!$C$4:$C$23,0.75)</x:f>
        <x:v>77.76414965449774</x:v>
      </x:c>
      <x:c r="J827" s="102" t="n">
        <x:f>XLOOKUP(C827,'Reference Tables'!$E$4:$E$12,'Reference Tables'!$F$4:$F$12,0.05)</x:f>
        <x:v>0.09</x:v>
      </x:c>
      <x:c r="K827" s="103" t="n">
        <x:f>MIN(I827,F827*J827)</x:f>
        <x:v>40.502161278384236</x:v>
      </x:c>
      <x:c r="L827" s="103" t="n">
        <x:f>'Inputs &amp; Guide'!$B$5</x:f>
        <x:v>15</x:v>
      </x:c>
      <x:c r="M827" s="103" t="n">
        <x:f>I827*'Inputs &amp; Guide'!$B$6</x:f>
        <x:v>42.77028230997376</x:v>
      </x:c>
      <x:c r="N827" s="103" t="n">
        <x:f>MAX(0,MIN(K827-L827,M827))</x:f>
        <x:v>25.502161278384236</x:v>
      </x:c>
      <x:c r="O827" s="103" t="n">
        <x:f>MAX(0,N827-'Inputs &amp; Guide'!$B$7)</x:f>
        <x:v>0</x:v>
      </x:c>
      <x:c r="P827" s="103" t="n">
        <x:f>N827-O827</x:f>
        <x:v>25.502161278384236</x:v>
      </x:c>
      <x:c r="Q827" s="103" t="n">
        <x:f>I827*'Inputs &amp; Guide'!$B$8</x:f>
        <x:v>1.3997546937809593</x:v>
      </x:c>
      <x:c r="R827" s="104" t="n">
        <x:f>IFERROR(P827/Q827,0)</x:f>
        <x:v>18.21902179838301</x:v>
      </x:c>
      <x:c r="S827" s="105" t="n">
        <x:f>ROUND(E827*XLOOKUP(C827,'Reference Tables'!$E$4:$E$12,'Reference Tables'!$G$4:$G$12,1),1)</x:f>
        <x:v>9.4</x:v>
      </x:c>
      <x:c r="T827" s="106" t="str">
        <x:f>IF(R827&gt;='Inputs &amp; Guide'!$B$9,"HIGH",IF(R827&gt;=0.45,"WATCH","NORMAL"))</x:f>
        <x:v>HIGH</x:v>
      </x:c>
    </x:row>
    <x:row r="828">
      <x:c r="A828" s="95" t="n">
        <x:v>6593</x:v>
      </x:c>
      <x:c r="B828" s="96" t="n">
        <x:v>45566.4375</x:v>
      </x:c>
      <x:c r="C828" s="97" t="str">
        <x:v>Tornado</x:v>
      </x:c>
      <x:c r="D828" s="97" t="str">
        <x:v>China</x:v>
      </x:c>
      <x:c r="E828" s="98" t="n">
        <x:v>3.061340550584787</x:v>
      </x:c>
      <x:c r="F828" s="99" t="n">
        <x:v>403.84093864151345</x:v>
      </x:c>
      <x:c r="G828" s="100" t="str">
        <x:f>XLOOKUP(D828,'Reference Tables'!$A$4:$A$23,'Reference Tables'!$B$4:$B$23,"Other")</x:f>
        <x:v>Asia Pacific</x:v>
      </x:c>
      <x:c r="H828" s="100" t="str">
        <x:f>VLOOKUP(G828,'Reference Tables'!$I$4:$J$9,2,FALSE)</x:f>
        <x:v>High</x:v>
      </x:c>
      <x:c r="I828" s="101" t="n">
        <x:f>F828*'Inputs &amp; Guide'!$B$4*XLOOKUP(D828,'Reference Tables'!$A$4:$A$23,'Reference Tables'!$C$4:$C$23,0.75)</x:f>
        <x:v>69.78371419725353</x:v>
      </x:c>
      <x:c r="J828" s="102" t="n">
        <x:f>XLOOKUP(C828,'Reference Tables'!$E$4:$E$12,'Reference Tables'!$F$4:$F$12,0.05)</x:f>
        <x:v>0.09</x:v>
      </x:c>
      <x:c r="K828" s="103" t="n">
        <x:f>MIN(I828,F828*J828)</x:f>
        <x:v>36.34568447773621</x:v>
      </x:c>
      <x:c r="L828" s="103" t="n">
        <x:f>'Inputs &amp; Guide'!$B$5</x:f>
        <x:v>15</x:v>
      </x:c>
      <x:c r="M828" s="103" t="n">
        <x:f>I828*'Inputs &amp; Guide'!$B$6</x:f>
        <x:v>38.38104280848945</x:v>
      </x:c>
      <x:c r="N828" s="103" t="n">
        <x:f>MAX(0,MIN(K828-L828,M828))</x:f>
        <x:v>21.345684477736206</x:v>
      </x:c>
      <x:c r="O828" s="103" t="n">
        <x:f>MAX(0,N828-'Inputs &amp; Guide'!$B$7)</x:f>
        <x:v>0</x:v>
      </x:c>
      <x:c r="P828" s="103" t="n">
        <x:f>N828-O828</x:f>
        <x:v>21.345684477736206</x:v>
      </x:c>
      <x:c r="Q828" s="103" t="n">
        <x:f>I828*'Inputs &amp; Guide'!$B$8</x:f>
        <x:v>1.2561068555505635</x:v>
      </x:c>
      <x:c r="R828" s="104" t="n">
        <x:f>IFERROR(P828/Q828,0)</x:f>
        <x:v>16.993525975447522</x:v>
      </x:c>
      <x:c r="S828" s="105" t="n">
        <x:f>ROUND(E828*XLOOKUP(C828,'Reference Tables'!$E$4:$E$12,'Reference Tables'!$G$4:$G$12,1),1)</x:f>
        <x:v>3.2</x:v>
      </x:c>
      <x:c r="T828" s="106" t="str">
        <x:f>IF(R828&gt;='Inputs &amp; Guide'!$B$9,"HIGH",IF(R828&gt;=0.45,"WATCH","NORMAL"))</x:f>
        <x:v>HIGH</x:v>
      </x:c>
    </x:row>
    <x:row r="829">
      <x:c r="A829" s="95" t="n">
        <x:v>6601</x:v>
      </x:c>
      <x:c r="B829" s="96" t="n">
        <x:v>45567</x:v>
      </x:c>
      <x:c r="C829" s="97" t="str">
        <x:v>Flood</x:v>
      </x:c>
      <x:c r="D829" s="97" t="str">
        <x:v>Indonesia</x:v>
      </x:c>
      <x:c r="E829" s="98" t="n">
        <x:v>7.790877222935352</x:v>
      </x:c>
      <x:c r="F829" s="99" t="n">
        <x:v>785.9892961333775</x:v>
      </x:c>
      <x:c r="G829" s="100" t="str">
        <x:f>XLOOKUP(D829,'Reference Tables'!$A$4:$A$23,'Reference Tables'!$B$4:$B$23,"Other")</x:f>
        <x:v>Asia Pacific</x:v>
      </x:c>
      <x:c r="H829" s="100" t="str">
        <x:f>VLOOKUP(G829,'Reference Tables'!$I$4:$J$9,2,FALSE)</x:f>
        <x:v>High</x:v>
      </x:c>
      <x:c r="I829" s="101" t="n">
        <x:f>F829*'Inputs &amp; Guide'!$B$4*XLOOKUP(D829,'Reference Tables'!$A$4:$A$23,'Reference Tables'!$C$4:$C$23,0.75)</x:f>
        <x:v>129.5310360027806</x:v>
      </x:c>
      <x:c r="J829" s="102" t="n">
        <x:f>XLOOKUP(C829,'Reference Tables'!$E$4:$E$12,'Reference Tables'!$F$4:$F$12,0.05)</x:f>
        <x:v>0.12</x:v>
      </x:c>
      <x:c r="K829" s="103" t="n">
        <x:f>MIN(I829,F829*J829)</x:f>
        <x:v>94.3187155360053</x:v>
      </x:c>
      <x:c r="L829" s="103" t="n">
        <x:f>'Inputs &amp; Guide'!$B$5</x:f>
        <x:v>15</x:v>
      </x:c>
      <x:c r="M829" s="103" t="n">
        <x:f>I829*'Inputs &amp; Guide'!$B$6</x:f>
        <x:v>71.24206980152934</x:v>
      </x:c>
      <x:c r="N829" s="103" t="n">
        <x:f>MAX(0,MIN(K829-L829,M829))</x:f>
        <x:v>71.24206980152934</x:v>
      </x:c>
      <x:c r="O829" s="103" t="n">
        <x:f>MAX(0,N829-'Inputs &amp; Guide'!$B$7)</x:f>
        <x:v>11.24206980152934</x:v>
      </x:c>
      <x:c r="P829" s="103" t="n">
        <x:f>N829-O829</x:f>
        <x:v>60</x:v>
      </x:c>
      <x:c r="Q829" s="103" t="n">
        <x:f>I829*'Inputs &amp; Guide'!$B$8</x:f>
        <x:v>2.3315586480500508</x:v>
      </x:c>
      <x:c r="R829" s="104" t="n">
        <x:f>IFERROR(P829/Q829,0)</x:f>
        <x:v>25.733858357017834</x:v>
      </x:c>
      <x:c r="S829" s="105" t="n">
        <x:f>ROUND(E829*XLOOKUP(C829,'Reference Tables'!$E$4:$E$12,'Reference Tables'!$G$4:$G$12,1),1)</x:f>
        <x:v>9.7</x:v>
      </x:c>
      <x:c r="T829" s="106" t="str">
        <x:f>IF(R829&gt;='Inputs &amp; Guide'!$B$9,"HIGH",IF(R829&gt;=0.45,"WATCH","NORMAL"))</x:f>
        <x:v>HIGH</x:v>
      </x:c>
    </x:row>
    <x:row r="830">
      <x:c r="A830" s="95" t="n">
        <x:v>6609</x:v>
      </x:c>
      <x:c r="B830" s="96" t="n">
        <x:v>45567.104166666664</x:v>
      </x:c>
      <x:c r="C830" s="97" t="str">
        <x:v>Tornado</x:v>
      </x:c>
      <x:c r="D830" s="97" t="str">
        <x:v>India</x:v>
      </x:c>
      <x:c r="E830" s="98" t="n">
        <x:v>1.2640997971330044</x:v>
      </x:c>
      <x:c r="F830" s="99" t="n">
        <x:v>237.52013514785557</x:v>
      </x:c>
      <x:c r="G830" s="100" t="str">
        <x:f>XLOOKUP(D830,'Reference Tables'!$A$4:$A$23,'Reference Tables'!$B$4:$B$23,"Other")</x:f>
        <x:v>Asia Pacific</x:v>
      </x:c>
      <x:c r="H830" s="100" t="str">
        <x:f>VLOOKUP(G830,'Reference Tables'!$I$4:$J$9,2,FALSE)</x:f>
        <x:v>High</x:v>
      </x:c>
      <x:c r="I830" s="101" t="n">
        <x:f>F830*'Inputs &amp; Guide'!$B$4*XLOOKUP(D830,'Reference Tables'!$A$4:$A$23,'Reference Tables'!$C$4:$C$23,0.75)</x:f>
        <x:v>34.582931677527775</x:v>
      </x:c>
      <x:c r="J830" s="102" t="n">
        <x:f>XLOOKUP(C830,'Reference Tables'!$E$4:$E$12,'Reference Tables'!$F$4:$F$12,0.05)</x:f>
        <x:v>0.09</x:v>
      </x:c>
      <x:c r="K830" s="103" t="n">
        <x:f>MIN(I830,F830*J830)</x:f>
        <x:v>21.376812163307</x:v>
      </x:c>
      <x:c r="L830" s="103" t="n">
        <x:f>'Inputs &amp; Guide'!$B$5</x:f>
        <x:v>15</x:v>
      </x:c>
      <x:c r="M830" s="103" t="n">
        <x:f>I830*'Inputs &amp; Guide'!$B$6</x:f>
        <x:v>19.020612422640276</x:v>
      </x:c>
      <x:c r="N830" s="103" t="n">
        <x:f>MAX(0,MIN(K830-L830,M830))</x:f>
        <x:v>6.376812163307001</x:v>
      </x:c>
      <x:c r="O830" s="103" t="n">
        <x:f>MAX(0,N830-'Inputs &amp; Guide'!$B$7)</x:f>
        <x:v>0</x:v>
      </x:c>
      <x:c r="P830" s="103" t="n">
        <x:f>N830-O830</x:f>
        <x:v>6.376812163307001</x:v>
      </x:c>
      <x:c r="Q830" s="103" t="n">
        <x:f>I830*'Inputs &amp; Guide'!$B$8</x:f>
        <x:v>0.6224927701954999</x:v>
      </x:c>
      <x:c r="R830" s="104" t="n">
        <x:f>IFERROR(P830/Q830,0)</x:f>
        <x:v>10.243993936354155</x:v>
      </x:c>
      <x:c r="S830" s="105" t="n">
        <x:f>ROUND(E830*XLOOKUP(C830,'Reference Tables'!$E$4:$E$12,'Reference Tables'!$G$4:$G$12,1),1)</x:f>
        <x:v>1.3</x:v>
      </x:c>
      <x:c r="T830" s="106" t="str">
        <x:f>IF(R830&gt;='Inputs &amp; Guide'!$B$9,"HIGH",IF(R830&gt;=0.45,"WATCH","NORMAL"))</x:f>
        <x:v>HIGH</x:v>
      </x:c>
    </x:row>
    <x:row r="831">
      <x:c r="A831" s="95" t="n">
        <x:v>6617</x:v>
      </x:c>
      <x:c r="B831" s="96" t="n">
        <x:v>45567.4375</x:v>
      </x:c>
      <x:c r="C831" s="97" t="str">
        <x:v>Flood</x:v>
      </x:c>
      <x:c r="D831" s="97" t="str">
        <x:v>Indonesia</x:v>
      </x:c>
      <x:c r="E831" s="98" t="n">
        <x:v>7.635478361186433</x:v>
      </x:c>
      <x:c r="F831" s="99" t="n">
        <x:v>416.88151040470206</x:v>
      </x:c>
      <x:c r="G831" s="100" t="str">
        <x:f>XLOOKUP(D831,'Reference Tables'!$A$4:$A$23,'Reference Tables'!$B$4:$B$23,"Other")</x:f>
        <x:v>Asia Pacific</x:v>
      </x:c>
      <x:c r="H831" s="100" t="str">
        <x:f>VLOOKUP(G831,'Reference Tables'!$I$4:$J$9,2,FALSE)</x:f>
        <x:v>High</x:v>
      </x:c>
      <x:c r="I831" s="101" t="n">
        <x:f>F831*'Inputs &amp; Guide'!$B$4*XLOOKUP(D831,'Reference Tables'!$A$4:$A$23,'Reference Tables'!$C$4:$C$23,0.75)</x:f>
        <x:v>68.7020729146949</x:v>
      </x:c>
      <x:c r="J831" s="102" t="n">
        <x:f>XLOOKUP(C831,'Reference Tables'!$E$4:$E$12,'Reference Tables'!$F$4:$F$12,0.05)</x:f>
        <x:v>0.12</x:v>
      </x:c>
      <x:c r="K831" s="103" t="n">
        <x:f>MIN(I831,F831*J831)</x:f>
        <x:v>50.02578124856424</x:v>
      </x:c>
      <x:c r="L831" s="103" t="n">
        <x:f>'Inputs &amp; Guide'!$B$5</x:f>
        <x:v>15</x:v>
      </x:c>
      <x:c r="M831" s="103" t="n">
        <x:f>I831*'Inputs &amp; Guide'!$B$6</x:f>
        <x:v>37.7861401030822</x:v>
      </x:c>
      <x:c r="N831" s="103" t="n">
        <x:f>MAX(0,MIN(K831-L831,M831))</x:f>
        <x:v>35.02578124856424</x:v>
      </x:c>
      <x:c r="O831" s="103" t="n">
        <x:f>MAX(0,N831-'Inputs &amp; Guide'!$B$7)</x:f>
        <x:v>0</x:v>
      </x:c>
      <x:c r="P831" s="103" t="n">
        <x:f>N831-O831</x:f>
        <x:v>35.02578124856424</x:v>
      </x:c>
      <x:c r="Q831" s="103" t="n">
        <x:f>I831*'Inputs &amp; Guide'!$B$8</x:f>
        <x:v>1.236637312464508</x:v>
      </x:c>
      <x:c r="R831" s="104" t="n">
        <x:f>IFERROR(P831/Q831,0)</x:f>
        <x:v>28.323406463258802</x:v>
      </x:c>
      <x:c r="S831" s="105" t="n">
        <x:f>ROUND(E831*XLOOKUP(C831,'Reference Tables'!$E$4:$E$12,'Reference Tables'!$G$4:$G$12,1),1)</x:f>
        <x:v>9.5</x:v>
      </x:c>
      <x:c r="T831" s="106" t="str">
        <x:f>IF(R831&gt;='Inputs &amp; Guide'!$B$9,"HIGH",IF(R831&gt;=0.45,"WATCH","NORMAL"))</x:f>
        <x:v>HIGH</x:v>
      </x:c>
    </x:row>
    <x:row r="832">
      <x:c r="A832" s="95" t="n">
        <x:v>6625</x:v>
      </x:c>
      <x:c r="B832" s="96" t="n">
        <x:v>45568</x:v>
      </x:c>
      <x:c r="C832" s="97" t="str">
        <x:v>Flood</x:v>
      </x:c>
      <x:c r="D832" s="97" t="str">
        <x:v>Brazil</x:v>
      </x:c>
      <x:c r="E832" s="98" t="n">
        <x:v>6.49874983043104</x:v>
      </x:c>
      <x:c r="F832" s="99" t="n">
        <x:v>881.5174202244909</x:v>
      </x:c>
      <x:c r="G832" s="100" t="str">
        <x:f>XLOOKUP(D832,'Reference Tables'!$A$4:$A$23,'Reference Tables'!$B$4:$B$23,"Other")</x:f>
        <x:v>Latin America</x:v>
      </x:c>
      <x:c r="H832" s="100" t="str">
        <x:f>VLOOKUP(G832,'Reference Tables'!$I$4:$J$9,2,FALSE)</x:f>
        <x:v>Moderate</x:v>
      </x:c>
      <x:c r="I832" s="101" t="n">
        <x:f>F832*'Inputs &amp; Guide'!$B$4*XLOOKUP(D832,'Reference Tables'!$A$4:$A$23,'Reference Tables'!$C$4:$C$23,0.75)</x:f>
        <x:v>115.6550855334532</x:v>
      </x:c>
      <x:c r="J832" s="102" t="n">
        <x:f>XLOOKUP(C832,'Reference Tables'!$E$4:$E$12,'Reference Tables'!$F$4:$F$12,0.05)</x:f>
        <x:v>0.12</x:v>
      </x:c>
      <x:c r="K832" s="103" t="n">
        <x:f>MIN(I832,F832*J832)</x:f>
        <x:v>105.78209042693891</x:v>
      </x:c>
      <x:c r="L832" s="103" t="n">
        <x:f>'Inputs &amp; Guide'!$B$5</x:f>
        <x:v>15</x:v>
      </x:c>
      <x:c r="M832" s="103" t="n">
        <x:f>I832*'Inputs &amp; Guide'!$B$6</x:f>
        <x:v>63.610297043399264</x:v>
      </x:c>
      <x:c r="N832" s="103" t="n">
        <x:f>MAX(0,MIN(K832-L832,M832))</x:f>
        <x:v>63.610297043399264</x:v>
      </x:c>
      <x:c r="O832" s="103" t="n">
        <x:f>MAX(0,N832-'Inputs &amp; Guide'!$B$7)</x:f>
        <x:v>3.610297043399264</x:v>
      </x:c>
      <x:c r="P832" s="103" t="n">
        <x:f>N832-O832</x:f>
        <x:v>60</x:v>
      </x:c>
      <x:c r="Q832" s="103" t="n">
        <x:f>I832*'Inputs &amp; Guide'!$B$8</x:f>
        <x:v>2.0817915396021576</x:v>
      </x:c>
      <x:c r="R832" s="104" t="n">
        <x:f>IFERROR(P832/Q832,0)</x:f>
        <x:v>28.82132954170154</x:v>
      </x:c>
      <x:c r="S832" s="105" t="n">
        <x:f>ROUND(E832*XLOOKUP(C832,'Reference Tables'!$E$4:$E$12,'Reference Tables'!$G$4:$G$12,1),1)</x:f>
        <x:v>8.1</x:v>
      </x:c>
      <x:c r="T832" s="106" t="str">
        <x:f>IF(R832&gt;='Inputs &amp; Guide'!$B$9,"HIGH",IF(R832&gt;=0.45,"WATCH","NORMAL"))</x:f>
        <x:v>HIGH</x:v>
      </x:c>
    </x:row>
    <x:row r="833">
      <x:c r="A833" s="95" t="n">
        <x:v>6633</x:v>
      </x:c>
      <x:c r="B833" s="96" t="n">
        <x:v>45568.104166666664</x:v>
      </x:c>
      <x:c r="C833" s="97" t="str">
        <x:v>Earthquake</x:v>
      </x:c>
      <x:c r="D833" s="97" t="str">
        <x:v>India</x:v>
      </x:c>
      <x:c r="E833" s="98" t="n">
        <x:v>4.393229538952889</x:v>
      </x:c>
      <x:c r="F833" s="99" t="n">
        <x:v>954.4119714727789</x:v>
      </x:c>
      <x:c r="G833" s="100" t="str">
        <x:f>XLOOKUP(D833,'Reference Tables'!$A$4:$A$23,'Reference Tables'!$B$4:$B$23,"Other")</x:f>
        <x:v>Asia Pacific</x:v>
      </x:c>
      <x:c r="H833" s="100" t="str">
        <x:f>VLOOKUP(G833,'Reference Tables'!$I$4:$J$9,2,FALSE)</x:f>
        <x:v>High</x:v>
      </x:c>
      <x:c r="I833" s="101" t="n">
        <x:f>F833*'Inputs &amp; Guide'!$B$4*XLOOKUP(D833,'Reference Tables'!$A$4:$A$23,'Reference Tables'!$C$4:$C$23,0.75)</x:f>
        <x:v>138.9623830464366</x:v>
      </x:c>
      <x:c r="J833" s="102" t="n">
        <x:f>XLOOKUP(C833,'Reference Tables'!$E$4:$E$12,'Reference Tables'!$F$4:$F$12,0.05)</x:f>
        <x:v>0.14</x:v>
      </x:c>
      <x:c r="K833" s="103" t="n">
        <x:f>MIN(I833,F833*J833)</x:f>
        <x:v>133.61767600618904</x:v>
      </x:c>
      <x:c r="L833" s="103" t="n">
        <x:f>'Inputs &amp; Guide'!$B$5</x:f>
        <x:v>15</x:v>
      </x:c>
      <x:c r="M833" s="103" t="n">
        <x:f>I833*'Inputs &amp; Guide'!$B$6</x:f>
        <x:v>76.42931067554014</x:v>
      </x:c>
      <x:c r="N833" s="103" t="n">
        <x:f>MAX(0,MIN(K833-L833,M833))</x:f>
        <x:v>76.42931067554014</x:v>
      </x:c>
      <x:c r="O833" s="103" t="n">
        <x:f>MAX(0,N833-'Inputs &amp; Guide'!$B$7)</x:f>
        <x:v>16.429310675540137</x:v>
      </x:c>
      <x:c r="P833" s="103" t="n">
        <x:f>N833-O833</x:f>
        <x:v>60</x:v>
      </x:c>
      <x:c r="Q833" s="103" t="n">
        <x:f>I833*'Inputs &amp; Guide'!$B$8</x:f>
        <x:v>2.501322894835859</x:v>
      </x:c>
      <x:c r="R833" s="104" t="n">
        <x:f>IFERROR(P833/Q833,0)</x:f>
        <x:v>23.98730692621646</x:v>
      </x:c>
      <x:c r="S833" s="105" t="n">
        <x:f>ROUND(E833*XLOOKUP(C833,'Reference Tables'!$E$4:$E$12,'Reference Tables'!$G$4:$G$12,1),1)</x:f>
        <x:v>6.6</x:v>
      </x:c>
      <x:c r="T833" s="106" t="str">
        <x:f>IF(R833&gt;='Inputs &amp; Guide'!$B$9,"HIGH",IF(R833&gt;=0.45,"WATCH","NORMAL"))</x:f>
        <x:v>HIGH</x:v>
      </x:c>
    </x:row>
    <x:row r="834">
      <x:c r="A834" s="95" t="n">
        <x:v>6641</x:v>
      </x:c>
      <x:c r="B834" s="96" t="n">
        <x:v>45568.4375</x:v>
      </x:c>
      <x:c r="C834" s="97" t="str">
        <x:v>Earthquake</x:v>
      </x:c>
      <x:c r="D834" s="97" t="str">
        <x:v>USA</x:v>
      </x:c>
      <x:c r="E834" s="98" t="n">
        <x:v>9.692669885168538</x:v>
      </x:c>
      <x:c r="F834" s="99" t="n">
        <x:v>58.18133475356408</x:v>
      </x:c>
      <x:c r="G834" s="100" t="str">
        <x:f>XLOOKUP(D834,'Reference Tables'!$A$4:$A$23,'Reference Tables'!$B$4:$B$23,"Other")</x:f>
        <x:v>Other</x:v>
      </x:c>
      <x:c r="H834" s="100" t="str">
        <x:f>VLOOKUP(G834,'Reference Tables'!$I$4:$J$9,2,FALSE)</x:f>
        <x:v>Moderate</x:v>
      </x:c>
      <x:c r="I834" s="101" t="n">
        <x:f>F834*'Inputs &amp; Guide'!$B$4*XLOOKUP(D834,'Reference Tables'!$A$4:$A$23,'Reference Tables'!$C$4:$C$23,0.75)</x:f>
        <x:v>6.98176017042769</x:v>
      </x:c>
      <x:c r="J834" s="102" t="n">
        <x:f>XLOOKUP(C834,'Reference Tables'!$E$4:$E$12,'Reference Tables'!$F$4:$F$12,0.05)</x:f>
        <x:v>0.14</x:v>
      </x:c>
      <x:c r="K834" s="103" t="n">
        <x:f>MIN(I834,F834*J834)</x:f>
        <x:v>6.98176017042769</x:v>
      </x:c>
      <x:c r="L834" s="103" t="n">
        <x:f>'Inputs &amp; Guide'!$B$5</x:f>
        <x:v>15</x:v>
      </x:c>
      <x:c r="M834" s="103" t="n">
        <x:f>I834*'Inputs &amp; Guide'!$B$6</x:f>
        <x:v>3.83996809373523</x:v>
      </x:c>
      <x:c r="N834" s="103" t="n">
        <x:f>MAX(0,MIN(K834-L834,M834))</x:f>
        <x:v>0</x:v>
      </x:c>
      <x:c r="O834" s="103" t="n">
        <x:f>MAX(0,N834-'Inputs &amp; Guide'!$B$7)</x:f>
        <x:v>0</x:v>
      </x:c>
      <x:c r="P834" s="103" t="n">
        <x:f>N834-O834</x:f>
        <x:v>0</x:v>
      </x:c>
      <x:c r="Q834" s="103" t="n">
        <x:f>I834*'Inputs &amp; Guide'!$B$8</x:f>
        <x:v>0.1256716830676984</x:v>
      </x:c>
      <x:c r="R834" s="104" t="n">
        <x:f>IFERROR(P834/Q834,0)</x:f>
        <x:v>0</x:v>
      </x:c>
      <x:c r="S834" s="105" t="n">
        <x:f>ROUND(E834*XLOOKUP(C834,'Reference Tables'!$E$4:$E$12,'Reference Tables'!$G$4:$G$12,1),1)</x:f>
        <x:v>14.5</x:v>
      </x:c>
      <x:c r="T834" s="106" t="str">
        <x:f>IF(R834&gt;='Inputs &amp; Guide'!$B$9,"HIGH",IF(R834&gt;=0.45,"WATCH","NORMAL"))</x:f>
        <x:v>NORMAL</x:v>
      </x:c>
    </x:row>
    <x:row r="835">
      <x:c r="A835" s="95" t="n">
        <x:v>6649</x:v>
      </x:c>
      <x:c r="B835" s="96" t="n">
        <x:v>45569</x:v>
      </x:c>
      <x:c r="C835" s="97" t="str">
        <x:v>Earthquake</x:v>
      </x:c>
      <x:c r="D835" s="97" t="str">
        <x:v>USA</x:v>
      </x:c>
      <x:c r="E835" s="98" t="n">
        <x:v>1.0920374268740383</x:v>
      </x:c>
      <x:c r="F835" s="99" t="n">
        <x:v>258.2747892341446</x:v>
      </x:c>
      <x:c r="G835" s="100" t="str">
        <x:f>XLOOKUP(D835,'Reference Tables'!$A$4:$A$23,'Reference Tables'!$B$4:$B$23,"Other")</x:f>
        <x:v>Other</x:v>
      </x:c>
      <x:c r="H835" s="100" t="str">
        <x:f>VLOOKUP(G835,'Reference Tables'!$I$4:$J$9,2,FALSE)</x:f>
        <x:v>Moderate</x:v>
      </x:c>
      <x:c r="I835" s="101" t="n">
        <x:f>F835*'Inputs &amp; Guide'!$B$4*XLOOKUP(D835,'Reference Tables'!$A$4:$A$23,'Reference Tables'!$C$4:$C$23,0.75)</x:f>
        <x:v>30.99297470809735</x:v>
      </x:c>
      <x:c r="J835" s="102" t="n">
        <x:f>XLOOKUP(C835,'Reference Tables'!$E$4:$E$12,'Reference Tables'!$F$4:$F$12,0.05)</x:f>
        <x:v>0.14</x:v>
      </x:c>
      <x:c r="K835" s="103" t="n">
        <x:f>MIN(I835,F835*J835)</x:f>
        <x:v>30.99297470809735</x:v>
      </x:c>
      <x:c r="L835" s="103" t="n">
        <x:f>'Inputs &amp; Guide'!$B$5</x:f>
        <x:v>15</x:v>
      </x:c>
      <x:c r="M835" s="103" t="n">
        <x:f>I835*'Inputs &amp; Guide'!$B$6</x:f>
        <x:v>17.046136089453544</x:v>
      </x:c>
      <x:c r="N835" s="103" t="n">
        <x:f>MAX(0,MIN(K835-L835,M835))</x:f>
        <x:v>15.99297470809735</x:v>
      </x:c>
      <x:c r="O835" s="103" t="n">
        <x:f>MAX(0,N835-'Inputs &amp; Guide'!$B$7)</x:f>
        <x:v>0</x:v>
      </x:c>
      <x:c r="P835" s="103" t="n">
        <x:f>N835-O835</x:f>
        <x:v>15.99297470809735</x:v>
      </x:c>
      <x:c r="Q835" s="103" t="n">
        <x:f>I835*'Inputs &amp; Guide'!$B$8</x:f>
        <x:v>0.5578735447457522</x:v>
      </x:c>
      <x:c r="R835" s="104" t="n">
        <x:f>IFERROR(P835/Q835,0)</x:f>
        <x:v>28.667741746717994</x:v>
      </x:c>
      <x:c r="S835" s="105" t="n">
        <x:f>ROUND(E835*XLOOKUP(C835,'Reference Tables'!$E$4:$E$12,'Reference Tables'!$G$4:$G$12,1),1)</x:f>
        <x:v>1.6</x:v>
      </x:c>
      <x:c r="T835" s="106" t="str">
        <x:f>IF(R835&gt;='Inputs &amp; Guide'!$B$9,"HIGH",IF(R835&gt;=0.45,"WATCH","NORMAL"))</x:f>
        <x:v>HIGH</x:v>
      </x:c>
    </x:row>
    <x:row r="836">
      <x:c r="A836" s="95" t="n">
        <x:v>6657</x:v>
      </x:c>
      <x:c r="B836" s="96" t="n">
        <x:v>45569.104166666664</x:v>
      </x:c>
      <x:c r="C836" s="97" t="str">
        <x:v>Tornado</x:v>
      </x:c>
      <x:c r="D836" s="97" t="str">
        <x:v>China</x:v>
      </x:c>
      <x:c r="E836" s="98" t="n">
        <x:v>6.421657486921252</x:v>
      </x:c>
      <x:c r="F836" s="99" t="n">
        <x:v>234.13434252187523</x:v>
      </x:c>
      <x:c r="G836" s="100" t="str">
        <x:f>XLOOKUP(D836,'Reference Tables'!$A$4:$A$23,'Reference Tables'!$B$4:$B$23,"Other")</x:f>
        <x:v>Asia Pacific</x:v>
      </x:c>
      <x:c r="H836" s="100" t="str">
        <x:f>VLOOKUP(G836,'Reference Tables'!$I$4:$J$9,2,FALSE)</x:f>
        <x:v>High</x:v>
      </x:c>
      <x:c r="I836" s="101" t="n">
        <x:f>F836*'Inputs &amp; Guide'!$B$4*XLOOKUP(D836,'Reference Tables'!$A$4:$A$23,'Reference Tables'!$C$4:$C$23,0.75)</x:f>
        <x:v>40.458414387780046</x:v>
      </x:c>
      <x:c r="J836" s="102" t="n">
        <x:f>XLOOKUP(C836,'Reference Tables'!$E$4:$E$12,'Reference Tables'!$F$4:$F$12,0.05)</x:f>
        <x:v>0.09</x:v>
      </x:c>
      <x:c r="K836" s="103" t="n">
        <x:f>MIN(I836,F836*J836)</x:f>
        <x:v>21.07209082696877</x:v>
      </x:c>
      <x:c r="L836" s="103" t="n">
        <x:f>'Inputs &amp; Guide'!$B$5</x:f>
        <x:v>15</x:v>
      </x:c>
      <x:c r="M836" s="103" t="n">
        <x:f>I836*'Inputs &amp; Guide'!$B$6</x:f>
        <x:v>22.252127913279026</x:v>
      </x:c>
      <x:c r="N836" s="103" t="n">
        <x:f>MAX(0,MIN(K836-L836,M836))</x:f>
        <x:v>6.072090826968768</x:v>
      </x:c>
      <x:c r="O836" s="103" t="n">
        <x:f>MAX(0,N836-'Inputs &amp; Guide'!$B$7)</x:f>
        <x:v>0</x:v>
      </x:c>
      <x:c r="P836" s="103" t="n">
        <x:f>N836-O836</x:f>
        <x:v>6.072090826968768</x:v>
      </x:c>
      <x:c r="Q836" s="103" t="n">
        <x:f>I836*'Inputs &amp; Guide'!$B$8</x:f>
        <x:v>0.7282514589800407</x:v>
      </x:c>
      <x:c r="R836" s="104" t="n">
        <x:f>IFERROR(P836/Q836,0)</x:f>
        <x:v>8.337904101796227</x:v>
      </x:c>
      <x:c r="S836" s="105" t="n">
        <x:f>ROUND(E836*XLOOKUP(C836,'Reference Tables'!$E$4:$E$12,'Reference Tables'!$G$4:$G$12,1),1)</x:f>
        <x:v>6.7</x:v>
      </x:c>
      <x:c r="T836" s="106" t="str">
        <x:f>IF(R836&gt;='Inputs &amp; Guide'!$B$9,"HIGH",IF(R836&gt;=0.45,"WATCH","NORMAL"))</x:f>
        <x:v>HIGH</x:v>
      </x:c>
    </x:row>
    <x:row r="837">
      <x:c r="A837" s="95" t="n">
        <x:v>6665</x:v>
      </x:c>
      <x:c r="B837" s="96" t="n">
        <x:v>45569.4375</x:v>
      </x:c>
      <x:c r="C837" s="97" t="str">
        <x:v>Hurricane</x:v>
      </x:c>
      <x:c r="D837" s="97" t="str">
        <x:v>Brazil</x:v>
      </x:c>
      <x:c r="E837" s="98" t="n">
        <x:v>5.367893763496076</x:v>
      </x:c>
      <x:c r="F837" s="99" t="n">
        <x:v>630.486462724733</x:v>
      </x:c>
      <x:c r="G837" s="100" t="str">
        <x:f>XLOOKUP(D837,'Reference Tables'!$A$4:$A$23,'Reference Tables'!$B$4:$B$23,"Other")</x:f>
        <x:v>Latin America</x:v>
      </x:c>
      <x:c r="H837" s="100" t="str">
        <x:f>VLOOKUP(G837,'Reference Tables'!$I$4:$J$9,2,FALSE)</x:f>
        <x:v>Moderate</x:v>
      </x:c>
      <x:c r="I837" s="101" t="n">
        <x:f>F837*'Inputs &amp; Guide'!$B$4*XLOOKUP(D837,'Reference Tables'!$A$4:$A$23,'Reference Tables'!$C$4:$C$23,0.75)</x:f>
        <x:v>82.71982390948496</x:v>
      </x:c>
      <x:c r="J837" s="102" t="n">
        <x:f>XLOOKUP(C837,'Reference Tables'!$E$4:$E$12,'Reference Tables'!$F$4:$F$12,0.05)</x:f>
        <x:v>0.18</x:v>
      </x:c>
      <x:c r="K837" s="103" t="n">
        <x:f>MIN(I837,F837*J837)</x:f>
        <x:v>82.71982390948496</x:v>
      </x:c>
      <x:c r="L837" s="103" t="n">
        <x:f>'Inputs &amp; Guide'!$B$5</x:f>
        <x:v>15</x:v>
      </x:c>
      <x:c r="M837" s="103" t="n">
        <x:f>I837*'Inputs &amp; Guide'!$B$6</x:f>
        <x:v>45.49590315021673</x:v>
      </x:c>
      <x:c r="N837" s="103" t="n">
        <x:f>MAX(0,MIN(K837-L837,M837))</x:f>
        <x:v>45.49590315021673</x:v>
      </x:c>
      <x:c r="O837" s="103" t="n">
        <x:f>MAX(0,N837-'Inputs &amp; Guide'!$B$7)</x:f>
        <x:v>0</x:v>
      </x:c>
      <x:c r="P837" s="103" t="n">
        <x:f>N837-O837</x:f>
        <x:v>45.49590315021673</x:v>
      </x:c>
      <x:c r="Q837" s="103" t="n">
        <x:f>I837*'Inputs &amp; Guide'!$B$8</x:f>
        <x:v>1.4889568303707292</x:v>
      </x:c>
      <x:c r="R837" s="104" t="n">
        <x:f>IFERROR(P837/Q837,0)</x:f>
        <x:v>30.55555555555556</x:v>
      </x:c>
      <x:c r="S837" s="105" t="n">
        <x:f>ROUND(E837*XLOOKUP(C837,'Reference Tables'!$E$4:$E$12,'Reference Tables'!$G$4:$G$12,1),1)</x:f>
        <x:v>7.5</x:v>
      </x:c>
      <x:c r="T837" s="106" t="str">
        <x:f>IF(R837&gt;='Inputs &amp; Guide'!$B$9,"HIGH",IF(R837&gt;=0.45,"WATCH","NORMAL"))</x:f>
        <x:v>HIGH</x:v>
      </x:c>
    </x:row>
    <x:row r="838">
      <x:c r="A838" s="95" t="n">
        <x:v>6673</x:v>
      </x:c>
      <x:c r="B838" s="96" t="n">
        <x:v>45570</x:v>
      </x:c>
      <x:c r="C838" s="97" t="str">
        <x:v>Hurricane</x:v>
      </x:c>
      <x:c r="D838" s="97" t="str">
        <x:v>Indonesia</x:v>
      </x:c>
      <x:c r="E838" s="98" t="n">
        <x:v>3.7658879380100765</x:v>
      </x:c>
      <x:c r="F838" s="99" t="n">
        <x:v>124.16123617678194</x:v>
      </x:c>
      <x:c r="G838" s="100" t="str">
        <x:f>XLOOKUP(D838,'Reference Tables'!$A$4:$A$23,'Reference Tables'!$B$4:$B$23,"Other")</x:f>
        <x:v>Asia Pacific</x:v>
      </x:c>
      <x:c r="H838" s="100" t="str">
        <x:f>VLOOKUP(G838,'Reference Tables'!$I$4:$J$9,2,FALSE)</x:f>
        <x:v>High</x:v>
      </x:c>
      <x:c r="I838" s="101" t="n">
        <x:f>F838*'Inputs &amp; Guide'!$B$4*XLOOKUP(D838,'Reference Tables'!$A$4:$A$23,'Reference Tables'!$C$4:$C$23,0.75)</x:f>
        <x:v>20.461771721933665</x:v>
      </x:c>
      <x:c r="J838" s="102" t="n">
        <x:f>XLOOKUP(C838,'Reference Tables'!$E$4:$E$12,'Reference Tables'!$F$4:$F$12,0.05)</x:f>
        <x:v>0.18</x:v>
      </x:c>
      <x:c r="K838" s="103" t="n">
        <x:f>MIN(I838,F838*J838)</x:f>
        <x:v>20.461771721933665</x:v>
      </x:c>
      <x:c r="L838" s="103" t="n">
        <x:f>'Inputs &amp; Guide'!$B$5</x:f>
        <x:v>15</x:v>
      </x:c>
      <x:c r="M838" s="103" t="n">
        <x:f>I838*'Inputs &amp; Guide'!$B$6</x:f>
        <x:v>11.253974447063516</x:v>
      </x:c>
      <x:c r="N838" s="103" t="n">
        <x:f>MAX(0,MIN(K838-L838,M838))</x:f>
        <x:v>5.4617717219336654</x:v>
      </x:c>
      <x:c r="O838" s="103" t="n">
        <x:f>MAX(0,N838-'Inputs &amp; Guide'!$B$7)</x:f>
        <x:v>0</x:v>
      </x:c>
      <x:c r="P838" s="103" t="n">
        <x:f>N838-O838</x:f>
        <x:v>5.4617717219336654</x:v>
      </x:c>
      <x:c r="Q838" s="103" t="n">
        <x:f>I838*'Inputs &amp; Guide'!$B$8</x:f>
        <x:v>0.36831189099480593</x:v>
      </x:c>
      <x:c r="R838" s="104" t="n">
        <x:f>IFERROR(P838/Q838,0)</x:f>
        <x:v>14.829202791095032</x:v>
      </x:c>
      <x:c r="S838" s="105" t="n">
        <x:f>ROUND(E838*XLOOKUP(C838,'Reference Tables'!$E$4:$E$12,'Reference Tables'!$G$4:$G$12,1),1)</x:f>
        <x:v>5.3</x:v>
      </x:c>
      <x:c r="T838" s="106" t="str">
        <x:f>IF(R838&gt;='Inputs &amp; Guide'!$B$9,"HIGH",IF(R838&gt;=0.45,"WATCH","NORMAL"))</x:f>
        <x:v>HIGH</x:v>
      </x:c>
    </x:row>
    <x:row r="839">
      <x:c r="A839" s="95" t="n">
        <x:v>6681</x:v>
      </x:c>
      <x:c r="B839" s="96" t="n">
        <x:v>45570.104166666664</x:v>
      </x:c>
      <x:c r="C839" s="97" t="str">
        <x:v>Wildfire</x:v>
      </x:c>
      <x:c r="D839" s="97" t="str">
        <x:v>Indonesia</x:v>
      </x:c>
      <x:c r="E839" s="98" t="n">
        <x:v>2.2925652857685903</x:v>
      </x:c>
      <x:c r="F839" s="99" t="n">
        <x:v>700.3612126033391</x:v>
      </x:c>
      <x:c r="G839" s="100" t="str">
        <x:f>XLOOKUP(D839,'Reference Tables'!$A$4:$A$23,'Reference Tables'!$B$4:$B$23,"Other")</x:f>
        <x:v>Asia Pacific</x:v>
      </x:c>
      <x:c r="H839" s="100" t="str">
        <x:f>VLOOKUP(G839,'Reference Tables'!$I$4:$J$9,2,FALSE)</x:f>
        <x:v>High</x:v>
      </x:c>
      <x:c r="I839" s="101" t="n">
        <x:f>F839*'Inputs &amp; Guide'!$B$4*XLOOKUP(D839,'Reference Tables'!$A$4:$A$23,'Reference Tables'!$C$4:$C$23,0.75)</x:f>
        <x:v>115.41952783703029</x:v>
      </x:c>
      <x:c r="J839" s="102" t="n">
        <x:f>XLOOKUP(C839,'Reference Tables'!$E$4:$E$12,'Reference Tables'!$F$4:$F$12,0.05)</x:f>
        <x:v>0.1</x:v>
      </x:c>
      <x:c r="K839" s="103" t="n">
        <x:f>MIN(I839,F839*J839)</x:f>
        <x:v>70.03612126033391</x:v>
      </x:c>
      <x:c r="L839" s="103" t="n">
        <x:f>'Inputs &amp; Guide'!$B$5</x:f>
        <x:v>15</x:v>
      </x:c>
      <x:c r="M839" s="103" t="n">
        <x:f>I839*'Inputs &amp; Guide'!$B$6</x:f>
        <x:v>63.48074031036666</x:v>
      </x:c>
      <x:c r="N839" s="103" t="n">
        <x:f>MAX(0,MIN(K839-L839,M839))</x:f>
        <x:v>55.036121260333914</x:v>
      </x:c>
      <x:c r="O839" s="103" t="n">
        <x:f>MAX(0,N839-'Inputs &amp; Guide'!$B$7)</x:f>
        <x:v>0</x:v>
      </x:c>
      <x:c r="P839" s="103" t="n">
        <x:f>N839-O839</x:f>
        <x:v>55.036121260333914</x:v>
      </x:c>
      <x:c r="Q839" s="103" t="n">
        <x:f>I839*'Inputs &amp; Guide'!$B$8</x:f>
        <x:v>2.077551501066545</x:v>
      </x:c>
      <x:c r="R839" s="104" t="n">
        <x:f>IFERROR(P839/Q839,0)</x:f>
        <x:v>26.49085773906458</x:v>
      </x:c>
      <x:c r="S839" s="105" t="n">
        <x:f>ROUND(E839*XLOOKUP(C839,'Reference Tables'!$E$4:$E$12,'Reference Tables'!$G$4:$G$12,1),1)</x:f>
        <x:v>2.6</x:v>
      </x:c>
      <x:c r="T839" s="106" t="str">
        <x:f>IF(R839&gt;='Inputs &amp; Guide'!$B$9,"HIGH",IF(R839&gt;=0.45,"WATCH","NORMAL"))</x:f>
        <x:v>HIGH</x:v>
      </x:c>
    </x:row>
    <x:row r="840">
      <x:c r="A840" s="95" t="n">
        <x:v>6689</x:v>
      </x:c>
      <x:c r="B840" s="96" t="n">
        <x:v>45570.4375</x:v>
      </x:c>
      <x:c r="C840" s="97" t="str">
        <x:v>Earthquake</x:v>
      </x:c>
      <x:c r="D840" s="97" t="str">
        <x:v>Indonesia</x:v>
      </x:c>
      <x:c r="E840" s="98" t="n">
        <x:v>6.7674488457802635</x:v>
      </x:c>
      <x:c r="F840" s="99" t="n">
        <x:v>873.2655932290444</x:v>
      </x:c>
      <x:c r="G840" s="100" t="str">
        <x:f>XLOOKUP(D840,'Reference Tables'!$A$4:$A$23,'Reference Tables'!$B$4:$B$23,"Other")</x:f>
        <x:v>Asia Pacific</x:v>
      </x:c>
      <x:c r="H840" s="100" t="str">
        <x:f>VLOOKUP(G840,'Reference Tables'!$I$4:$J$9,2,FALSE)</x:f>
        <x:v>High</x:v>
      </x:c>
      <x:c r="I840" s="101" t="n">
        <x:f>F840*'Inputs &amp; Guide'!$B$4*XLOOKUP(D840,'Reference Tables'!$A$4:$A$23,'Reference Tables'!$C$4:$C$23,0.75)</x:f>
        <x:v>143.91416976414652</x:v>
      </x:c>
      <x:c r="J840" s="102" t="n">
        <x:f>XLOOKUP(C840,'Reference Tables'!$E$4:$E$12,'Reference Tables'!$F$4:$F$12,0.05)</x:f>
        <x:v>0.14</x:v>
      </x:c>
      <x:c r="K840" s="103" t="n">
        <x:f>MIN(I840,F840*J840)</x:f>
        <x:v>122.25718305206622</x:v>
      </x:c>
      <x:c r="L840" s="103" t="n">
        <x:f>'Inputs &amp; Guide'!$B$5</x:f>
        <x:v>15</x:v>
      </x:c>
      <x:c r="M840" s="103" t="n">
        <x:f>I840*'Inputs &amp; Guide'!$B$6</x:f>
        <x:v>79.15279337028059</x:v>
      </x:c>
      <x:c r="N840" s="103" t="n">
        <x:f>MAX(0,MIN(K840-L840,M840))</x:f>
        <x:v>79.15279337028059</x:v>
      </x:c>
      <x:c r="O840" s="103" t="n">
        <x:f>MAX(0,N840-'Inputs &amp; Guide'!$B$7)</x:f>
        <x:v>19.15279337028059</x:v>
      </x:c>
      <x:c r="P840" s="103" t="n">
        <x:f>N840-O840</x:f>
        <x:v>60</x:v>
      </x:c>
      <x:c r="Q840" s="103" t="n">
        <x:f>I840*'Inputs &amp; Guide'!$B$8</x:f>
        <x:v>2.5904550557546373</x:v>
      </x:c>
      <x:c r="R840" s="104" t="n">
        <x:f>IFERROR(P840/Q840,0)</x:f>
        <x:v>23.161953675556486</x:v>
      </x:c>
      <x:c r="S840" s="105" t="n">
        <x:f>ROUND(E840*XLOOKUP(C840,'Reference Tables'!$E$4:$E$12,'Reference Tables'!$G$4:$G$12,1),1)</x:f>
        <x:v>10.2</x:v>
      </x:c>
      <x:c r="T840" s="106" t="str">
        <x:f>IF(R840&gt;='Inputs &amp; Guide'!$B$9,"HIGH",IF(R840&gt;=0.45,"WATCH","NORMAL"))</x:f>
        <x:v>HIGH</x:v>
      </x:c>
    </x:row>
    <x:row r="841">
      <x:c r="A841" s="95" t="n">
        <x:v>6697</x:v>
      </x:c>
      <x:c r="B841" s="96" t="n">
        <x:v>45571</x:v>
      </x:c>
      <x:c r="C841" s="97" t="str">
        <x:v>Wildfire</x:v>
      </x:c>
      <x:c r="D841" s="97" t="str">
        <x:v>India</x:v>
      </x:c>
      <x:c r="E841" s="98" t="n">
        <x:v>2.226080973705318</x:v>
      </x:c>
      <x:c r="F841" s="99" t="n">
        <x:v>601.0823906683443</x:v>
      </x:c>
      <x:c r="G841" s="100" t="str">
        <x:f>XLOOKUP(D841,'Reference Tables'!$A$4:$A$23,'Reference Tables'!$B$4:$B$23,"Other")</x:f>
        <x:v>Asia Pacific</x:v>
      </x:c>
      <x:c r="H841" s="100" t="str">
        <x:f>VLOOKUP(G841,'Reference Tables'!$I$4:$J$9,2,FALSE)</x:f>
        <x:v>High</x:v>
      </x:c>
      <x:c r="I841" s="101" t="n">
        <x:f>F841*'Inputs &amp; Guide'!$B$4*XLOOKUP(D841,'Reference Tables'!$A$4:$A$23,'Reference Tables'!$C$4:$C$23,0.75)</x:f>
        <x:v>87.51759608131093</x:v>
      </x:c>
      <x:c r="J841" s="102" t="n">
        <x:f>XLOOKUP(C841,'Reference Tables'!$E$4:$E$12,'Reference Tables'!$F$4:$F$12,0.05)</x:f>
        <x:v>0.1</x:v>
      </x:c>
      <x:c r="K841" s="103" t="n">
        <x:f>MIN(I841,F841*J841)</x:f>
        <x:v>60.10823906683443</x:v>
      </x:c>
      <x:c r="L841" s="103" t="n">
        <x:f>'Inputs &amp; Guide'!$B$5</x:f>
        <x:v>15</x:v>
      </x:c>
      <x:c r="M841" s="103" t="n">
        <x:f>I841*'Inputs &amp; Guide'!$B$6</x:f>
        <x:v>48.13467784472101</x:v>
      </x:c>
      <x:c r="N841" s="103" t="n">
        <x:f>MAX(0,MIN(K841-L841,M841))</x:f>
        <x:v>45.10823906683443</x:v>
      </x:c>
      <x:c r="O841" s="103" t="n">
        <x:f>MAX(0,N841-'Inputs &amp; Guide'!$B$7)</x:f>
        <x:v>0</x:v>
      </x:c>
      <x:c r="P841" s="103" t="n">
        <x:f>N841-O841</x:f>
        <x:v>45.10823906683443</x:v>
      </x:c>
      <x:c r="Q841" s="103" t="n">
        <x:f>I841*'Inputs &amp; Guide'!$B$8</x:f>
        <x:v>1.5753167294635966</x:v>
      </x:c>
      <x:c r="R841" s="104" t="n">
        <x:f>IFERROR(P841/Q841,0)</x:f>
        <x:v>28.6343934671436</x:v>
      </x:c>
      <x:c r="S841" s="105" t="n">
        <x:f>ROUND(E841*XLOOKUP(C841,'Reference Tables'!$E$4:$E$12,'Reference Tables'!$G$4:$G$12,1),1)</x:f>
        <x:v>2.6</x:v>
      </x:c>
      <x:c r="T841" s="106" t="str">
        <x:f>IF(R841&gt;='Inputs &amp; Guide'!$B$9,"HIGH",IF(R841&gt;=0.45,"WATCH","NORMAL"))</x:f>
        <x:v>HIGH</x:v>
      </x:c>
    </x:row>
    <x:row r="842">
      <x:c r="A842" s="95" t="n">
        <x:v>6705</x:v>
      </x:c>
      <x:c r="B842" s="96" t="n">
        <x:v>45571.104166666664</x:v>
      </x:c>
      <x:c r="C842" s="97" t="str">
        <x:v>Wildfire</x:v>
      </x:c>
      <x:c r="D842" s="97" t="str">
        <x:v>Brazil</x:v>
      </x:c>
      <x:c r="E842" s="98" t="n">
        <x:v>7.303241433527528</x:v>
      </x:c>
      <x:c r="F842" s="99" t="n">
        <x:v>353.35084534513175</x:v>
      </x:c>
      <x:c r="G842" s="100" t="str">
        <x:f>XLOOKUP(D842,'Reference Tables'!$A$4:$A$23,'Reference Tables'!$B$4:$B$23,"Other")</x:f>
        <x:v>Latin America</x:v>
      </x:c>
      <x:c r="H842" s="100" t="str">
        <x:f>VLOOKUP(G842,'Reference Tables'!$I$4:$J$9,2,FALSE)</x:f>
        <x:v>Moderate</x:v>
      </x:c>
      <x:c r="I842" s="101" t="n">
        <x:f>F842*'Inputs &amp; Guide'!$B$4*XLOOKUP(D842,'Reference Tables'!$A$4:$A$23,'Reference Tables'!$C$4:$C$23,0.75)</x:f>
        <x:v>46.359630909281286</x:v>
      </x:c>
      <x:c r="J842" s="102" t="n">
        <x:f>XLOOKUP(C842,'Reference Tables'!$E$4:$E$12,'Reference Tables'!$F$4:$F$12,0.05)</x:f>
        <x:v>0.1</x:v>
      </x:c>
      <x:c r="K842" s="103" t="n">
        <x:f>MIN(I842,F842*J842)</x:f>
        <x:v>35.33508453451318</x:v>
      </x:c>
      <x:c r="L842" s="103" t="n">
        <x:f>'Inputs &amp; Guide'!$B$5</x:f>
        <x:v>15</x:v>
      </x:c>
      <x:c r="M842" s="103" t="n">
        <x:f>I842*'Inputs &amp; Guide'!$B$6</x:f>
        <x:v>25.497797000104708</x:v>
      </x:c>
      <x:c r="N842" s="103" t="n">
        <x:f>MAX(0,MIN(K842-L842,M842))</x:f>
        <x:v>20.33508453451318</x:v>
      </x:c>
      <x:c r="O842" s="103" t="n">
        <x:f>MAX(0,N842-'Inputs &amp; Guide'!$B$7)</x:f>
        <x:v>0</x:v>
      </x:c>
      <x:c r="P842" s="103" t="n">
        <x:f>N842-O842</x:f>
        <x:v>20.33508453451318</x:v>
      </x:c>
      <x:c r="Q842" s="103" t="n">
        <x:f>I842*'Inputs &amp; Guide'!$B$8</x:f>
        <x:v>0.8344733563670631</x:v>
      </x:c>
      <x:c r="R842" s="104" t="n">
        <x:f>IFERROR(P842/Q842,0)</x:f>
        <x:v>24.368764298291513</x:v>
      </x:c>
      <x:c r="S842" s="105" t="n">
        <x:f>ROUND(E842*XLOOKUP(C842,'Reference Tables'!$E$4:$E$12,'Reference Tables'!$G$4:$G$12,1),1)</x:f>
        <x:v>8.4</x:v>
      </x:c>
      <x:c r="T842" s="106" t="str">
        <x:f>IF(R842&gt;='Inputs &amp; Guide'!$B$9,"HIGH",IF(R842&gt;=0.45,"WATCH","NORMAL"))</x:f>
        <x:v>HIGH</x:v>
      </x:c>
    </x:row>
    <x:row r="843">
      <x:c r="A843" s="95" t="n">
        <x:v>6713</x:v>
      </x:c>
      <x:c r="B843" s="96" t="n">
        <x:v>45571.4375</x:v>
      </x:c>
      <x:c r="C843" s="97" t="str">
        <x:v>Tornado</x:v>
      </x:c>
      <x:c r="D843" s="97" t="str">
        <x:v>China</x:v>
      </x:c>
      <x:c r="E843" s="98" t="n">
        <x:v>4.1104918033737</x:v>
      </x:c>
      <x:c r="F843" s="99" t="n">
        <x:v>528.1616299397642</x:v>
      </x:c>
      <x:c r="G843" s="100" t="str">
        <x:f>XLOOKUP(D843,'Reference Tables'!$A$4:$A$23,'Reference Tables'!$B$4:$B$23,"Other")</x:f>
        <x:v>Asia Pacific</x:v>
      </x:c>
      <x:c r="H843" s="100" t="str">
        <x:f>VLOOKUP(G843,'Reference Tables'!$I$4:$J$9,2,FALSE)</x:f>
        <x:v>High</x:v>
      </x:c>
      <x:c r="I843" s="101" t="n">
        <x:f>F843*'Inputs &amp; Guide'!$B$4*XLOOKUP(D843,'Reference Tables'!$A$4:$A$23,'Reference Tables'!$C$4:$C$23,0.75)</x:f>
        <x:v>91.26632965359127</x:v>
      </x:c>
      <x:c r="J843" s="102" t="n">
        <x:f>XLOOKUP(C843,'Reference Tables'!$E$4:$E$12,'Reference Tables'!$F$4:$F$12,0.05)</x:f>
        <x:v>0.09</x:v>
      </x:c>
      <x:c r="K843" s="103" t="n">
        <x:f>MIN(I843,F843*J843)</x:f>
        <x:v>47.53454669457878</x:v>
      </x:c>
      <x:c r="L843" s="103" t="n">
        <x:f>'Inputs &amp; Guide'!$B$5</x:f>
        <x:v>15</x:v>
      </x:c>
      <x:c r="M843" s="103" t="n">
        <x:f>I843*'Inputs &amp; Guide'!$B$6</x:f>
        <x:v>50.1964813094752</x:v>
      </x:c>
      <x:c r="N843" s="103" t="n">
        <x:f>MAX(0,MIN(K843-L843,M843))</x:f>
        <x:v>32.53454669457878</x:v>
      </x:c>
      <x:c r="O843" s="103" t="n">
        <x:f>MAX(0,N843-'Inputs &amp; Guide'!$B$7)</x:f>
        <x:v>0</x:v>
      </x:c>
      <x:c r="P843" s="103" t="n">
        <x:f>N843-O843</x:f>
        <x:v>32.53454669457878</x:v>
      </x:c>
      <x:c r="Q843" s="103" t="n">
        <x:f>I843*'Inputs &amp; Guide'!$B$8</x:f>
        <x:v>1.6427939337646427</x:v>
      </x:c>
      <x:c r="R843" s="104" t="n">
        <x:f>IFERROR(P843/Q843,0)</x:f>
        <x:v>19.80439909467056</x:v>
      </x:c>
      <x:c r="S843" s="105" t="n">
        <x:f>ROUND(E843*XLOOKUP(C843,'Reference Tables'!$E$4:$E$12,'Reference Tables'!$G$4:$G$12,1),1)</x:f>
        <x:v>4.3</x:v>
      </x:c>
      <x:c r="T843" s="106" t="str">
        <x:f>IF(R843&gt;='Inputs &amp; Guide'!$B$9,"HIGH",IF(R843&gt;=0.45,"WATCH","NORMAL"))</x:f>
        <x:v>HIGH</x:v>
      </x:c>
    </x:row>
    <x:row r="844">
      <x:c r="A844" s="95" t="n">
        <x:v>6721</x:v>
      </x:c>
      <x:c r="B844" s="96" t="n">
        <x:v>45572</x:v>
      </x:c>
      <x:c r="C844" s="97" t="str">
        <x:v>Flood</x:v>
      </x:c>
      <x:c r="D844" s="97" t="str">
        <x:v>China</x:v>
      </x:c>
      <x:c r="E844" s="98" t="n">
        <x:v>6.856305363181233</x:v>
      </x:c>
      <x:c r="F844" s="99" t="n">
        <x:v>713.0546631478749</x:v>
      </x:c>
      <x:c r="G844" s="100" t="str">
        <x:f>XLOOKUP(D844,'Reference Tables'!$A$4:$A$23,'Reference Tables'!$B$4:$B$23,"Other")</x:f>
        <x:v>Asia Pacific</x:v>
      </x:c>
      <x:c r="H844" s="100" t="str">
        <x:f>VLOOKUP(G844,'Reference Tables'!$I$4:$J$9,2,FALSE)</x:f>
        <x:v>High</x:v>
      </x:c>
      <x:c r="I844" s="101" t="n">
        <x:f>F844*'Inputs &amp; Guide'!$B$4*XLOOKUP(D844,'Reference Tables'!$A$4:$A$23,'Reference Tables'!$C$4:$C$23,0.75)</x:f>
        <x:v>123.21584579195279</x:v>
      </x:c>
      <x:c r="J844" s="102" t="n">
        <x:f>XLOOKUP(C844,'Reference Tables'!$E$4:$E$12,'Reference Tables'!$F$4:$F$12,0.05)</x:f>
        <x:v>0.12</x:v>
      </x:c>
      <x:c r="K844" s="103" t="n">
        <x:f>MIN(I844,F844*J844)</x:f>
        <x:v>85.56655957774498</x:v>
      </x:c>
      <x:c r="L844" s="103" t="n">
        <x:f>'Inputs &amp; Guide'!$B$5</x:f>
        <x:v>15</x:v>
      </x:c>
      <x:c r="M844" s="103" t="n">
        <x:f>I844*'Inputs &amp; Guide'!$B$6</x:f>
        <x:v>67.76871518557404</x:v>
      </x:c>
      <x:c r="N844" s="103" t="n">
        <x:f>MAX(0,MIN(K844-L844,M844))</x:f>
        <x:v>67.76871518557404</x:v>
      </x:c>
      <x:c r="O844" s="103" t="n">
        <x:f>MAX(0,N844-'Inputs &amp; Guide'!$B$7)</x:f>
        <x:v>7.768715185574038</x:v>
      </x:c>
      <x:c r="P844" s="103" t="n">
        <x:f>N844-O844</x:f>
        <x:v>60</x:v>
      </x:c>
      <x:c r="Q844" s="103" t="n">
        <x:f>I844*'Inputs &amp; Guide'!$B$8</x:f>
        <x:v>2.21788522425515</x:v>
      </x:c>
      <x:c r="R844" s="104" t="n">
        <x:f>IFERROR(P844/Q844,0)</x:f>
        <x:v>27.052797567624484</x:v>
      </x:c>
      <x:c r="S844" s="105" t="n">
        <x:f>ROUND(E844*XLOOKUP(C844,'Reference Tables'!$E$4:$E$12,'Reference Tables'!$G$4:$G$12,1),1)</x:f>
        <x:v>8.6</x:v>
      </x:c>
      <x:c r="T844" s="106" t="str">
        <x:f>IF(R844&gt;='Inputs &amp; Guide'!$B$9,"HIGH",IF(R844&gt;=0.45,"WATCH","NORMAL"))</x:f>
        <x:v>HIGH</x:v>
      </x:c>
    </x:row>
    <x:row r="845">
      <x:c r="A845" s="95" t="n">
        <x:v>6729</x:v>
      </x:c>
      <x:c r="B845" s="96" t="n">
        <x:v>45572.104166666664</x:v>
      </x:c>
      <x:c r="C845" s="97" t="str">
        <x:v>Wildfire</x:v>
      </x:c>
      <x:c r="D845" s="97" t="str">
        <x:v>China</x:v>
      </x:c>
      <x:c r="E845" s="98" t="n">
        <x:v>8.085855645597707</x:v>
      </x:c>
      <x:c r="F845" s="99" t="n">
        <x:v>605.886817626713</x:v>
      </x:c>
      <x:c r="G845" s="100" t="str">
        <x:f>XLOOKUP(D845,'Reference Tables'!$A$4:$A$23,'Reference Tables'!$B$4:$B$23,"Other")</x:f>
        <x:v>Asia Pacific</x:v>
      </x:c>
      <x:c r="H845" s="100" t="str">
        <x:f>VLOOKUP(G845,'Reference Tables'!$I$4:$J$9,2,FALSE)</x:f>
        <x:v>High</x:v>
      </x:c>
      <x:c r="I845" s="101" t="n">
        <x:f>F845*'Inputs &amp; Guide'!$B$4*XLOOKUP(D845,'Reference Tables'!$A$4:$A$23,'Reference Tables'!$C$4:$C$23,0.75)</x:f>
        <x:v>104.69724208589602</x:v>
      </x:c>
      <x:c r="J845" s="102" t="n">
        <x:f>XLOOKUP(C845,'Reference Tables'!$E$4:$E$12,'Reference Tables'!$F$4:$F$12,0.05)</x:f>
        <x:v>0.1</x:v>
      </x:c>
      <x:c r="K845" s="103" t="n">
        <x:f>MIN(I845,F845*J845)</x:f>
        <x:v>60.5886817626713</x:v>
      </x:c>
      <x:c r="L845" s="103" t="n">
        <x:f>'Inputs &amp; Guide'!$B$5</x:f>
        <x:v>15</x:v>
      </x:c>
      <x:c r="M845" s="103" t="n">
        <x:f>I845*'Inputs &amp; Guide'!$B$6</x:f>
        <x:v>57.583483147242816</x:v>
      </x:c>
      <x:c r="N845" s="103" t="n">
        <x:f>MAX(0,MIN(K845-L845,M845))</x:f>
        <x:v>45.5886817626713</x:v>
      </x:c>
      <x:c r="O845" s="103" t="n">
        <x:f>MAX(0,N845-'Inputs &amp; Guide'!$B$7)</x:f>
        <x:v>0</x:v>
      </x:c>
      <x:c r="P845" s="103" t="n">
        <x:f>N845-O845</x:f>
        <x:v>45.5886817626713</x:v>
      </x:c>
      <x:c r="Q845" s="103" t="n">
        <x:f>I845*'Inputs &amp; Guide'!$B$8</x:f>
        <x:v>1.8845503575461282</x:v>
      </x:c>
      <x:c r="R845" s="104" t="n">
        <x:f>IFERROR(P845/Q845,0)</x:f>
        <x:v>24.190747453430905</x:v>
      </x:c>
      <x:c r="S845" s="105" t="n">
        <x:f>ROUND(E845*XLOOKUP(C845,'Reference Tables'!$E$4:$E$12,'Reference Tables'!$G$4:$G$12,1),1)</x:f>
        <x:v>9.3</x:v>
      </x:c>
      <x:c r="T845" s="106" t="str">
        <x:f>IF(R845&gt;='Inputs &amp; Guide'!$B$9,"HIGH",IF(R845&gt;=0.45,"WATCH","NORMAL"))</x:f>
        <x:v>HIGH</x:v>
      </x:c>
    </x:row>
    <x:row r="846">
      <x:c r="A846" s="95" t="n">
        <x:v>6737</x:v>
      </x:c>
      <x:c r="B846" s="96" t="n">
        <x:v>45572.4375</x:v>
      </x:c>
      <x:c r="C846" s="97" t="str">
        <x:v>Tornado</x:v>
      </x:c>
      <x:c r="D846" s="97" t="str">
        <x:v>India</x:v>
      </x:c>
      <x:c r="E846" s="98" t="n">
        <x:v>2.9246490365031956</x:v>
      </x:c>
      <x:c r="F846" s="99" t="n">
        <x:v>379.4381466183762</x:v>
      </x:c>
      <x:c r="G846" s="100" t="str">
        <x:f>XLOOKUP(D846,'Reference Tables'!$A$4:$A$23,'Reference Tables'!$B$4:$B$23,"Other")</x:f>
        <x:v>Asia Pacific</x:v>
      </x:c>
      <x:c r="H846" s="100" t="str">
        <x:f>VLOOKUP(G846,'Reference Tables'!$I$4:$J$9,2,FALSE)</x:f>
        <x:v>High</x:v>
      </x:c>
      <x:c r="I846" s="101" t="n">
        <x:f>F846*'Inputs &amp; Guide'!$B$4*XLOOKUP(D846,'Reference Tables'!$A$4:$A$23,'Reference Tables'!$C$4:$C$23,0.75)</x:f>
        <x:v>55.24619414763558</x:v>
      </x:c>
      <x:c r="J846" s="102" t="n">
        <x:f>XLOOKUP(C846,'Reference Tables'!$E$4:$E$12,'Reference Tables'!$F$4:$F$12,0.05)</x:f>
        <x:v>0.09</x:v>
      </x:c>
      <x:c r="K846" s="103" t="n">
        <x:f>MIN(I846,F846*J846)</x:f>
        <x:v>34.149433195653856</x:v>
      </x:c>
      <x:c r="L846" s="103" t="n">
        <x:f>'Inputs &amp; Guide'!$B$5</x:f>
        <x:v>15</x:v>
      </x:c>
      <x:c r="M846" s="103" t="n">
        <x:f>I846*'Inputs &amp; Guide'!$B$6</x:f>
        <x:v>30.38540678119957</x:v>
      </x:c>
      <x:c r="N846" s="103" t="n">
        <x:f>MAX(0,MIN(K846-L846,M846))</x:f>
        <x:v>19.149433195653856</x:v>
      </x:c>
      <x:c r="O846" s="103" t="n">
        <x:f>MAX(0,N846-'Inputs &amp; Guide'!$B$7)</x:f>
        <x:v>0</x:v>
      </x:c>
      <x:c r="P846" s="103" t="n">
        <x:f>N846-O846</x:f>
        <x:v>19.149433195653856</x:v>
      </x:c>
      <x:c r="Q846" s="103" t="n">
        <x:f>I846*'Inputs &amp; Guide'!$B$8</x:f>
        <x:v>0.9944314946574403</x:v>
      </x:c>
      <x:c r="R846" s="104" t="n">
        <x:f>IFERROR(P846/Q846,0)</x:f>
        <x:v>19.256664032197023</x:v>
      </x:c>
      <x:c r="S846" s="105" t="n">
        <x:f>ROUND(E846*XLOOKUP(C846,'Reference Tables'!$E$4:$E$12,'Reference Tables'!$G$4:$G$12,1),1)</x:f>
        <x:v>3.1</x:v>
      </x:c>
      <x:c r="T846" s="106" t="str">
        <x:f>IF(R846&gt;='Inputs &amp; Guide'!$B$9,"HIGH",IF(R846&gt;=0.45,"WATCH","NORMAL"))</x:f>
        <x:v>HIGH</x:v>
      </x:c>
    </x:row>
    <x:row r="847">
      <x:c r="A847" s="95" t="n">
        <x:v>6745</x:v>
      </x:c>
      <x:c r="B847" s="96" t="n">
        <x:v>45573</x:v>
      </x:c>
      <x:c r="C847" s="97" t="str">
        <x:v>Earthquake</x:v>
      </x:c>
      <x:c r="D847" s="97" t="str">
        <x:v>Indonesia</x:v>
      </x:c>
      <x:c r="E847" s="98" t="n">
        <x:v>6.431061345258186</x:v>
      </x:c>
      <x:c r="F847" s="99" t="n">
        <x:v>413.8452608903581</x:v>
      </x:c>
      <x:c r="G847" s="100" t="str">
        <x:f>XLOOKUP(D847,'Reference Tables'!$A$4:$A$23,'Reference Tables'!$B$4:$B$23,"Other")</x:f>
        <x:v>Asia Pacific</x:v>
      </x:c>
      <x:c r="H847" s="100" t="str">
        <x:f>VLOOKUP(G847,'Reference Tables'!$I$4:$J$9,2,FALSE)</x:f>
        <x:v>High</x:v>
      </x:c>
      <x:c r="I847" s="101" t="n">
        <x:f>F847*'Inputs &amp; Guide'!$B$4*XLOOKUP(D847,'Reference Tables'!$A$4:$A$23,'Reference Tables'!$C$4:$C$23,0.75)</x:f>
        <x:v>68.20169899473102</x:v>
      </x:c>
      <x:c r="J847" s="102" t="n">
        <x:f>XLOOKUP(C847,'Reference Tables'!$E$4:$E$12,'Reference Tables'!$F$4:$F$12,0.05)</x:f>
        <x:v>0.14</x:v>
      </x:c>
      <x:c r="K847" s="103" t="n">
        <x:f>MIN(I847,F847*J847)</x:f>
        <x:v>57.93833652465013</x:v>
      </x:c>
      <x:c r="L847" s="103" t="n">
        <x:f>'Inputs &amp; Guide'!$B$5</x:f>
        <x:v>15</x:v>
      </x:c>
      <x:c r="M847" s="103" t="n">
        <x:f>I847*'Inputs &amp; Guide'!$B$6</x:f>
        <x:v>37.510934447102066</x:v>
      </x:c>
      <x:c r="N847" s="103" t="n">
        <x:f>MAX(0,MIN(K847-L847,M847))</x:f>
        <x:v>37.510934447102066</x:v>
      </x:c>
      <x:c r="O847" s="103" t="n">
        <x:f>MAX(0,N847-'Inputs &amp; Guide'!$B$7)</x:f>
        <x:v>0</x:v>
      </x:c>
      <x:c r="P847" s="103" t="n">
        <x:f>N847-O847</x:f>
        <x:v>37.510934447102066</x:v>
      </x:c>
      <x:c r="Q847" s="103" t="n">
        <x:f>I847*'Inputs &amp; Guide'!$B$8</x:f>
        <x:v>1.2276305819051583</x:v>
      </x:c>
      <x:c r="R847" s="104" t="n">
        <x:f>IFERROR(P847/Q847,0)</x:f>
        <x:v>30.55555555555556</x:v>
      </x:c>
      <x:c r="S847" s="105" t="n">
        <x:f>ROUND(E847*XLOOKUP(C847,'Reference Tables'!$E$4:$E$12,'Reference Tables'!$G$4:$G$12,1),1)</x:f>
        <x:v>9.6</x:v>
      </x:c>
      <x:c r="T847" s="106" t="str">
        <x:f>IF(R847&gt;='Inputs &amp; Guide'!$B$9,"HIGH",IF(R847&gt;=0.45,"WATCH","NORMAL"))</x:f>
        <x:v>HIGH</x:v>
      </x:c>
    </x:row>
    <x:row r="848">
      <x:c r="A848" s="95" t="n">
        <x:v>6753</x:v>
      </x:c>
      <x:c r="B848" s="96" t="n">
        <x:v>45573.104166666664</x:v>
      </x:c>
      <x:c r="C848" s="97" t="str">
        <x:v>Wildfire</x:v>
      </x:c>
      <x:c r="D848" s="97" t="str">
        <x:v>USA</x:v>
      </x:c>
      <x:c r="E848" s="98" t="n">
        <x:v>9.138087166592413</x:v>
      </x:c>
      <x:c r="F848" s="99" t="n">
        <x:v>45.29723882066999</x:v>
      </x:c>
      <x:c r="G848" s="100" t="str">
        <x:f>XLOOKUP(D848,'Reference Tables'!$A$4:$A$23,'Reference Tables'!$B$4:$B$23,"Other")</x:f>
        <x:v>Other</x:v>
      </x:c>
      <x:c r="H848" s="100" t="str">
        <x:f>VLOOKUP(G848,'Reference Tables'!$I$4:$J$9,2,FALSE)</x:f>
        <x:v>Moderate</x:v>
      </x:c>
      <x:c r="I848" s="101" t="n">
        <x:f>F848*'Inputs &amp; Guide'!$B$4*XLOOKUP(D848,'Reference Tables'!$A$4:$A$23,'Reference Tables'!$C$4:$C$23,0.75)</x:f>
        <x:v>5.435668658480399</x:v>
      </x:c>
      <x:c r="J848" s="102" t="n">
        <x:f>XLOOKUP(C848,'Reference Tables'!$E$4:$E$12,'Reference Tables'!$F$4:$F$12,0.05)</x:f>
        <x:v>0.1</x:v>
      </x:c>
      <x:c r="K848" s="103" t="n">
        <x:f>MIN(I848,F848*J848)</x:f>
        <x:v>4.529723882066999</x:v>
      </x:c>
      <x:c r="L848" s="103" t="n">
        <x:f>'Inputs &amp; Guide'!$B$5</x:f>
        <x:v>15</x:v>
      </x:c>
      <x:c r="M848" s="103" t="n">
        <x:f>I848*'Inputs &amp; Guide'!$B$6</x:f>
        <x:v>2.9896177621642197</x:v>
      </x:c>
      <x:c r="N848" s="103" t="n">
        <x:f>MAX(0,MIN(K848-L848,M848))</x:f>
        <x:v>0</x:v>
      </x:c>
      <x:c r="O848" s="103" t="n">
        <x:f>MAX(0,N848-'Inputs &amp; Guide'!$B$7)</x:f>
        <x:v>0</x:v>
      </x:c>
      <x:c r="P848" s="103" t="n">
        <x:f>N848-O848</x:f>
        <x:v>0</x:v>
      </x:c>
      <x:c r="Q848" s="103" t="n">
        <x:f>I848*'Inputs &amp; Guide'!$B$8</x:f>
        <x:v>0.09784203585264717</x:v>
      </x:c>
      <x:c r="R848" s="104" t="n">
        <x:f>IFERROR(P848/Q848,0)</x:f>
        <x:v>0</x:v>
      </x:c>
      <x:c r="S848" s="105" t="n">
        <x:f>ROUND(E848*XLOOKUP(C848,'Reference Tables'!$E$4:$E$12,'Reference Tables'!$G$4:$G$12,1),1)</x:f>
        <x:v>10.5</x:v>
      </x:c>
      <x:c r="T848" s="106" t="str">
        <x:f>IF(R848&gt;='Inputs &amp; Guide'!$B$9,"HIGH",IF(R848&gt;=0.45,"WATCH","NORMAL"))</x:f>
        <x:v>NORMAL</x:v>
      </x:c>
    </x:row>
    <x:row r="849">
      <x:c r="A849" s="95" t="n">
        <x:v>6761</x:v>
      </x:c>
      <x:c r="B849" s="96" t="n">
        <x:v>45573.4375</x:v>
      </x:c>
      <x:c r="C849" s="97" t="str">
        <x:v>Earthquake</x:v>
      </x:c>
      <x:c r="D849" s="97" t="str">
        <x:v>USA</x:v>
      </x:c>
      <x:c r="E849" s="98" t="n">
        <x:v>5.735988301496717</x:v>
      </x:c>
      <x:c r="F849" s="99" t="n">
        <x:v>899.93087685077</x:v>
      </x:c>
      <x:c r="G849" s="100" t="str">
        <x:f>XLOOKUP(D849,'Reference Tables'!$A$4:$A$23,'Reference Tables'!$B$4:$B$23,"Other")</x:f>
        <x:v>Other</x:v>
      </x:c>
      <x:c r="H849" s="100" t="str">
        <x:f>VLOOKUP(G849,'Reference Tables'!$I$4:$J$9,2,FALSE)</x:f>
        <x:v>Moderate</x:v>
      </x:c>
      <x:c r="I849" s="101" t="n">
        <x:f>F849*'Inputs &amp; Guide'!$B$4*XLOOKUP(D849,'Reference Tables'!$A$4:$A$23,'Reference Tables'!$C$4:$C$23,0.75)</x:f>
        <x:v>107.9917052220924</x:v>
      </x:c>
      <x:c r="J849" s="102" t="n">
        <x:f>XLOOKUP(C849,'Reference Tables'!$E$4:$E$12,'Reference Tables'!$F$4:$F$12,0.05)</x:f>
        <x:v>0.14</x:v>
      </x:c>
      <x:c r="K849" s="103" t="n">
        <x:f>MIN(I849,F849*J849)</x:f>
        <x:v>107.9917052220924</x:v>
      </x:c>
      <x:c r="L849" s="103" t="n">
        <x:f>'Inputs &amp; Guide'!$B$5</x:f>
        <x:v>15</x:v>
      </x:c>
      <x:c r="M849" s="103" t="n">
        <x:f>I849*'Inputs &amp; Guide'!$B$6</x:f>
        <x:v>59.39543787215083</x:v>
      </x:c>
      <x:c r="N849" s="103" t="n">
        <x:f>MAX(0,MIN(K849-L849,M849))</x:f>
        <x:v>59.39543787215083</x:v>
      </x:c>
      <x:c r="O849" s="103" t="n">
        <x:f>MAX(0,N849-'Inputs &amp; Guide'!$B$7)</x:f>
        <x:v>0</x:v>
      </x:c>
      <x:c r="P849" s="103" t="n">
        <x:f>N849-O849</x:f>
        <x:v>59.39543787215083</x:v>
      </x:c>
      <x:c r="Q849" s="103" t="n">
        <x:f>I849*'Inputs &amp; Guide'!$B$8</x:f>
        <x:v>1.9438506939976632</x:v>
      </x:c>
      <x:c r="R849" s="104" t="n">
        <x:f>IFERROR(P849/Q849,0)</x:f>
        <x:v>30.55555555555556</x:v>
      </x:c>
      <x:c r="S849" s="105" t="n">
        <x:f>ROUND(E849*XLOOKUP(C849,'Reference Tables'!$E$4:$E$12,'Reference Tables'!$G$4:$G$12,1),1)</x:f>
        <x:v>8.6</x:v>
      </x:c>
      <x:c r="T849" s="106" t="str">
        <x:f>IF(R849&gt;='Inputs &amp; Guide'!$B$9,"HIGH",IF(R849&gt;=0.45,"WATCH","NORMAL"))</x:f>
        <x:v>HIGH</x:v>
      </x:c>
    </x:row>
    <x:row r="850">
      <x:c r="A850" s="95" t="n">
        <x:v>6769</x:v>
      </x:c>
      <x:c r="B850" s="96" t="n">
        <x:v>45574</x:v>
      </x:c>
      <x:c r="C850" s="97" t="str">
        <x:v>Tornado</x:v>
      </x:c>
      <x:c r="D850" s="97" t="str">
        <x:v>Brazil</x:v>
      </x:c>
      <x:c r="E850" s="98" t="n">
        <x:v>1.9734723915961636</x:v>
      </x:c>
      <x:c r="F850" s="99" t="n">
        <x:v>138.867717171749</x:v>
      </x:c>
      <x:c r="G850" s="100" t="str">
        <x:f>XLOOKUP(D850,'Reference Tables'!$A$4:$A$23,'Reference Tables'!$B$4:$B$23,"Other")</x:f>
        <x:v>Latin America</x:v>
      </x:c>
      <x:c r="H850" s="100" t="str">
        <x:f>VLOOKUP(G850,'Reference Tables'!$I$4:$J$9,2,FALSE)</x:f>
        <x:v>Moderate</x:v>
      </x:c>
      <x:c r="I850" s="101" t="n">
        <x:f>F850*'Inputs &amp; Guide'!$B$4*XLOOKUP(D850,'Reference Tables'!$A$4:$A$23,'Reference Tables'!$C$4:$C$23,0.75)</x:f>
        <x:v>18.21944449293347</x:v>
      </x:c>
      <x:c r="J850" s="102" t="n">
        <x:f>XLOOKUP(C850,'Reference Tables'!$E$4:$E$12,'Reference Tables'!$F$4:$F$12,0.05)</x:f>
        <x:v>0.09</x:v>
      </x:c>
      <x:c r="K850" s="103" t="n">
        <x:f>MIN(I850,F850*J850)</x:f>
        <x:v>12.49809454545741</x:v>
      </x:c>
      <x:c r="L850" s="103" t="n">
        <x:f>'Inputs &amp; Guide'!$B$5</x:f>
        <x:v>15</x:v>
      </x:c>
      <x:c r="M850" s="103" t="n">
        <x:f>I850*'Inputs &amp; Guide'!$B$6</x:f>
        <x:v>10.020694471113408</x:v>
      </x:c>
      <x:c r="N850" s="103" t="n">
        <x:f>MAX(0,MIN(K850-L850,M850))</x:f>
        <x:v>0</x:v>
      </x:c>
      <x:c r="O850" s="103" t="n">
        <x:f>MAX(0,N850-'Inputs &amp; Guide'!$B$7)</x:f>
        <x:v>0</x:v>
      </x:c>
      <x:c r="P850" s="103" t="n">
        <x:f>N850-O850</x:f>
        <x:v>0</x:v>
      </x:c>
      <x:c r="Q850" s="103" t="n">
        <x:f>I850*'Inputs &amp; Guide'!$B$8</x:f>
        <x:v>0.3279500008728024</x:v>
      </x:c>
      <x:c r="R850" s="104" t="n">
        <x:f>IFERROR(P850/Q850,0)</x:f>
        <x:v>0</x:v>
      </x:c>
      <x:c r="S850" s="105" t="n">
        <x:f>ROUND(E850*XLOOKUP(C850,'Reference Tables'!$E$4:$E$12,'Reference Tables'!$G$4:$G$12,1),1)</x:f>
        <x:v>2.1</x:v>
      </x:c>
      <x:c r="T850" s="106" t="str">
        <x:f>IF(R850&gt;='Inputs &amp; Guide'!$B$9,"HIGH",IF(R850&gt;=0.45,"WATCH","NORMAL"))</x:f>
        <x:v>NORMAL</x:v>
      </x:c>
    </x:row>
    <x:row r="851">
      <x:c r="A851" s="95" t="n">
        <x:v>6777</x:v>
      </x:c>
      <x:c r="B851" s="96" t="n">
        <x:v>45574.104166666664</x:v>
      </x:c>
      <x:c r="C851" s="97" t="str">
        <x:v>Flood</x:v>
      </x:c>
      <x:c r="D851" s="97" t="str">
        <x:v>Indonesia</x:v>
      </x:c>
      <x:c r="E851" s="98" t="n">
        <x:v>1.2217129794400743</x:v>
      </x:c>
      <x:c r="F851" s="99" t="n">
        <x:v>342.8655857943114</x:v>
      </x:c>
      <x:c r="G851" s="100" t="str">
        <x:f>XLOOKUP(D851,'Reference Tables'!$A$4:$A$23,'Reference Tables'!$B$4:$B$23,"Other")</x:f>
        <x:v>Asia Pacific</x:v>
      </x:c>
      <x:c r="H851" s="100" t="str">
        <x:f>VLOOKUP(G851,'Reference Tables'!$I$4:$J$9,2,FALSE)</x:f>
        <x:v>High</x:v>
      </x:c>
      <x:c r="I851" s="101" t="n">
        <x:f>F851*'Inputs &amp; Guide'!$B$4*XLOOKUP(D851,'Reference Tables'!$A$4:$A$23,'Reference Tables'!$C$4:$C$23,0.75)</x:f>
        <x:v>56.50424853890252</x:v>
      </x:c>
      <x:c r="J851" s="102" t="n">
        <x:f>XLOOKUP(C851,'Reference Tables'!$E$4:$E$12,'Reference Tables'!$F$4:$F$12,0.05)</x:f>
        <x:v>0.12</x:v>
      </x:c>
      <x:c r="K851" s="103" t="n">
        <x:f>MIN(I851,F851*J851)</x:f>
        <x:v>41.14387029531737</x:v>
      </x:c>
      <x:c r="L851" s="103" t="n">
        <x:f>'Inputs &amp; Guide'!$B$5</x:f>
        <x:v>15</x:v>
      </x:c>
      <x:c r="M851" s="103" t="n">
        <x:f>I851*'Inputs &amp; Guide'!$B$6</x:f>
        <x:v>31.07733669639639</x:v>
      </x:c>
      <x:c r="N851" s="103" t="n">
        <x:f>MAX(0,MIN(K851-L851,M851))</x:f>
        <x:v>26.14387029531737</x:v>
      </x:c>
      <x:c r="O851" s="103" t="n">
        <x:f>MAX(0,N851-'Inputs &amp; Guide'!$B$7)</x:f>
        <x:v>0</x:v>
      </x:c>
      <x:c r="P851" s="103" t="n">
        <x:f>N851-O851</x:f>
        <x:v>26.14387029531737</x:v>
      </x:c>
      <x:c r="Q851" s="103" t="n">
        <x:f>I851*'Inputs &amp; Guide'!$B$8</x:f>
        <x:v>1.0170764737002453</x:v>
      </x:c>
      <x:c r="R851" s="104" t="n">
        <x:f>IFERROR(P851/Q851,0)</x:f>
        <x:v>25.70492088977622</x:v>
      </x:c>
      <x:c r="S851" s="105" t="n">
        <x:f>ROUND(E851*XLOOKUP(C851,'Reference Tables'!$E$4:$E$12,'Reference Tables'!$G$4:$G$12,1),1)</x:f>
        <x:v>1.5</x:v>
      </x:c>
      <x:c r="T851" s="106" t="str">
        <x:f>IF(R851&gt;='Inputs &amp; Guide'!$B$9,"HIGH",IF(R851&gt;=0.45,"WATCH","NORMAL"))</x:f>
        <x:v>HIGH</x:v>
      </x:c>
    </x:row>
    <x:row r="852">
      <x:c r="A852" s="95" t="n">
        <x:v>6785</x:v>
      </x:c>
      <x:c r="B852" s="96" t="n">
        <x:v>45574.4375</x:v>
      </x:c>
      <x:c r="C852" s="97" t="str">
        <x:v>Earthquake</x:v>
      </x:c>
      <x:c r="D852" s="97" t="str">
        <x:v>Indonesia</x:v>
      </x:c>
      <x:c r="E852" s="98" t="n">
        <x:v>8.135622832316917</x:v>
      </x:c>
      <x:c r="F852" s="99" t="n">
        <x:v>468.7665688036631</x:v>
      </x:c>
      <x:c r="G852" s="100" t="str">
        <x:f>XLOOKUP(D852,'Reference Tables'!$A$4:$A$23,'Reference Tables'!$B$4:$B$23,"Other")</x:f>
        <x:v>Asia Pacific</x:v>
      </x:c>
      <x:c r="H852" s="100" t="str">
        <x:f>VLOOKUP(G852,'Reference Tables'!$I$4:$J$9,2,FALSE)</x:f>
        <x:v>High</x:v>
      </x:c>
      <x:c r="I852" s="101" t="n">
        <x:f>F852*'Inputs &amp; Guide'!$B$4*XLOOKUP(D852,'Reference Tables'!$A$4:$A$23,'Reference Tables'!$C$4:$C$23,0.75)</x:f>
        <x:v>77.25273053884368</x:v>
      </x:c>
      <x:c r="J852" s="102" t="n">
        <x:f>XLOOKUP(C852,'Reference Tables'!$E$4:$E$12,'Reference Tables'!$F$4:$F$12,0.05)</x:f>
        <x:v>0.14</x:v>
      </x:c>
      <x:c r="K852" s="103" t="n">
        <x:f>MIN(I852,F852*J852)</x:f>
        <x:v>65.62731963251284</x:v>
      </x:c>
      <x:c r="L852" s="103" t="n">
        <x:f>'Inputs &amp; Guide'!$B$5</x:f>
        <x:v>15</x:v>
      </x:c>
      <x:c r="M852" s="103" t="n">
        <x:f>I852*'Inputs &amp; Guide'!$B$6</x:f>
        <x:v>42.48900179636403</x:v>
      </x:c>
      <x:c r="N852" s="103" t="n">
        <x:f>MAX(0,MIN(K852-L852,M852))</x:f>
        <x:v>42.48900179636403</x:v>
      </x:c>
      <x:c r="O852" s="103" t="n">
        <x:f>MAX(0,N852-'Inputs &amp; Guide'!$B$7)</x:f>
        <x:v>0</x:v>
      </x:c>
      <x:c r="P852" s="103" t="n">
        <x:f>N852-O852</x:f>
        <x:v>42.48900179636403</x:v>
      </x:c>
      <x:c r="Q852" s="103" t="n">
        <x:f>I852*'Inputs &amp; Guide'!$B$8</x:f>
        <x:v>1.3905491496991862</x:v>
      </x:c>
      <x:c r="R852" s="104" t="n">
        <x:f>IFERROR(P852/Q852,0)</x:f>
        <x:v>30.55555555555556</x:v>
      </x:c>
      <x:c r="S852" s="105" t="n">
        <x:f>ROUND(E852*XLOOKUP(C852,'Reference Tables'!$E$4:$E$12,'Reference Tables'!$G$4:$G$12,1),1)</x:f>
        <x:v>12.2</x:v>
      </x:c>
      <x:c r="T852" s="106" t="str">
        <x:f>IF(R852&gt;='Inputs &amp; Guide'!$B$9,"HIGH",IF(R852&gt;=0.45,"WATCH","NORMAL"))</x:f>
        <x:v>HIGH</x:v>
      </x:c>
    </x:row>
    <x:row r="853">
      <x:c r="A853" s="95" t="n">
        <x:v>6793</x:v>
      </x:c>
      <x:c r="B853" s="96" t="n">
        <x:v>45575</x:v>
      </x:c>
      <x:c r="C853" s="97" t="str">
        <x:v>Hurricane</x:v>
      </x:c>
      <x:c r="D853" s="97" t="str">
        <x:v>China</x:v>
      </x:c>
      <x:c r="E853" s="98" t="n">
        <x:v>2.9888490188074766</x:v>
      </x:c>
      <x:c r="F853" s="99" t="n">
        <x:v>532.071803071432</x:v>
      </x:c>
      <x:c r="G853" s="100" t="str">
        <x:f>XLOOKUP(D853,'Reference Tables'!$A$4:$A$23,'Reference Tables'!$B$4:$B$23,"Other")</x:f>
        <x:v>Asia Pacific</x:v>
      </x:c>
      <x:c r="H853" s="100" t="str">
        <x:f>VLOOKUP(G853,'Reference Tables'!$I$4:$J$9,2,FALSE)</x:f>
        <x:v>High</x:v>
      </x:c>
      <x:c r="I853" s="101" t="n">
        <x:f>F853*'Inputs &amp; Guide'!$B$4*XLOOKUP(D853,'Reference Tables'!$A$4:$A$23,'Reference Tables'!$C$4:$C$23,0.75)</x:f>
        <x:v>91.94200757074346</x:v>
      </x:c>
      <x:c r="J853" s="102" t="n">
        <x:f>XLOOKUP(C853,'Reference Tables'!$E$4:$E$12,'Reference Tables'!$F$4:$F$12,0.05)</x:f>
        <x:v>0.18</x:v>
      </x:c>
      <x:c r="K853" s="103" t="n">
        <x:f>MIN(I853,F853*J853)</x:f>
        <x:v>91.94200757074346</x:v>
      </x:c>
      <x:c r="L853" s="103" t="n">
        <x:f>'Inputs &amp; Guide'!$B$5</x:f>
        <x:v>15</x:v>
      </x:c>
      <x:c r="M853" s="103" t="n">
        <x:f>I853*'Inputs &amp; Guide'!$B$6</x:f>
        <x:v>50.568104163908906</x:v>
      </x:c>
      <x:c r="N853" s="103" t="n">
        <x:f>MAX(0,MIN(K853-L853,M853))</x:f>
        <x:v>50.568104163908906</x:v>
      </x:c>
      <x:c r="O853" s="103" t="n">
        <x:f>MAX(0,N853-'Inputs &amp; Guide'!$B$7)</x:f>
        <x:v>0</x:v>
      </x:c>
      <x:c r="P853" s="103" t="n">
        <x:f>N853-O853</x:f>
        <x:v>50.568104163908906</x:v>
      </x:c>
      <x:c r="Q853" s="103" t="n">
        <x:f>I853*'Inputs &amp; Guide'!$B$8</x:f>
        <x:v>1.654956136273382</x:v>
      </x:c>
      <x:c r="R853" s="104" t="n">
        <x:f>IFERROR(P853/Q853,0)</x:f>
        <x:v>30.55555555555556</x:v>
      </x:c>
      <x:c r="S853" s="105" t="n">
        <x:f>ROUND(E853*XLOOKUP(C853,'Reference Tables'!$E$4:$E$12,'Reference Tables'!$G$4:$G$12,1),1)</x:f>
        <x:v>4.2</x:v>
      </x:c>
      <x:c r="T853" s="106" t="str">
        <x:f>IF(R853&gt;='Inputs &amp; Guide'!$B$9,"HIGH",IF(R853&gt;=0.45,"WATCH","NORMAL"))</x:f>
        <x:v>HIGH</x:v>
      </x:c>
    </x:row>
    <x:row r="854">
      <x:c r="A854" s="95" t="n">
        <x:v>6801</x:v>
      </x:c>
      <x:c r="B854" s="96" t="n">
        <x:v>45575.104166666664</x:v>
      </x:c>
      <x:c r="C854" s="97" t="str">
        <x:v>Tornado</x:v>
      </x:c>
      <x:c r="D854" s="97" t="str">
        <x:v>USA</x:v>
      </x:c>
      <x:c r="E854" s="98" t="n">
        <x:v>1.8258514406303716</x:v>
      </x:c>
      <x:c r="F854" s="99" t="n">
        <x:v>438.781611951552</x:v>
      </x:c>
      <x:c r="G854" s="100" t="str">
        <x:f>XLOOKUP(D854,'Reference Tables'!$A$4:$A$23,'Reference Tables'!$B$4:$B$23,"Other")</x:f>
        <x:v>Other</x:v>
      </x:c>
      <x:c r="H854" s="100" t="str">
        <x:f>VLOOKUP(G854,'Reference Tables'!$I$4:$J$9,2,FALSE)</x:f>
        <x:v>Moderate</x:v>
      </x:c>
      <x:c r="I854" s="101" t="n">
        <x:f>F854*'Inputs &amp; Guide'!$B$4*XLOOKUP(D854,'Reference Tables'!$A$4:$A$23,'Reference Tables'!$C$4:$C$23,0.75)</x:f>
        <x:v>52.65379343418624</x:v>
      </x:c>
      <x:c r="J854" s="102" t="n">
        <x:f>XLOOKUP(C854,'Reference Tables'!$E$4:$E$12,'Reference Tables'!$F$4:$F$12,0.05)</x:f>
        <x:v>0.09</x:v>
      </x:c>
      <x:c r="K854" s="103" t="n">
        <x:f>MIN(I854,F854*J854)</x:f>
        <x:v>39.49034507563968</x:v>
      </x:c>
      <x:c r="L854" s="103" t="n">
        <x:f>'Inputs &amp; Guide'!$B$5</x:f>
        <x:v>15</x:v>
      </x:c>
      <x:c r="M854" s="103" t="n">
        <x:f>I854*'Inputs &amp; Guide'!$B$6</x:f>
        <x:v>28.959586388802435</x:v>
      </x:c>
      <x:c r="N854" s="103" t="n">
        <x:f>MAX(0,MIN(K854-L854,M854))</x:f>
        <x:v>24.49034507563968</x:v>
      </x:c>
      <x:c r="O854" s="103" t="n">
        <x:f>MAX(0,N854-'Inputs &amp; Guide'!$B$7)</x:f>
        <x:v>0</x:v>
      </x:c>
      <x:c r="P854" s="103" t="n">
        <x:f>N854-O854</x:f>
        <x:v>24.49034507563968</x:v>
      </x:c>
      <x:c r="Q854" s="103" t="n">
        <x:f>I854*'Inputs &amp; Guide'!$B$8</x:f>
        <x:v>0.9477682818153522</x:v>
      </x:c>
      <x:c r="R854" s="104" t="n">
        <x:f>IFERROR(P854/Q854,0)</x:f>
        <x:v>25.840013371972056</x:v>
      </x:c>
      <x:c r="S854" s="105" t="n">
        <x:f>ROUND(E854*XLOOKUP(C854,'Reference Tables'!$E$4:$E$12,'Reference Tables'!$G$4:$G$12,1),1)</x:f>
        <x:v>1.9</x:v>
      </x:c>
      <x:c r="T854" s="106" t="str">
        <x:f>IF(R854&gt;='Inputs &amp; Guide'!$B$9,"HIGH",IF(R854&gt;=0.45,"WATCH","NORMAL"))</x:f>
        <x:v>HIGH</x:v>
      </x:c>
    </x:row>
    <x:row r="855">
      <x:c r="A855" s="95" t="n">
        <x:v>6809</x:v>
      </x:c>
      <x:c r="B855" s="96" t="n">
        <x:v>45575.4375</x:v>
      </x:c>
      <x:c r="C855" s="97" t="str">
        <x:v>Tornado</x:v>
      </x:c>
      <x:c r="D855" s="97" t="str">
        <x:v>Japan</x:v>
      </x:c>
      <x:c r="E855" s="98" t="n">
        <x:v>6.84043418697631</x:v>
      </x:c>
      <x:c r="F855" s="99" t="n">
        <x:v>512.088944488927</x:v>
      </x:c>
      <x:c r="G855" s="100" t="str">
        <x:f>XLOOKUP(D855,'Reference Tables'!$A$4:$A$23,'Reference Tables'!$B$4:$B$23,"Other")</x:f>
        <x:v>Asia Pacific</x:v>
      </x:c>
      <x:c r="H855" s="100" t="str">
        <x:f>VLOOKUP(G855,'Reference Tables'!$I$4:$J$9,2,FALSE)</x:f>
        <x:v>High</x:v>
      </x:c>
      <x:c r="I855" s="101" t="n">
        <x:f>F855*'Inputs &amp; Guide'!$B$4*XLOOKUP(D855,'Reference Tables'!$A$4:$A$23,'Reference Tables'!$C$4:$C$23,0.75)</x:f>
        <x:v>96.68239271950942</x:v>
      </x:c>
      <x:c r="J855" s="102" t="n">
        <x:f>XLOOKUP(C855,'Reference Tables'!$E$4:$E$12,'Reference Tables'!$F$4:$F$12,0.05)</x:f>
        <x:v>0.09</x:v>
      </x:c>
      <x:c r="K855" s="103" t="n">
        <x:f>MIN(I855,F855*J855)</x:f>
        <x:v>46.088005004003435</x:v>
      </x:c>
      <x:c r="L855" s="103" t="n">
        <x:f>'Inputs &amp; Guide'!$B$5</x:f>
        <x:v>15</x:v>
      </x:c>
      <x:c r="M855" s="103" t="n">
        <x:f>I855*'Inputs &amp; Guide'!$B$6</x:f>
        <x:v>53.17531599573019</x:v>
      </x:c>
      <x:c r="N855" s="103" t="n">
        <x:f>MAX(0,MIN(K855-L855,M855))</x:f>
        <x:v>31.088005004003435</x:v>
      </x:c>
      <x:c r="O855" s="103" t="n">
        <x:f>MAX(0,N855-'Inputs &amp; Guide'!$B$7)</x:f>
        <x:v>0</x:v>
      </x:c>
      <x:c r="P855" s="103" t="n">
        <x:f>N855-O855</x:f>
        <x:v>31.088005004003435</x:v>
      </x:c>
      <x:c r="Q855" s="103" t="n">
        <x:f>I855*'Inputs &amp; Guide'!$B$8</x:f>
        <x:v>1.7402830689511695</x:v>
      </x:c>
      <x:c r="R855" s="104" t="n">
        <x:f>IFERROR(P855/Q855,0)</x:f>
        <x:v>17.86376340645519</x:v>
      </x:c>
      <x:c r="S855" s="105" t="n">
        <x:f>ROUND(E855*XLOOKUP(C855,'Reference Tables'!$E$4:$E$12,'Reference Tables'!$G$4:$G$12,1),1)</x:f>
        <x:v>7.2</x:v>
      </x:c>
      <x:c r="T855" s="106" t="str">
        <x:f>IF(R855&gt;='Inputs &amp; Guide'!$B$9,"HIGH",IF(R855&gt;=0.45,"WATCH","NORMAL"))</x:f>
        <x:v>HIGH</x:v>
      </x:c>
    </x:row>
    <x:row r="856">
      <x:c r="A856" s="95" t="n">
        <x:v>6817</x:v>
      </x:c>
      <x:c r="B856" s="96" t="n">
        <x:v>45576</x:v>
      </x:c>
      <x:c r="C856" s="97" t="str">
        <x:v>Wildfire</x:v>
      </x:c>
      <x:c r="D856" s="97" t="str">
        <x:v>Indonesia</x:v>
      </x:c>
      <x:c r="E856" s="98" t="n">
        <x:v>9.43899714869254</x:v>
      </x:c>
      <x:c r="F856" s="99" t="n">
        <x:v>734.8512101657152</x:v>
      </x:c>
      <x:c r="G856" s="100" t="str">
        <x:f>XLOOKUP(D856,'Reference Tables'!$A$4:$A$23,'Reference Tables'!$B$4:$B$23,"Other")</x:f>
        <x:v>Asia Pacific</x:v>
      </x:c>
      <x:c r="H856" s="100" t="str">
        <x:f>VLOOKUP(G856,'Reference Tables'!$I$4:$J$9,2,FALSE)</x:f>
        <x:v>High</x:v>
      </x:c>
      <x:c r="I856" s="101" t="n">
        <x:f>F856*'Inputs &amp; Guide'!$B$4*XLOOKUP(D856,'Reference Tables'!$A$4:$A$23,'Reference Tables'!$C$4:$C$23,0.75)</x:f>
        <x:v>121.10347943530988</x:v>
      </x:c>
      <x:c r="J856" s="102" t="n">
        <x:f>XLOOKUP(C856,'Reference Tables'!$E$4:$E$12,'Reference Tables'!$F$4:$F$12,0.05)</x:f>
        <x:v>0.1</x:v>
      </x:c>
      <x:c r="K856" s="103" t="n">
        <x:f>MIN(I856,F856*J856)</x:f>
        <x:v>73.48512101657153</x:v>
      </x:c>
      <x:c r="L856" s="103" t="n">
        <x:f>'Inputs &amp; Guide'!$B$5</x:f>
        <x:v>15</x:v>
      </x:c>
      <x:c r="M856" s="103" t="n">
        <x:f>I856*'Inputs &amp; Guide'!$B$6</x:f>
        <x:v>66.60691368942044</x:v>
      </x:c>
      <x:c r="N856" s="103" t="n">
        <x:f>MAX(0,MIN(K856-L856,M856))</x:f>
        <x:v>58.485121016571526</x:v>
      </x:c>
      <x:c r="O856" s="103" t="n">
        <x:f>MAX(0,N856-'Inputs &amp; Guide'!$B$7)</x:f>
        <x:v>0</x:v>
      </x:c>
      <x:c r="P856" s="103" t="n">
        <x:f>N856-O856</x:f>
        <x:v>58.485121016571526</x:v>
      </x:c>
      <x:c r="Q856" s="103" t="n">
        <x:f>I856*'Inputs &amp; Guide'!$B$8</x:f>
        <x:v>2.1798626298355774</x:v>
      </x:c>
      <x:c r="R856" s="104" t="n">
        <x:f>IFERROR(P856/Q856,0)</x:f>
        <x:v>26.829727807656823</x:v>
      </x:c>
      <x:c r="S856" s="105" t="n">
        <x:f>ROUND(E856*XLOOKUP(C856,'Reference Tables'!$E$4:$E$12,'Reference Tables'!$G$4:$G$12,1),1)</x:f>
        <x:v>10.9</x:v>
      </x:c>
      <x:c r="T856" s="106" t="str">
        <x:f>IF(R856&gt;='Inputs &amp; Guide'!$B$9,"HIGH",IF(R856&gt;=0.45,"WATCH","NORMAL"))</x:f>
        <x:v>HIGH</x:v>
      </x:c>
    </x:row>
    <x:row r="857">
      <x:c r="A857" s="95" t="n">
        <x:v>6825</x:v>
      </x:c>
      <x:c r="B857" s="96" t="n">
        <x:v>45576.104166666664</x:v>
      </x:c>
      <x:c r="C857" s="97" t="str">
        <x:v>Tornado</x:v>
      </x:c>
      <x:c r="D857" s="97" t="str">
        <x:v>Brazil</x:v>
      </x:c>
      <x:c r="E857" s="98" t="n">
        <x:v>4.1833751752329515</x:v>
      </x:c>
      <x:c r="F857" s="99" t="n">
        <x:v>170.84825447626235</x:v>
      </x:c>
      <x:c r="G857" s="100" t="str">
        <x:f>XLOOKUP(D857,'Reference Tables'!$A$4:$A$23,'Reference Tables'!$B$4:$B$23,"Other")</x:f>
        <x:v>Latin America</x:v>
      </x:c>
      <x:c r="H857" s="100" t="str">
        <x:f>VLOOKUP(G857,'Reference Tables'!$I$4:$J$9,2,FALSE)</x:f>
        <x:v>Moderate</x:v>
      </x:c>
      <x:c r="I857" s="101" t="n">
        <x:f>F857*'Inputs &amp; Guide'!$B$4*XLOOKUP(D857,'Reference Tables'!$A$4:$A$23,'Reference Tables'!$C$4:$C$23,0.75)</x:f>
        <x:v>22.41529098728562</x:v>
      </x:c>
      <x:c r="J857" s="102" t="n">
        <x:f>XLOOKUP(C857,'Reference Tables'!$E$4:$E$12,'Reference Tables'!$F$4:$F$12,0.05)</x:f>
        <x:v>0.09</x:v>
      </x:c>
      <x:c r="K857" s="103" t="n">
        <x:f>MIN(I857,F857*J857)</x:f>
        <x:v>15.37634290286361</x:v>
      </x:c>
      <x:c r="L857" s="103" t="n">
        <x:f>'Inputs &amp; Guide'!$B$5</x:f>
        <x:v>15</x:v>
      </x:c>
      <x:c r="M857" s="103" t="n">
        <x:f>I857*'Inputs &amp; Guide'!$B$6</x:f>
        <x:v>12.328410043007091</x:v>
      </x:c>
      <x:c r="N857" s="103" t="n">
        <x:f>MAX(0,MIN(K857-L857,M857))</x:f>
        <x:v>0.3763429028636107</x:v>
      </x:c>
      <x:c r="O857" s="103" t="n">
        <x:f>MAX(0,N857-'Inputs &amp; Guide'!$B$7)</x:f>
        <x:v>0</x:v>
      </x:c>
      <x:c r="P857" s="103" t="n">
        <x:f>N857-O857</x:f>
        <x:v>0.3763429028636107</x:v>
      </x:c>
      <x:c r="Q857" s="103" t="n">
        <x:f>I857*'Inputs &amp; Guide'!$B$8</x:f>
        <x:v>0.40347523777114114</x:v>
      </x:c>
      <x:c r="R857" s="104" t="n">
        <x:f>IFERROR(P857/Q857,0)</x:f>
        <x:v>0.9327534074769654</x:v>
      </x:c>
      <x:c r="S857" s="105" t="n">
        <x:f>ROUND(E857*XLOOKUP(C857,'Reference Tables'!$E$4:$E$12,'Reference Tables'!$G$4:$G$12,1),1)</x:f>
        <x:v>4.4</x:v>
      </x:c>
      <x:c r="T857" s="106" t="str">
        <x:f>IF(R857&gt;='Inputs &amp; Guide'!$B$9,"HIGH",IF(R857&gt;=0.45,"WATCH","NORMAL"))</x:f>
        <x:v>HIGH</x:v>
      </x:c>
    </x:row>
    <x:row r="858">
      <x:c r="A858" s="95" t="n">
        <x:v>6833</x:v>
      </x:c>
      <x:c r="B858" s="96" t="n">
        <x:v>45576.4375</x:v>
      </x:c>
      <x:c r="C858" s="97" t="str">
        <x:v>Tornado</x:v>
      </x:c>
      <x:c r="D858" s="97" t="str">
        <x:v>Indonesia</x:v>
      </x:c>
      <x:c r="E858" s="98" t="n">
        <x:v>4.116719388316671</x:v>
      </x:c>
      <x:c r="F858" s="99" t="n">
        <x:v>198.84534507307072</x:v>
      </x:c>
      <x:c r="G858" s="100" t="str">
        <x:f>XLOOKUP(D858,'Reference Tables'!$A$4:$A$23,'Reference Tables'!$B$4:$B$23,"Other")</x:f>
        <x:v>Asia Pacific</x:v>
      </x:c>
      <x:c r="H858" s="100" t="str">
        <x:f>VLOOKUP(G858,'Reference Tables'!$I$4:$J$9,2,FALSE)</x:f>
        <x:v>High</x:v>
      </x:c>
      <x:c r="I858" s="101" t="n">
        <x:f>F858*'Inputs &amp; Guide'!$B$4*XLOOKUP(D858,'Reference Tables'!$A$4:$A$23,'Reference Tables'!$C$4:$C$23,0.75)</x:f>
        <x:v>32.769712868042056</x:v>
      </x:c>
      <x:c r="J858" s="102" t="n">
        <x:f>XLOOKUP(C858,'Reference Tables'!$E$4:$E$12,'Reference Tables'!$F$4:$F$12,0.05)</x:f>
        <x:v>0.09</x:v>
      </x:c>
      <x:c r="K858" s="103" t="n">
        <x:f>MIN(I858,F858*J858)</x:f>
        <x:v>17.896081056576364</x:v>
      </x:c>
      <x:c r="L858" s="103" t="n">
        <x:f>'Inputs &amp; Guide'!$B$5</x:f>
        <x:v>15</x:v>
      </x:c>
      <x:c r="M858" s="103" t="n">
        <x:f>I858*'Inputs &amp; Guide'!$B$6</x:f>
        <x:v>18.023342077423134</x:v>
      </x:c>
      <x:c r="N858" s="103" t="n">
        <x:f>MAX(0,MIN(K858-L858,M858))</x:f>
        <x:v>2.8960810565763637</x:v>
      </x:c>
      <x:c r="O858" s="103" t="n">
        <x:f>MAX(0,N858-'Inputs &amp; Guide'!$B$7)</x:f>
        <x:v>0</x:v>
      </x:c>
      <x:c r="P858" s="103" t="n">
        <x:f>N858-O858</x:f>
        <x:v>2.8960810565763637</x:v>
      </x:c>
      <x:c r="Q858" s="103" t="n">
        <x:f>I858*'Inputs &amp; Guide'!$B$8</x:f>
        <x:v>0.5898548316247569</x:v>
      </x:c>
      <x:c r="R858" s="104" t="n">
        <x:f>IFERROR(P858/Q858,0)</x:f>
        <x:v>4.90982001215299</x:v>
      </x:c>
      <x:c r="S858" s="105" t="n">
        <x:f>ROUND(E858*XLOOKUP(C858,'Reference Tables'!$E$4:$E$12,'Reference Tables'!$G$4:$G$12,1),1)</x:f>
        <x:v>4.3</x:v>
      </x:c>
      <x:c r="T858" s="106" t="str">
        <x:f>IF(R858&gt;='Inputs &amp; Guide'!$B$9,"HIGH",IF(R858&gt;=0.45,"WATCH","NORMAL"))</x:f>
        <x:v>HIGH</x:v>
      </x:c>
    </x:row>
    <x:row r="859">
      <x:c r="A859" s="95" t="n">
        <x:v>6841</x:v>
      </x:c>
      <x:c r="B859" s="96" t="n">
        <x:v>45577</x:v>
      </x:c>
      <x:c r="C859" s="97" t="str">
        <x:v>Earthquake</x:v>
      </x:c>
      <x:c r="D859" s="97" t="str">
        <x:v>Japan</x:v>
      </x:c>
      <x:c r="E859" s="98" t="n">
        <x:v>2.6627216051989855</x:v>
      </x:c>
      <x:c r="F859" s="99" t="n">
        <x:v>828.2114925107986</x:v>
      </x:c>
      <x:c r="G859" s="100" t="str">
        <x:f>XLOOKUP(D859,'Reference Tables'!$A$4:$A$23,'Reference Tables'!$B$4:$B$23,"Other")</x:f>
        <x:v>Asia Pacific</x:v>
      </x:c>
      <x:c r="H859" s="100" t="str">
        <x:f>VLOOKUP(G859,'Reference Tables'!$I$4:$J$9,2,FALSE)</x:f>
        <x:v>High</x:v>
      </x:c>
      <x:c r="I859" s="101" t="n">
        <x:f>F859*'Inputs &amp; Guide'!$B$4*XLOOKUP(D859,'Reference Tables'!$A$4:$A$23,'Reference Tables'!$C$4:$C$23,0.75)</x:f>
        <x:v>156.3663297860388</x:v>
      </x:c>
      <x:c r="J859" s="102" t="n">
        <x:f>XLOOKUP(C859,'Reference Tables'!$E$4:$E$12,'Reference Tables'!$F$4:$F$12,0.05)</x:f>
        <x:v>0.14</x:v>
      </x:c>
      <x:c r="K859" s="103" t="n">
        <x:f>MIN(I859,F859*J859)</x:f>
        <x:v>115.94960895151182</x:v>
      </x:c>
      <x:c r="L859" s="103" t="n">
        <x:f>'Inputs &amp; Guide'!$B$5</x:f>
        <x:v>15</x:v>
      </x:c>
      <x:c r="M859" s="103" t="n">
        <x:f>I859*'Inputs &amp; Guide'!$B$6</x:f>
        <x:v>86.00148138232134</x:v>
      </x:c>
      <x:c r="N859" s="103" t="n">
        <x:f>MAX(0,MIN(K859-L859,M859))</x:f>
        <x:v>86.00148138232134</x:v>
      </x:c>
      <x:c r="O859" s="103" t="n">
        <x:f>MAX(0,N859-'Inputs &amp; Guide'!$B$7)</x:f>
        <x:v>26.001481382321344</x:v>
      </x:c>
      <x:c r="P859" s="103" t="n">
        <x:f>N859-O859</x:f>
        <x:v>60</x:v>
      </x:c>
      <x:c r="Q859" s="103" t="n">
        <x:f>I859*'Inputs &amp; Guide'!$B$8</x:f>
        <x:v>2.814593936148698</x:v>
      </x:c>
      <x:c r="R859" s="104" t="n">
        <x:f>IFERROR(P859/Q859,0)</x:f>
        <x:v>21.31746225606525</x:v>
      </x:c>
      <x:c r="S859" s="105" t="n">
        <x:f>ROUND(E859*XLOOKUP(C859,'Reference Tables'!$E$4:$E$12,'Reference Tables'!$G$4:$G$12,1),1)</x:f>
        <x:v>4</x:v>
      </x:c>
      <x:c r="T859" s="106" t="str">
        <x:f>IF(R859&gt;='Inputs &amp; Guide'!$B$9,"HIGH",IF(R859&gt;=0.45,"WATCH","NORMAL"))</x:f>
        <x:v>HIGH</x:v>
      </x:c>
    </x:row>
    <x:row r="860">
      <x:c r="A860" s="95" t="n">
        <x:v>6849</x:v>
      </x:c>
      <x:c r="B860" s="96" t="n">
        <x:v>45577.104166666664</x:v>
      </x:c>
      <x:c r="C860" s="97" t="str">
        <x:v>Tornado</x:v>
      </x:c>
      <x:c r="D860" s="97" t="str">
        <x:v>Japan</x:v>
      </x:c>
      <x:c r="E860" s="98" t="n">
        <x:v>2.22463213743413</x:v>
      </x:c>
      <x:c r="F860" s="99" t="n">
        <x:v>468.6567535547542</x:v>
      </x:c>
      <x:c r="G860" s="100" t="str">
        <x:f>XLOOKUP(D860,'Reference Tables'!$A$4:$A$23,'Reference Tables'!$B$4:$B$23,"Other")</x:f>
        <x:v>Asia Pacific</x:v>
      </x:c>
      <x:c r="H860" s="100" t="str">
        <x:f>VLOOKUP(G860,'Reference Tables'!$I$4:$J$9,2,FALSE)</x:f>
        <x:v>High</x:v>
      </x:c>
      <x:c r="I860" s="101" t="n">
        <x:f>F860*'Inputs &amp; Guide'!$B$4*XLOOKUP(D860,'Reference Tables'!$A$4:$A$23,'Reference Tables'!$C$4:$C$23,0.75)</x:f>
        <x:v>88.48239507113757</x:v>
      </x:c>
      <x:c r="J860" s="102" t="n">
        <x:f>XLOOKUP(C860,'Reference Tables'!$E$4:$E$12,'Reference Tables'!$F$4:$F$12,0.05)</x:f>
        <x:v>0.09</x:v>
      </x:c>
      <x:c r="K860" s="103" t="n">
        <x:f>MIN(I860,F860*J860)</x:f>
        <x:v>42.17910781992787</x:v>
      </x:c>
      <x:c r="L860" s="103" t="n">
        <x:f>'Inputs &amp; Guide'!$B$5</x:f>
        <x:v>15</x:v>
      </x:c>
      <x:c r="M860" s="103" t="n">
        <x:f>I860*'Inputs &amp; Guide'!$B$6</x:f>
        <x:v>48.66531728912567</x:v>
      </x:c>
      <x:c r="N860" s="103" t="n">
        <x:f>MAX(0,MIN(K860-L860,M860))</x:f>
        <x:v>27.17910781992787</x:v>
      </x:c>
      <x:c r="O860" s="103" t="n">
        <x:f>MAX(0,N860-'Inputs &amp; Guide'!$B$7)</x:f>
        <x:v>0</x:v>
      </x:c>
      <x:c r="P860" s="103" t="n">
        <x:f>N860-O860</x:f>
        <x:v>27.17910781992787</x:v>
      </x:c>
      <x:c r="Q860" s="103" t="n">
        <x:f>I860*'Inputs &amp; Guide'!$B$8</x:f>
        <x:v>1.5926831112804762</x:v>
      </x:c>
      <x:c r="R860" s="104" t="n">
        <x:f>IFERROR(P860/Q860,0)</x:f>
        <x:v>17.06498149407547</x:v>
      </x:c>
      <x:c r="S860" s="105" t="n">
        <x:f>ROUND(E860*XLOOKUP(C860,'Reference Tables'!$E$4:$E$12,'Reference Tables'!$G$4:$G$12,1),1)</x:f>
        <x:v>2.3</x:v>
      </x:c>
      <x:c r="T860" s="106" t="str">
        <x:f>IF(R860&gt;='Inputs &amp; Guide'!$B$9,"HIGH",IF(R860&gt;=0.45,"WATCH","NORMAL"))</x:f>
        <x:v>HIGH</x:v>
      </x:c>
    </x:row>
    <x:row r="861">
      <x:c r="A861" s="95" t="n">
        <x:v>6857</x:v>
      </x:c>
      <x:c r="B861" s="96" t="n">
        <x:v>45577.4375</x:v>
      </x:c>
      <x:c r="C861" s="97" t="str">
        <x:v>Flood</x:v>
      </x:c>
      <x:c r="D861" s="97" t="str">
        <x:v>Brazil</x:v>
      </x:c>
      <x:c r="E861" s="98" t="n">
        <x:v>5.05320423754053</x:v>
      </x:c>
      <x:c r="F861" s="99" t="n">
        <x:v>209.67321292965437</x:v>
      </x:c>
      <x:c r="G861" s="100" t="str">
        <x:f>XLOOKUP(D861,'Reference Tables'!$A$4:$A$23,'Reference Tables'!$B$4:$B$23,"Other")</x:f>
        <x:v>Latin America</x:v>
      </x:c>
      <x:c r="H861" s="100" t="str">
        <x:f>VLOOKUP(G861,'Reference Tables'!$I$4:$J$9,2,FALSE)</x:f>
        <x:v>Moderate</x:v>
      </x:c>
      <x:c r="I861" s="101" t="n">
        <x:f>F861*'Inputs &amp; Guide'!$B$4*XLOOKUP(D861,'Reference Tables'!$A$4:$A$23,'Reference Tables'!$C$4:$C$23,0.75)</x:f>
        <x:v>27.50912553637065</x:v>
      </x:c>
      <x:c r="J861" s="102" t="n">
        <x:f>XLOOKUP(C861,'Reference Tables'!$E$4:$E$12,'Reference Tables'!$F$4:$F$12,0.05)</x:f>
        <x:v>0.12</x:v>
      </x:c>
      <x:c r="K861" s="103" t="n">
        <x:f>MIN(I861,F861*J861)</x:f>
        <x:v>25.160785551558522</x:v>
      </x:c>
      <x:c r="L861" s="103" t="n">
        <x:f>'Inputs &amp; Guide'!$B$5</x:f>
        <x:v>15</x:v>
      </x:c>
      <x:c r="M861" s="103" t="n">
        <x:f>I861*'Inputs &amp; Guide'!$B$6</x:f>
        <x:v>15.13001904500386</x:v>
      </x:c>
      <x:c r="N861" s="103" t="n">
        <x:f>MAX(0,MIN(K861-L861,M861))</x:f>
        <x:v>10.160785551558522</x:v>
      </x:c>
      <x:c r="O861" s="103" t="n">
        <x:f>MAX(0,N861-'Inputs &amp; Guide'!$B$7)</x:f>
        <x:v>0</x:v>
      </x:c>
      <x:c r="P861" s="103" t="n">
        <x:f>N861-O861</x:f>
        <x:v>10.160785551558522</x:v>
      </x:c>
      <x:c r="Q861" s="103" t="n">
        <x:f>I861*'Inputs &amp; Guide'!$B$8</x:f>
        <x:v>0.49516425965467165</x:v>
      </x:c>
      <x:c r="R861" s="104" t="n">
        <x:f>IFERROR(P861/Q861,0)</x:f>
        <x:v>20.52003017876264</x:v>
      </x:c>
      <x:c r="S861" s="105" t="n">
        <x:f>ROUND(E861*XLOOKUP(C861,'Reference Tables'!$E$4:$E$12,'Reference Tables'!$G$4:$G$12,1),1)</x:f>
        <x:v>6.3</x:v>
      </x:c>
      <x:c r="T861" s="106" t="str">
        <x:f>IF(R861&gt;='Inputs &amp; Guide'!$B$9,"HIGH",IF(R861&gt;=0.45,"WATCH","NORMAL"))</x:f>
        <x:v>HIGH</x:v>
      </x:c>
    </x:row>
    <x:row r="862">
      <x:c r="A862" s="95" t="n">
        <x:v>6865</x:v>
      </x:c>
      <x:c r="B862" s="96" t="n">
        <x:v>45578</x:v>
      </x:c>
      <x:c r="C862" s="97" t="str">
        <x:v>Earthquake</x:v>
      </x:c>
      <x:c r="D862" s="97" t="str">
        <x:v>China</x:v>
      </x:c>
      <x:c r="E862" s="98" t="n">
        <x:v>3.176185495135157</x:v>
      </x:c>
      <x:c r="F862" s="99" t="n">
        <x:v>902.0987557499244</x:v>
      </x:c>
      <x:c r="G862" s="100" t="str">
        <x:f>XLOOKUP(D862,'Reference Tables'!$A$4:$A$23,'Reference Tables'!$B$4:$B$23,"Other")</x:f>
        <x:v>Asia Pacific</x:v>
      </x:c>
      <x:c r="H862" s="100" t="str">
        <x:f>VLOOKUP(G862,'Reference Tables'!$I$4:$J$9,2,FALSE)</x:f>
        <x:v>High</x:v>
      </x:c>
      <x:c r="I862" s="101" t="n">
        <x:f>F862*'Inputs &amp; Guide'!$B$4*XLOOKUP(D862,'Reference Tables'!$A$4:$A$23,'Reference Tables'!$C$4:$C$23,0.75)</x:f>
        <x:v>155.88266499358696</x:v>
      </x:c>
      <x:c r="J862" s="102" t="n">
        <x:f>XLOOKUP(C862,'Reference Tables'!$E$4:$E$12,'Reference Tables'!$F$4:$F$12,0.05)</x:f>
        <x:v>0.14</x:v>
      </x:c>
      <x:c r="K862" s="103" t="n">
        <x:f>MIN(I862,F862*J862)</x:f>
        <x:v>126.29382580498942</x:v>
      </x:c>
      <x:c r="L862" s="103" t="n">
        <x:f>'Inputs &amp; Guide'!$B$5</x:f>
        <x:v>15</x:v>
      </x:c>
      <x:c r="M862" s="103" t="n">
        <x:f>I862*'Inputs &amp; Guide'!$B$6</x:f>
        <x:v>85.73546574647283</x:v>
      </x:c>
      <x:c r="N862" s="103" t="n">
        <x:f>MAX(0,MIN(K862-L862,M862))</x:f>
        <x:v>85.73546574647283</x:v>
      </x:c>
      <x:c r="O862" s="103" t="n">
        <x:f>MAX(0,N862-'Inputs &amp; Guide'!$B$7)</x:f>
        <x:v>25.735465746472826</x:v>
      </x:c>
      <x:c r="P862" s="103" t="n">
        <x:f>N862-O862</x:f>
        <x:v>60</x:v>
      </x:c>
      <x:c r="Q862" s="103" t="n">
        <x:f>I862*'Inputs &amp; Guide'!$B$8</x:f>
        <x:v>2.805887969884565</x:v>
      </x:c>
      <x:c r="R862" s="104" t="n">
        <x:f>IFERROR(P862/Q862,0)</x:f>
        <x:v>21.38360499206546</x:v>
      </x:c>
      <x:c r="S862" s="105" t="n">
        <x:f>ROUND(E862*XLOOKUP(C862,'Reference Tables'!$E$4:$E$12,'Reference Tables'!$G$4:$G$12,1),1)</x:f>
        <x:v>4.8</x:v>
      </x:c>
      <x:c r="T862" s="106" t="str">
        <x:f>IF(R862&gt;='Inputs &amp; Guide'!$B$9,"HIGH",IF(R862&gt;=0.45,"WATCH","NORMAL"))</x:f>
        <x:v>HIGH</x:v>
      </x:c>
    </x:row>
    <x:row r="863">
      <x:c r="A863" s="95" t="n">
        <x:v>6873</x:v>
      </x:c>
      <x:c r="B863" s="96" t="n">
        <x:v>45578.104166666664</x:v>
      </x:c>
      <x:c r="C863" s="97" t="str">
        <x:v>Flood</x:v>
      </x:c>
      <x:c r="D863" s="97" t="str">
        <x:v>Indonesia</x:v>
      </x:c>
      <x:c r="E863" s="98" t="n">
        <x:v>7.316861075997965</x:v>
      </x:c>
      <x:c r="F863" s="99" t="n">
        <x:v>211.176084399041</x:v>
      </x:c>
      <x:c r="G863" s="100" t="str">
        <x:f>XLOOKUP(D863,'Reference Tables'!$A$4:$A$23,'Reference Tables'!$B$4:$B$23,"Other")</x:f>
        <x:v>Asia Pacific</x:v>
      </x:c>
      <x:c r="H863" s="100" t="str">
        <x:f>VLOOKUP(G863,'Reference Tables'!$I$4:$J$9,2,FALSE)</x:f>
        <x:v>High</x:v>
      </x:c>
      <x:c r="I863" s="101" t="n">
        <x:f>F863*'Inputs &amp; Guide'!$B$4*XLOOKUP(D863,'Reference Tables'!$A$4:$A$23,'Reference Tables'!$C$4:$C$23,0.75)</x:f>
        <x:v>34.80181870896195</x:v>
      </x:c>
      <x:c r="J863" s="102" t="n">
        <x:f>XLOOKUP(C863,'Reference Tables'!$E$4:$E$12,'Reference Tables'!$F$4:$F$12,0.05)</x:f>
        <x:v>0.12</x:v>
      </x:c>
      <x:c r="K863" s="103" t="n">
        <x:f>MIN(I863,F863*J863)</x:f>
        <x:v>25.34113012788492</x:v>
      </x:c>
      <x:c r="L863" s="103" t="n">
        <x:f>'Inputs &amp; Guide'!$B$5</x:f>
        <x:v>15</x:v>
      </x:c>
      <x:c r="M863" s="103" t="n">
        <x:f>I863*'Inputs &amp; Guide'!$B$6</x:f>
        <x:v>19.141000289929075</x:v>
      </x:c>
      <x:c r="N863" s="103" t="n">
        <x:f>MAX(0,MIN(K863-L863,M863))</x:f>
        <x:v>10.34113012788492</x:v>
      </x:c>
      <x:c r="O863" s="103" t="n">
        <x:f>MAX(0,N863-'Inputs &amp; Guide'!$B$7)</x:f>
        <x:v>0</x:v>
      </x:c>
      <x:c r="P863" s="103" t="n">
        <x:f>N863-O863</x:f>
        <x:v>10.34113012788492</x:v>
      </x:c>
      <x:c r="Q863" s="103" t="n">
        <x:f>I863*'Inputs &amp; Guide'!$B$8</x:f>
        <x:v>0.6264327367613151</x:v>
      </x:c>
      <x:c r="R863" s="104" t="n">
        <x:f>IFERROR(P863/Q863,0)</x:f>
        <x:v>16.507965693729577</x:v>
      </x:c>
      <x:c r="S863" s="105" t="n">
        <x:f>ROUND(E863*XLOOKUP(C863,'Reference Tables'!$E$4:$E$12,'Reference Tables'!$G$4:$G$12,1),1)</x:f>
        <x:v>9.1</x:v>
      </x:c>
      <x:c r="T863" s="106" t="str">
        <x:f>IF(R863&gt;='Inputs &amp; Guide'!$B$9,"HIGH",IF(R863&gt;=0.45,"WATCH","NORMAL"))</x:f>
        <x:v>HIGH</x:v>
      </x:c>
    </x:row>
    <x:row r="864">
      <x:c r="A864" s="95" t="n">
        <x:v>6881</x:v>
      </x:c>
      <x:c r="B864" s="96" t="n">
        <x:v>45578.4375</x:v>
      </x:c>
      <x:c r="C864" s="97" t="str">
        <x:v>Wildfire</x:v>
      </x:c>
      <x:c r="D864" s="97" t="str">
        <x:v>China</x:v>
      </x:c>
      <x:c r="E864" s="98" t="n">
        <x:v>7.0336157246823525</x:v>
      </x:c>
      <x:c r="F864" s="99" t="n">
        <x:v>826.914569443471</x:v>
      </x:c>
      <x:c r="G864" s="100" t="str">
        <x:f>XLOOKUP(D864,'Reference Tables'!$A$4:$A$23,'Reference Tables'!$B$4:$B$23,"Other")</x:f>
        <x:v>Asia Pacific</x:v>
      </x:c>
      <x:c r="H864" s="100" t="str">
        <x:f>VLOOKUP(G864,'Reference Tables'!$I$4:$J$9,2,FALSE)</x:f>
        <x:v>High</x:v>
      </x:c>
      <x:c r="I864" s="101" t="n">
        <x:f>F864*'Inputs &amp; Guide'!$B$4*XLOOKUP(D864,'Reference Tables'!$A$4:$A$23,'Reference Tables'!$C$4:$C$23,0.75)</x:f>
        <x:v>142.8908375998318</x:v>
      </x:c>
      <x:c r="J864" s="102" t="n">
        <x:f>XLOOKUP(C864,'Reference Tables'!$E$4:$E$12,'Reference Tables'!$F$4:$F$12,0.05)</x:f>
        <x:v>0.1</x:v>
      </x:c>
      <x:c r="K864" s="103" t="n">
        <x:f>MIN(I864,F864*J864)</x:f>
        <x:v>82.69145694434711</x:v>
      </x:c>
      <x:c r="L864" s="103" t="n">
        <x:f>'Inputs &amp; Guide'!$B$5</x:f>
        <x:v>15</x:v>
      </x:c>
      <x:c r="M864" s="103" t="n">
        <x:f>I864*'Inputs &amp; Guide'!$B$6</x:f>
        <x:v>78.58996067990749</x:v>
      </x:c>
      <x:c r="N864" s="103" t="n">
        <x:f>MAX(0,MIN(K864-L864,M864))</x:f>
        <x:v>67.69145694434711</x:v>
      </x:c>
      <x:c r="O864" s="103" t="n">
        <x:f>MAX(0,N864-'Inputs &amp; Guide'!$B$7)</x:f>
        <x:v>7.6914569443471095</x:v>
      </x:c>
      <x:c r="P864" s="103" t="n">
        <x:f>N864-O864</x:f>
        <x:v>60</x:v>
      </x:c>
      <x:c r="Q864" s="103" t="n">
        <x:f>I864*'Inputs &amp; Guide'!$B$8</x:f>
        <x:v>2.572035076796972</x:v>
      </x:c>
      <x:c r="R864" s="104" t="n">
        <x:f>IFERROR(P864/Q864,0)</x:f>
        <x:v>23.327831156455183</x:v>
      </x:c>
      <x:c r="S864" s="105" t="n">
        <x:f>ROUND(E864*XLOOKUP(C864,'Reference Tables'!$E$4:$E$12,'Reference Tables'!$G$4:$G$12,1),1)</x:f>
        <x:v>8.1</x:v>
      </x:c>
      <x:c r="T864" s="106" t="str">
        <x:f>IF(R864&gt;='Inputs &amp; Guide'!$B$9,"HIGH",IF(R864&gt;=0.45,"WATCH","NORMAL"))</x:f>
        <x:v>HIGH</x:v>
      </x:c>
    </x:row>
    <x:row r="865">
      <x:c r="A865" s="95" t="n">
        <x:v>6889</x:v>
      </x:c>
      <x:c r="B865" s="96" t="n">
        <x:v>45579</x:v>
      </x:c>
      <x:c r="C865" s="97" t="str">
        <x:v>Hurricane</x:v>
      </x:c>
      <x:c r="D865" s="97" t="str">
        <x:v>India</x:v>
      </x:c>
      <x:c r="E865" s="98" t="n">
        <x:v>4.456065019260156</x:v>
      </x:c>
      <x:c r="F865" s="99" t="n">
        <x:v>146.56210697180197</x:v>
      </x:c>
      <x:c r="G865" s="100" t="str">
        <x:f>XLOOKUP(D865,'Reference Tables'!$A$4:$A$23,'Reference Tables'!$B$4:$B$23,"Other")</x:f>
        <x:v>Asia Pacific</x:v>
      </x:c>
      <x:c r="H865" s="100" t="str">
        <x:f>VLOOKUP(G865,'Reference Tables'!$I$4:$J$9,2,FALSE)</x:f>
        <x:v>High</x:v>
      </x:c>
      <x:c r="I865" s="101" t="n">
        <x:f>F865*'Inputs &amp; Guide'!$B$4*XLOOKUP(D865,'Reference Tables'!$A$4:$A$23,'Reference Tables'!$C$4:$C$23,0.75)</x:f>
        <x:v>21.339442775094366</x:v>
      </x:c>
      <x:c r="J865" s="102" t="n">
        <x:f>XLOOKUP(C865,'Reference Tables'!$E$4:$E$12,'Reference Tables'!$F$4:$F$12,0.05)</x:f>
        <x:v>0.18</x:v>
      </x:c>
      <x:c r="K865" s="103" t="n">
        <x:f>MIN(I865,F865*J865)</x:f>
        <x:v>21.339442775094366</x:v>
      </x:c>
      <x:c r="L865" s="103" t="n">
        <x:f>'Inputs &amp; Guide'!$B$5</x:f>
        <x:v>15</x:v>
      </x:c>
      <x:c r="M865" s="103" t="n">
        <x:f>I865*'Inputs &amp; Guide'!$B$6</x:f>
        <x:v>11.736693526301902</x:v>
      </x:c>
      <x:c r="N865" s="103" t="n">
        <x:f>MAX(0,MIN(K865-L865,M865))</x:f>
        <x:v>6.339442775094366</x:v>
      </x:c>
      <x:c r="O865" s="103" t="n">
        <x:f>MAX(0,N865-'Inputs &amp; Guide'!$B$7)</x:f>
        <x:v>0</x:v>
      </x:c>
      <x:c r="P865" s="103" t="n">
        <x:f>N865-O865</x:f>
        <x:v>6.339442775094366</x:v>
      </x:c>
      <x:c r="Q865" s="103" t="n">
        <x:f>I865*'Inputs &amp; Guide'!$B$8</x:f>
        <x:v>0.38410996995169855</x:v>
      </x:c>
      <x:c r="R865" s="104" t="n">
        <x:f>IFERROR(P865/Q865,0)</x:f>
        <x:v>16.50423907479294</x:v>
      </x:c>
      <x:c r="S865" s="105" t="n">
        <x:f>ROUND(E865*XLOOKUP(C865,'Reference Tables'!$E$4:$E$12,'Reference Tables'!$G$4:$G$12,1),1)</x:f>
        <x:v>6.2</x:v>
      </x:c>
      <x:c r="T865" s="106" t="str">
        <x:f>IF(R865&gt;='Inputs &amp; Guide'!$B$9,"HIGH",IF(R865&gt;=0.45,"WATCH","NORMAL"))</x:f>
        <x:v>HIGH</x:v>
      </x:c>
    </x:row>
    <x:row r="866">
      <x:c r="A866" s="95" t="n">
        <x:v>6897</x:v>
      </x:c>
      <x:c r="B866" s="96" t="n">
        <x:v>45579.104166666664</x:v>
      </x:c>
      <x:c r="C866" s="97" t="str">
        <x:v>Earthquake</x:v>
      </x:c>
      <x:c r="D866" s="97" t="str">
        <x:v>India</x:v>
      </x:c>
      <x:c r="E866" s="98" t="n">
        <x:v>5.639921970346382</x:v>
      </x:c>
      <x:c r="F866" s="99" t="n">
        <x:v>838.8163077731435</x:v>
      </x:c>
      <x:c r="G866" s="100" t="str">
        <x:f>XLOOKUP(D866,'Reference Tables'!$A$4:$A$23,'Reference Tables'!$B$4:$B$23,"Other")</x:f>
        <x:v>Asia Pacific</x:v>
      </x:c>
      <x:c r="H866" s="100" t="str">
        <x:f>VLOOKUP(G866,'Reference Tables'!$I$4:$J$9,2,FALSE)</x:f>
        <x:v>High</x:v>
      </x:c>
      <x:c r="I866" s="101" t="n">
        <x:f>F866*'Inputs &amp; Guide'!$B$4*XLOOKUP(D866,'Reference Tables'!$A$4:$A$23,'Reference Tables'!$C$4:$C$23,0.75)</x:f>
        <x:v>122.13165441176972</x:v>
      </x:c>
      <x:c r="J866" s="102" t="n">
        <x:f>XLOOKUP(C866,'Reference Tables'!$E$4:$E$12,'Reference Tables'!$F$4:$F$12,0.05)</x:f>
        <x:v>0.14</x:v>
      </x:c>
      <x:c r="K866" s="103" t="n">
        <x:f>MIN(I866,F866*J866)</x:f>
        <x:v>117.43428308824011</x:v>
      </x:c>
      <x:c r="L866" s="103" t="n">
        <x:f>'Inputs &amp; Guide'!$B$5</x:f>
        <x:v>15</x:v>
      </x:c>
      <x:c r="M866" s="103" t="n">
        <x:f>I866*'Inputs &amp; Guide'!$B$6</x:f>
        <x:v>67.17240992647335</x:v>
      </x:c>
      <x:c r="N866" s="103" t="n">
        <x:f>MAX(0,MIN(K866-L866,M866))</x:f>
        <x:v>67.17240992647335</x:v>
      </x:c>
      <x:c r="O866" s="103" t="n">
        <x:f>MAX(0,N866-'Inputs &amp; Guide'!$B$7)</x:f>
        <x:v>7.17240992647335</x:v>
      </x:c>
      <x:c r="P866" s="103" t="n">
        <x:f>N866-O866</x:f>
        <x:v>60</x:v>
      </x:c>
      <x:c r="Q866" s="103" t="n">
        <x:f>I866*'Inputs &amp; Guide'!$B$8</x:f>
        <x:v>2.1983697794118546</x:v>
      </x:c>
      <x:c r="R866" s="104" t="n">
        <x:f>IFERROR(P866/Q866,0)</x:f>
        <x:v>27.292951605280994</x:v>
      </x:c>
      <x:c r="S866" s="105" t="n">
        <x:f>ROUND(E866*XLOOKUP(C866,'Reference Tables'!$E$4:$E$12,'Reference Tables'!$G$4:$G$12,1),1)</x:f>
        <x:v>8.5</x:v>
      </x:c>
      <x:c r="T866" s="106" t="str">
        <x:f>IF(R866&gt;='Inputs &amp; Guide'!$B$9,"HIGH",IF(R866&gt;=0.45,"WATCH","NORMAL"))</x:f>
        <x:v>HIGH</x:v>
      </x:c>
    </x:row>
    <x:row r="867">
      <x:c r="A867" s="95" t="n">
        <x:v>6905</x:v>
      </x:c>
      <x:c r="B867" s="96" t="n">
        <x:v>45579.4375</x:v>
      </x:c>
      <x:c r="C867" s="97" t="str">
        <x:v>Hurricane</x:v>
      </x:c>
      <x:c r="D867" s="97" t="str">
        <x:v>Japan</x:v>
      </x:c>
      <x:c r="E867" s="98" t="n">
        <x:v>8.315167706604903</x:v>
      </x:c>
      <x:c r="F867" s="99" t="n">
        <x:v>195.40458393436444</x:v>
      </x:c>
      <x:c r="G867" s="100" t="str">
        <x:f>XLOOKUP(D867,'Reference Tables'!$A$4:$A$23,'Reference Tables'!$B$4:$B$23,"Other")</x:f>
        <x:v>Asia Pacific</x:v>
      </x:c>
      <x:c r="H867" s="100" t="str">
        <x:f>VLOOKUP(G867,'Reference Tables'!$I$4:$J$9,2,FALSE)</x:f>
        <x:v>High</x:v>
      </x:c>
      <x:c r="I867" s="101" t="n">
        <x:f>F867*'Inputs &amp; Guide'!$B$4*XLOOKUP(D867,'Reference Tables'!$A$4:$A$23,'Reference Tables'!$C$4:$C$23,0.75)</x:f>
        <x:v>36.89238544680801</x:v>
      </x:c>
      <x:c r="J867" s="102" t="n">
        <x:f>XLOOKUP(C867,'Reference Tables'!$E$4:$E$12,'Reference Tables'!$F$4:$F$12,0.05)</x:f>
        <x:v>0.18</x:v>
      </x:c>
      <x:c r="K867" s="103" t="n">
        <x:f>MIN(I867,F867*J867)</x:f>
        <x:v>35.1728251081856</x:v>
      </x:c>
      <x:c r="L867" s="103" t="n">
        <x:f>'Inputs &amp; Guide'!$B$5</x:f>
        <x:v>15</x:v>
      </x:c>
      <x:c r="M867" s="103" t="n">
        <x:f>I867*'Inputs &amp; Guide'!$B$6</x:f>
        <x:v>20.290811995744406</x:v>
      </x:c>
      <x:c r="N867" s="103" t="n">
        <x:f>MAX(0,MIN(K867-L867,M867))</x:f>
        <x:v>20.1728251081856</x:v>
      </x:c>
      <x:c r="O867" s="103" t="n">
        <x:f>MAX(0,N867-'Inputs &amp; Guide'!$B$7)</x:f>
        <x:v>0</x:v>
      </x:c>
      <x:c r="P867" s="103" t="n">
        <x:f>N867-O867</x:f>
        <x:v>20.1728251081856</x:v>
      </x:c>
      <x:c r="Q867" s="103" t="n">
        <x:f>I867*'Inputs &amp; Guide'!$B$8</x:f>
        <x:v>0.664062938042544</x:v>
      </x:c>
      <x:c r="R867" s="104" t="n">
        <x:f>IFERROR(P867/Q867,0)</x:f>
        <x:v>30.377881300903443</x:v>
      </x:c>
      <x:c r="S867" s="105" t="n">
        <x:f>ROUND(E867*XLOOKUP(C867,'Reference Tables'!$E$4:$E$12,'Reference Tables'!$G$4:$G$12,1),1)</x:f>
        <x:v>11.6</x:v>
      </x:c>
      <x:c r="T867" s="106" t="str">
        <x:f>IF(R867&gt;='Inputs &amp; Guide'!$B$9,"HIGH",IF(R867&gt;=0.45,"WATCH","NORMAL"))</x:f>
        <x:v>HIGH</x:v>
      </x:c>
    </x:row>
    <x:row r="868">
      <x:c r="A868" s="95" t="n">
        <x:v>6913</x:v>
      </x:c>
      <x:c r="B868" s="96" t="n">
        <x:v>45580</x:v>
      </x:c>
      <x:c r="C868" s="97" t="str">
        <x:v>Wildfire</x:v>
      </x:c>
      <x:c r="D868" s="97" t="str">
        <x:v>USA</x:v>
      </x:c>
      <x:c r="E868" s="98" t="n">
        <x:v>4.01329492242024</x:v>
      </x:c>
      <x:c r="F868" s="99" t="n">
        <x:v>731.8171629554541</x:v>
      </x:c>
      <x:c r="G868" s="100" t="str">
        <x:f>XLOOKUP(D868,'Reference Tables'!$A$4:$A$23,'Reference Tables'!$B$4:$B$23,"Other")</x:f>
        <x:v>Other</x:v>
      </x:c>
      <x:c r="H868" s="100" t="str">
        <x:f>VLOOKUP(G868,'Reference Tables'!$I$4:$J$9,2,FALSE)</x:f>
        <x:v>Moderate</x:v>
      </x:c>
      <x:c r="I868" s="101" t="n">
        <x:f>F868*'Inputs &amp; Guide'!$B$4*XLOOKUP(D868,'Reference Tables'!$A$4:$A$23,'Reference Tables'!$C$4:$C$23,0.75)</x:f>
        <x:v>87.8180595546545</x:v>
      </x:c>
      <x:c r="J868" s="102" t="n">
        <x:f>XLOOKUP(C868,'Reference Tables'!$E$4:$E$12,'Reference Tables'!$F$4:$F$12,0.05)</x:f>
        <x:v>0.1</x:v>
      </x:c>
      <x:c r="K868" s="103" t="n">
        <x:f>MIN(I868,F868*J868)</x:f>
        <x:v>73.18171629554541</x:v>
      </x:c>
      <x:c r="L868" s="103" t="n">
        <x:f>'Inputs &amp; Guide'!$B$5</x:f>
        <x:v>15</x:v>
      </x:c>
      <x:c r="M868" s="103" t="n">
        <x:f>I868*'Inputs &amp; Guide'!$B$6</x:f>
        <x:v>48.29993275505998</x:v>
      </x:c>
      <x:c r="N868" s="103" t="n">
        <x:f>MAX(0,MIN(K868-L868,M868))</x:f>
        <x:v>48.29993275505998</x:v>
      </x:c>
      <x:c r="O868" s="103" t="n">
        <x:f>MAX(0,N868-'Inputs &amp; Guide'!$B$7)</x:f>
        <x:v>0</x:v>
      </x:c>
      <x:c r="P868" s="103" t="n">
        <x:f>N868-O868</x:f>
        <x:v>48.29993275505998</x:v>
      </x:c>
      <x:c r="Q868" s="103" t="n">
        <x:f>I868*'Inputs &amp; Guide'!$B$8</x:f>
        <x:v>1.5807250719837809</x:v>
      </x:c>
      <x:c r="R868" s="104" t="n">
        <x:f>IFERROR(P868/Q868,0)</x:f>
        <x:v>30.55555555555556</x:v>
      </x:c>
      <x:c r="S868" s="105" t="n">
        <x:f>ROUND(E868*XLOOKUP(C868,'Reference Tables'!$E$4:$E$12,'Reference Tables'!$G$4:$G$12,1),1)</x:f>
        <x:v>4.6</x:v>
      </x:c>
      <x:c r="T868" s="106" t="str">
        <x:f>IF(R868&gt;='Inputs &amp; Guide'!$B$9,"HIGH",IF(R868&gt;=0.45,"WATCH","NORMAL"))</x:f>
        <x:v>HIGH</x:v>
      </x:c>
    </x:row>
    <x:row r="869">
      <x:c r="A869" s="95" t="n">
        <x:v>6921</x:v>
      </x:c>
      <x:c r="B869" s="96" t="n">
        <x:v>45580.104166666664</x:v>
      </x:c>
      <x:c r="C869" s="97" t="str">
        <x:v>Hurricane</x:v>
      </x:c>
      <x:c r="D869" s="97" t="str">
        <x:v>USA</x:v>
      </x:c>
      <x:c r="E869" s="98" t="n">
        <x:v>8.119156899362466</x:v>
      </x:c>
      <x:c r="F869" s="99" t="n">
        <x:v>946.637493226186</x:v>
      </x:c>
      <x:c r="G869" s="100" t="str">
        <x:f>XLOOKUP(D869,'Reference Tables'!$A$4:$A$23,'Reference Tables'!$B$4:$B$23,"Other")</x:f>
        <x:v>Other</x:v>
      </x:c>
      <x:c r="H869" s="100" t="str">
        <x:f>VLOOKUP(G869,'Reference Tables'!$I$4:$J$9,2,FALSE)</x:f>
        <x:v>Moderate</x:v>
      </x:c>
      <x:c r="I869" s="101" t="n">
        <x:f>F869*'Inputs &amp; Guide'!$B$4*XLOOKUP(D869,'Reference Tables'!$A$4:$A$23,'Reference Tables'!$C$4:$C$23,0.75)</x:f>
        <x:v>113.59649918714233</x:v>
      </x:c>
      <x:c r="J869" s="102" t="n">
        <x:f>XLOOKUP(C869,'Reference Tables'!$E$4:$E$12,'Reference Tables'!$F$4:$F$12,0.05)</x:f>
        <x:v>0.18</x:v>
      </x:c>
      <x:c r="K869" s="103" t="n">
        <x:f>MIN(I869,F869*J869)</x:f>
        <x:v>113.59649918714233</x:v>
      </x:c>
      <x:c r="L869" s="103" t="n">
        <x:f>'Inputs &amp; Guide'!$B$5</x:f>
        <x:v>15</x:v>
      </x:c>
      <x:c r="M869" s="103" t="n">
        <x:f>I869*'Inputs &amp; Guide'!$B$6</x:f>
        <x:v>62.478074552928284</x:v>
      </x:c>
      <x:c r="N869" s="103" t="n">
        <x:f>MAX(0,MIN(K869-L869,M869))</x:f>
        <x:v>62.478074552928284</x:v>
      </x:c>
      <x:c r="O869" s="103" t="n">
        <x:f>MAX(0,N869-'Inputs &amp; Guide'!$B$7)</x:f>
        <x:v>2.478074552928284</x:v>
      </x:c>
      <x:c r="P869" s="103" t="n">
        <x:f>N869-O869</x:f>
        <x:v>60</x:v>
      </x:c>
      <x:c r="Q869" s="103" t="n">
        <x:f>I869*'Inputs &amp; Guide'!$B$8</x:f>
        <x:v>2.0447369853685617</x:v>
      </x:c>
      <x:c r="R869" s="104" t="n">
        <x:f>IFERROR(P869/Q869,0)</x:f>
        <x:v>29.343627287685152</x:v>
      </x:c>
      <x:c r="S869" s="105" t="n">
        <x:f>ROUND(E869*XLOOKUP(C869,'Reference Tables'!$E$4:$E$12,'Reference Tables'!$G$4:$G$12,1),1)</x:f>
        <x:v>11.4</x:v>
      </x:c>
      <x:c r="T869" s="106" t="str">
        <x:f>IF(R869&gt;='Inputs &amp; Guide'!$B$9,"HIGH",IF(R869&gt;=0.45,"WATCH","NORMAL"))</x:f>
        <x:v>HIGH</x:v>
      </x:c>
    </x:row>
    <x:row r="870">
      <x:c r="A870" s="95" t="n">
        <x:v>6929</x:v>
      </x:c>
      <x:c r="B870" s="96" t="n">
        <x:v>45580.4375</x:v>
      </x:c>
      <x:c r="C870" s="97" t="str">
        <x:v>Earthquake</x:v>
      </x:c>
      <x:c r="D870" s="97" t="str">
        <x:v>Brazil</x:v>
      </x:c>
      <x:c r="E870" s="98" t="n">
        <x:v>6.947620112780934</x:v>
      </x:c>
      <x:c r="F870" s="99" t="n">
        <x:v>618.4230417407061</x:v>
      </x:c>
      <x:c r="G870" s="100" t="str">
        <x:f>XLOOKUP(D870,'Reference Tables'!$A$4:$A$23,'Reference Tables'!$B$4:$B$23,"Other")</x:f>
        <x:v>Latin America</x:v>
      </x:c>
      <x:c r="H870" s="100" t="str">
        <x:f>VLOOKUP(G870,'Reference Tables'!$I$4:$J$9,2,FALSE)</x:f>
        <x:v>Moderate</x:v>
      </x:c>
      <x:c r="I870" s="101" t="n">
        <x:f>F870*'Inputs &amp; Guide'!$B$4*XLOOKUP(D870,'Reference Tables'!$A$4:$A$23,'Reference Tables'!$C$4:$C$23,0.75)</x:f>
        <x:v>81.13710307638064</x:v>
      </x:c>
      <x:c r="J870" s="102" t="n">
        <x:f>XLOOKUP(C870,'Reference Tables'!$E$4:$E$12,'Reference Tables'!$F$4:$F$12,0.05)</x:f>
        <x:v>0.14</x:v>
      </x:c>
      <x:c r="K870" s="103" t="n">
        <x:f>MIN(I870,F870*J870)</x:f>
        <x:v>81.13710307638064</x:v>
      </x:c>
      <x:c r="L870" s="103" t="n">
        <x:f>'Inputs &amp; Guide'!$B$5</x:f>
        <x:v>15</x:v>
      </x:c>
      <x:c r="M870" s="103" t="n">
        <x:f>I870*'Inputs &amp; Guide'!$B$6</x:f>
        <x:v>44.625406692009356</x:v>
      </x:c>
      <x:c r="N870" s="103" t="n">
        <x:f>MAX(0,MIN(K870-L870,M870))</x:f>
        <x:v>44.625406692009356</x:v>
      </x:c>
      <x:c r="O870" s="103" t="n">
        <x:f>MAX(0,N870-'Inputs &amp; Guide'!$B$7)</x:f>
        <x:v>0</x:v>
      </x:c>
      <x:c r="P870" s="103" t="n">
        <x:f>N870-O870</x:f>
        <x:v>44.625406692009356</x:v>
      </x:c>
      <x:c r="Q870" s="103" t="n">
        <x:f>I870*'Inputs &amp; Guide'!$B$8</x:f>
        <x:v>1.4604678553748514</x:v>
      </x:c>
      <x:c r="R870" s="104" t="n">
        <x:f>IFERROR(P870/Q870,0)</x:f>
        <x:v>30.55555555555556</x:v>
      </x:c>
      <x:c r="S870" s="105" t="n">
        <x:f>ROUND(E870*XLOOKUP(C870,'Reference Tables'!$E$4:$E$12,'Reference Tables'!$G$4:$G$12,1),1)</x:f>
        <x:v>10.4</x:v>
      </x:c>
      <x:c r="T870" s="106" t="str">
        <x:f>IF(R870&gt;='Inputs &amp; Guide'!$B$9,"HIGH",IF(R870&gt;=0.45,"WATCH","NORMAL"))</x:f>
        <x:v>HIGH</x:v>
      </x:c>
    </x:row>
    <x:row r="871">
      <x:c r="A871" s="95" t="n">
        <x:v>6937</x:v>
      </x:c>
      <x:c r="B871" s="96" t="n">
        <x:v>45581</x:v>
      </x:c>
      <x:c r="C871" s="97" t="str">
        <x:v>Wildfire</x:v>
      </x:c>
      <x:c r="D871" s="97" t="str">
        <x:v>USA</x:v>
      </x:c>
      <x:c r="E871" s="98" t="n">
        <x:v>7.05278650405335</x:v>
      </x:c>
      <x:c r="F871" s="99" t="n">
        <x:v>854.18718550336</x:v>
      </x:c>
      <x:c r="G871" s="100" t="str">
        <x:f>XLOOKUP(D871,'Reference Tables'!$A$4:$A$23,'Reference Tables'!$B$4:$B$23,"Other")</x:f>
        <x:v>Other</x:v>
      </x:c>
      <x:c r="H871" s="100" t="str">
        <x:f>VLOOKUP(G871,'Reference Tables'!$I$4:$J$9,2,FALSE)</x:f>
        <x:v>Moderate</x:v>
      </x:c>
      <x:c r="I871" s="101" t="n">
        <x:f>F871*'Inputs &amp; Guide'!$B$4*XLOOKUP(D871,'Reference Tables'!$A$4:$A$23,'Reference Tables'!$C$4:$C$23,0.75)</x:f>
        <x:v>102.5024622604032</x:v>
      </x:c>
      <x:c r="J871" s="102" t="n">
        <x:f>XLOOKUP(C871,'Reference Tables'!$E$4:$E$12,'Reference Tables'!$F$4:$F$12,0.05)</x:f>
        <x:v>0.1</x:v>
      </x:c>
      <x:c r="K871" s="103" t="n">
        <x:f>MIN(I871,F871*J871)</x:f>
        <x:v>85.418718550336</x:v>
      </x:c>
      <x:c r="L871" s="103" t="n">
        <x:f>'Inputs &amp; Guide'!$B$5</x:f>
        <x:v>15</x:v>
      </x:c>
      <x:c r="M871" s="103" t="n">
        <x:f>I871*'Inputs &amp; Guide'!$B$6</x:f>
        <x:v>56.37635424322177</x:v>
      </x:c>
      <x:c r="N871" s="103" t="n">
        <x:f>MAX(0,MIN(K871-L871,M871))</x:f>
        <x:v>56.37635424322177</x:v>
      </x:c>
      <x:c r="O871" s="103" t="n">
        <x:f>MAX(0,N871-'Inputs &amp; Guide'!$B$7)</x:f>
        <x:v>0</x:v>
      </x:c>
      <x:c r="P871" s="103" t="n">
        <x:f>N871-O871</x:f>
        <x:v>56.37635424322177</x:v>
      </x:c>
      <x:c r="Q871" s="103" t="n">
        <x:f>I871*'Inputs &amp; Guide'!$B$8</x:f>
        <x:v>1.8450443206872575</x:v>
      </x:c>
      <x:c r="R871" s="104" t="n">
        <x:f>IFERROR(P871/Q871,0)</x:f>
        <x:v>30.55555555555556</x:v>
      </x:c>
      <x:c r="S871" s="105" t="n">
        <x:f>ROUND(E871*XLOOKUP(C871,'Reference Tables'!$E$4:$E$12,'Reference Tables'!$G$4:$G$12,1),1)</x:f>
        <x:v>8.1</x:v>
      </x:c>
      <x:c r="T871" s="106" t="str">
        <x:f>IF(R871&gt;='Inputs &amp; Guide'!$B$9,"HIGH",IF(R871&gt;=0.45,"WATCH","NORMAL"))</x:f>
        <x:v>HIGH</x:v>
      </x:c>
    </x:row>
    <x:row r="872">
      <x:c r="A872" s="95" t="n">
        <x:v>6945</x:v>
      </x:c>
      <x:c r="B872" s="96" t="n">
        <x:v>45581.104166666664</x:v>
      </x:c>
      <x:c r="C872" s="97" t="str">
        <x:v>Flood</x:v>
      </x:c>
      <x:c r="D872" s="97" t="str">
        <x:v>China</x:v>
      </x:c>
      <x:c r="E872" s="98" t="n">
        <x:v>1.37086768926381</x:v>
      </x:c>
      <x:c r="F872" s="99" t="n">
        <x:v>980.7153907358187</x:v>
      </x:c>
      <x:c r="G872" s="100" t="str">
        <x:f>XLOOKUP(D872,'Reference Tables'!$A$4:$A$23,'Reference Tables'!$B$4:$B$23,"Other")</x:f>
        <x:v>Asia Pacific</x:v>
      </x:c>
      <x:c r="H872" s="100" t="str">
        <x:f>VLOOKUP(G872,'Reference Tables'!$I$4:$J$9,2,FALSE)</x:f>
        <x:v>High</x:v>
      </x:c>
      <x:c r="I872" s="101" t="n">
        <x:f>F872*'Inputs &amp; Guide'!$B$4*XLOOKUP(D872,'Reference Tables'!$A$4:$A$23,'Reference Tables'!$C$4:$C$23,0.75)</x:f>
        <x:v>169.46761951914948</x:v>
      </x:c>
      <x:c r="J872" s="102" t="n">
        <x:f>XLOOKUP(C872,'Reference Tables'!$E$4:$E$12,'Reference Tables'!$F$4:$F$12,0.05)</x:f>
        <x:v>0.12</x:v>
      </x:c>
      <x:c r="K872" s="103" t="n">
        <x:f>MIN(I872,F872*J872)</x:f>
        <x:v>117.68584688829824</x:v>
      </x:c>
      <x:c r="L872" s="103" t="n">
        <x:f>'Inputs &amp; Guide'!$B$5</x:f>
        <x:v>15</x:v>
      </x:c>
      <x:c r="M872" s="103" t="n">
        <x:f>I872*'Inputs &amp; Guide'!$B$6</x:f>
        <x:v>93.20719073553222</x:v>
      </x:c>
      <x:c r="N872" s="103" t="n">
        <x:f>MAX(0,MIN(K872-L872,M872))</x:f>
        <x:v>93.20719073553222</x:v>
      </x:c>
      <x:c r="O872" s="103" t="n">
        <x:f>MAX(0,N872-'Inputs &amp; Guide'!$B$7)</x:f>
        <x:v>33.20719073553222</x:v>
      </x:c>
      <x:c r="P872" s="103" t="n">
        <x:f>N872-O872</x:f>
        <x:v>60</x:v>
      </x:c>
      <x:c r="Q872" s="103" t="n">
        <x:f>I872*'Inputs &amp; Guide'!$B$8</x:f>
        <x:v>3.0504171513446905</x:v>
      </x:c>
      <x:c r="R872" s="104" t="n">
        <x:f>IFERROR(P872/Q872,0)</x:f>
        <x:v>19.669440939758253</x:v>
      </x:c>
      <x:c r="S872" s="105" t="n">
        <x:f>ROUND(E872*XLOOKUP(C872,'Reference Tables'!$E$4:$E$12,'Reference Tables'!$G$4:$G$12,1),1)</x:f>
        <x:v>1.7</x:v>
      </x:c>
      <x:c r="T872" s="106" t="str">
        <x:f>IF(R872&gt;='Inputs &amp; Guide'!$B$9,"HIGH",IF(R872&gt;=0.45,"WATCH","NORMAL"))</x:f>
        <x:v>HIGH</x:v>
      </x:c>
    </x:row>
    <x:row r="873">
      <x:c r="A873" s="95" t="n">
        <x:v>6953</x:v>
      </x:c>
      <x:c r="B873" s="96" t="n">
        <x:v>45581.4375</x:v>
      </x:c>
      <x:c r="C873" s="97" t="str">
        <x:v>Hurricane</x:v>
      </x:c>
      <x:c r="D873" s="97" t="str">
        <x:v>Brazil</x:v>
      </x:c>
      <x:c r="E873" s="98" t="n">
        <x:v>3.3422728058984195</x:v>
      </x:c>
      <x:c r="F873" s="99" t="n">
        <x:v>811.6289364918317</x:v>
      </x:c>
      <x:c r="G873" s="100" t="str">
        <x:f>XLOOKUP(D873,'Reference Tables'!$A$4:$A$23,'Reference Tables'!$B$4:$B$23,"Other")</x:f>
        <x:v>Latin America</x:v>
      </x:c>
      <x:c r="H873" s="100" t="str">
        <x:f>VLOOKUP(G873,'Reference Tables'!$I$4:$J$9,2,FALSE)</x:f>
        <x:v>Moderate</x:v>
      </x:c>
      <x:c r="I873" s="101" t="n">
        <x:f>F873*'Inputs &amp; Guide'!$B$4*XLOOKUP(D873,'Reference Tables'!$A$4:$A$23,'Reference Tables'!$C$4:$C$23,0.75)</x:f>
        <x:v>106.48571646772832</x:v>
      </x:c>
      <x:c r="J873" s="102" t="n">
        <x:f>XLOOKUP(C873,'Reference Tables'!$E$4:$E$12,'Reference Tables'!$F$4:$F$12,0.05)</x:f>
        <x:v>0.18</x:v>
      </x:c>
      <x:c r="K873" s="103" t="n">
        <x:f>MIN(I873,F873*J873)</x:f>
        <x:v>106.48571646772832</x:v>
      </x:c>
      <x:c r="L873" s="103" t="n">
        <x:f>'Inputs &amp; Guide'!$B$5</x:f>
        <x:v>15</x:v>
      </x:c>
      <x:c r="M873" s="103" t="n">
        <x:f>I873*'Inputs &amp; Guide'!$B$6</x:f>
        <x:v>58.56714405725058</x:v>
      </x:c>
      <x:c r="N873" s="103" t="n">
        <x:f>MAX(0,MIN(K873-L873,M873))</x:f>
        <x:v>58.56714405725058</x:v>
      </x:c>
      <x:c r="O873" s="103" t="n">
        <x:f>MAX(0,N873-'Inputs &amp; Guide'!$B$7)</x:f>
        <x:v>0</x:v>
      </x:c>
      <x:c r="P873" s="103" t="n">
        <x:f>N873-O873</x:f>
        <x:v>58.56714405725058</x:v>
      </x:c>
      <x:c r="Q873" s="103" t="n">
        <x:f>I873*'Inputs &amp; Guide'!$B$8</x:f>
        <x:v>1.9167428964191098</x:v>
      </x:c>
      <x:c r="R873" s="104" t="n">
        <x:f>IFERROR(P873/Q873,0)</x:f>
        <x:v>30.555555555555557</x:v>
      </x:c>
      <x:c r="S873" s="105" t="n">
        <x:f>ROUND(E873*XLOOKUP(C873,'Reference Tables'!$E$4:$E$12,'Reference Tables'!$G$4:$G$12,1),1)</x:f>
        <x:v>4.7</x:v>
      </x:c>
      <x:c r="T873" s="106" t="str">
        <x:f>IF(R873&gt;='Inputs &amp; Guide'!$B$9,"HIGH",IF(R873&gt;=0.45,"WATCH","NORMAL"))</x:f>
        <x:v>HIGH</x:v>
      </x:c>
    </x:row>
    <x:row r="874">
      <x:c r="A874" s="95" t="n">
        <x:v>6961</x:v>
      </x:c>
      <x:c r="B874" s="96" t="n">
        <x:v>45582</x:v>
      </x:c>
      <x:c r="C874" s="97" t="str">
        <x:v>Tornado</x:v>
      </x:c>
      <x:c r="D874" s="97" t="str">
        <x:v>Brazil</x:v>
      </x:c>
      <x:c r="E874" s="98" t="n">
        <x:v>4.894902617699833</x:v>
      </x:c>
      <x:c r="F874" s="99" t="n">
        <x:v>695.4663686743627</x:v>
      </x:c>
      <x:c r="G874" s="100" t="str">
        <x:f>XLOOKUP(D874,'Reference Tables'!$A$4:$A$23,'Reference Tables'!$B$4:$B$23,"Other")</x:f>
        <x:v>Latin America</x:v>
      </x:c>
      <x:c r="H874" s="100" t="str">
        <x:f>VLOOKUP(G874,'Reference Tables'!$I$4:$J$9,2,FALSE)</x:f>
        <x:v>Moderate</x:v>
      </x:c>
      <x:c r="I874" s="101" t="n">
        <x:f>F874*'Inputs &amp; Guide'!$B$4*XLOOKUP(D874,'Reference Tables'!$A$4:$A$23,'Reference Tables'!$C$4:$C$23,0.75)</x:f>
        <x:v>91.24518757007638</x:v>
      </x:c>
      <x:c r="J874" s="102" t="n">
        <x:f>XLOOKUP(C874,'Reference Tables'!$E$4:$E$12,'Reference Tables'!$F$4:$F$12,0.05)</x:f>
        <x:v>0.09</x:v>
      </x:c>
      <x:c r="K874" s="103" t="n">
        <x:f>MIN(I874,F874*J874)</x:f>
        <x:v>62.59197318069264</x:v>
      </x:c>
      <x:c r="L874" s="103" t="n">
        <x:f>'Inputs &amp; Guide'!$B$5</x:f>
        <x:v>15</x:v>
      </x:c>
      <x:c r="M874" s="103" t="n">
        <x:f>I874*'Inputs &amp; Guide'!$B$6</x:f>
        <x:v>50.184853163542016</x:v>
      </x:c>
      <x:c r="N874" s="103" t="n">
        <x:f>MAX(0,MIN(K874-L874,M874))</x:f>
        <x:v>47.59197318069264</x:v>
      </x:c>
      <x:c r="O874" s="103" t="n">
        <x:f>MAX(0,N874-'Inputs &amp; Guide'!$B$7)</x:f>
        <x:v>0</x:v>
      </x:c>
      <x:c r="P874" s="103" t="n">
        <x:f>N874-O874</x:f>
        <x:v>47.59197318069264</x:v>
      </x:c>
      <x:c r="Q874" s="103" t="n">
        <x:f>I874*'Inputs &amp; Guide'!$B$8</x:f>
        <x:v>1.6424133762613748</x:v>
      </x:c>
      <x:c r="R874" s="104" t="n">
        <x:f>IFERROR(P874/Q874,0)</x:f>
        <x:v>28.976854346514298</x:v>
      </x:c>
      <x:c r="S874" s="105" t="n">
        <x:f>ROUND(E874*XLOOKUP(C874,'Reference Tables'!$E$4:$E$12,'Reference Tables'!$G$4:$G$12,1),1)</x:f>
        <x:v>5.1</x:v>
      </x:c>
      <x:c r="T874" s="106" t="str">
        <x:f>IF(R874&gt;='Inputs &amp; Guide'!$B$9,"HIGH",IF(R874&gt;=0.45,"WATCH","NORMAL"))</x:f>
        <x:v>HIGH</x:v>
      </x:c>
    </x:row>
    <x:row r="875">
      <x:c r="A875" s="95" t="n">
        <x:v>6969</x:v>
      </x:c>
      <x:c r="B875" s="96" t="n">
        <x:v>45582.104166666664</x:v>
      </x:c>
      <x:c r="C875" s="97" t="str">
        <x:v>Flood</x:v>
      </x:c>
      <x:c r="D875" s="97" t="str">
        <x:v>China</x:v>
      </x:c>
      <x:c r="E875" s="98" t="n">
        <x:v>2.981474270791459</x:v>
      </x:c>
      <x:c r="F875" s="99" t="n">
        <x:v>49.537567778224435</x:v>
      </x:c>
      <x:c r="G875" s="100" t="str">
        <x:f>XLOOKUP(D875,'Reference Tables'!$A$4:$A$23,'Reference Tables'!$B$4:$B$23,"Other")</x:f>
        <x:v>Asia Pacific</x:v>
      </x:c>
      <x:c r="H875" s="100" t="str">
        <x:f>VLOOKUP(G875,'Reference Tables'!$I$4:$J$9,2,FALSE)</x:f>
        <x:v>High</x:v>
      </x:c>
      <x:c r="I875" s="101" t="n">
        <x:f>F875*'Inputs &amp; Guide'!$B$4*XLOOKUP(D875,'Reference Tables'!$A$4:$A$23,'Reference Tables'!$C$4:$C$23,0.75)</x:f>
        <x:v>8.560091712077183</x:v>
      </x:c>
      <x:c r="J875" s="102" t="n">
        <x:f>XLOOKUP(C875,'Reference Tables'!$E$4:$E$12,'Reference Tables'!$F$4:$F$12,0.05)</x:f>
        <x:v>0.12</x:v>
      </x:c>
      <x:c r="K875" s="103" t="n">
        <x:f>MIN(I875,F875*J875)</x:f>
        <x:v>5.944508133386932</x:v>
      </x:c>
      <x:c r="L875" s="103" t="n">
        <x:f>'Inputs &amp; Guide'!$B$5</x:f>
        <x:v>15</x:v>
      </x:c>
      <x:c r="M875" s="103" t="n">
        <x:f>I875*'Inputs &amp; Guide'!$B$6</x:f>
        <x:v>4.708050441642451</x:v>
      </x:c>
      <x:c r="N875" s="103" t="n">
        <x:f>MAX(0,MIN(K875-L875,M875))</x:f>
        <x:v>0</x:v>
      </x:c>
      <x:c r="O875" s="103" t="n">
        <x:f>MAX(0,N875-'Inputs &amp; Guide'!$B$7)</x:f>
        <x:v>0</x:v>
      </x:c>
      <x:c r="P875" s="103" t="n">
        <x:f>N875-O875</x:f>
        <x:v>0</x:v>
      </x:c>
      <x:c r="Q875" s="103" t="n">
        <x:f>I875*'Inputs &amp; Guide'!$B$8</x:f>
        <x:v>0.15408165081738928</x:v>
      </x:c>
      <x:c r="R875" s="104" t="n">
        <x:f>IFERROR(P875/Q875,0)</x:f>
        <x:v>0</x:v>
      </x:c>
      <x:c r="S875" s="105" t="n">
        <x:f>ROUND(E875*XLOOKUP(C875,'Reference Tables'!$E$4:$E$12,'Reference Tables'!$G$4:$G$12,1),1)</x:f>
        <x:v>3.7</x:v>
      </x:c>
      <x:c r="T875" s="106" t="str">
        <x:f>IF(R875&gt;='Inputs &amp; Guide'!$B$9,"HIGH",IF(R875&gt;=0.45,"WATCH","NORMAL"))</x:f>
        <x:v>NORMAL</x:v>
      </x:c>
    </x:row>
    <x:row r="876">
      <x:c r="A876" s="95" t="n">
        <x:v>6977</x:v>
      </x:c>
      <x:c r="B876" s="96" t="n">
        <x:v>45582.4375</x:v>
      </x:c>
      <x:c r="C876" s="97" t="str">
        <x:v>Earthquake</x:v>
      </x:c>
      <x:c r="D876" s="97" t="str">
        <x:v>Indonesia</x:v>
      </x:c>
      <x:c r="E876" s="98" t="n">
        <x:v>7.564749304342084</x:v>
      </x:c>
      <x:c r="F876" s="99" t="n">
        <x:v>751.1272032206899</x:v>
      </x:c>
      <x:c r="G876" s="100" t="str">
        <x:f>XLOOKUP(D876,'Reference Tables'!$A$4:$A$23,'Reference Tables'!$B$4:$B$23,"Other")</x:f>
        <x:v>Asia Pacific</x:v>
      </x:c>
      <x:c r="H876" s="100" t="str">
        <x:f>VLOOKUP(G876,'Reference Tables'!$I$4:$J$9,2,FALSE)</x:f>
        <x:v>High</x:v>
      </x:c>
      <x:c r="I876" s="101" t="n">
        <x:f>F876*'Inputs &amp; Guide'!$B$4*XLOOKUP(D876,'Reference Tables'!$A$4:$A$23,'Reference Tables'!$C$4:$C$23,0.75)</x:f>
        <x:v>123.7857630907697</x:v>
      </x:c>
      <x:c r="J876" s="102" t="n">
        <x:f>XLOOKUP(C876,'Reference Tables'!$E$4:$E$12,'Reference Tables'!$F$4:$F$12,0.05)</x:f>
        <x:v>0.14</x:v>
      </x:c>
      <x:c r="K876" s="103" t="n">
        <x:f>MIN(I876,F876*J876)</x:f>
        <x:v>105.1578084508966</x:v>
      </x:c>
      <x:c r="L876" s="103" t="n">
        <x:f>'Inputs &amp; Guide'!$B$5</x:f>
        <x:v>15</x:v>
      </x:c>
      <x:c r="M876" s="103" t="n">
        <x:f>I876*'Inputs &amp; Guide'!$B$6</x:f>
        <x:v>68.08216969992334</x:v>
      </x:c>
      <x:c r="N876" s="103" t="n">
        <x:f>MAX(0,MIN(K876-L876,M876))</x:f>
        <x:v>68.08216969992334</x:v>
      </x:c>
      <x:c r="O876" s="103" t="n">
        <x:f>MAX(0,N876-'Inputs &amp; Guide'!$B$7)</x:f>
        <x:v>8.082169699923341</x:v>
      </x:c>
      <x:c r="P876" s="103" t="n">
        <x:f>N876-O876</x:f>
        <x:v>60</x:v>
      </x:c>
      <x:c r="Q876" s="103" t="n">
        <x:f>I876*'Inputs &amp; Guide'!$B$8</x:f>
        <x:v>2.2281437356338545</x:v>
      </x:c>
      <x:c r="R876" s="104" t="n">
        <x:f>IFERROR(P876/Q876,0)</x:f>
        <x:v>26.92824481672472</x:v>
      </x:c>
      <x:c r="S876" s="105" t="n">
        <x:f>ROUND(E876*XLOOKUP(C876,'Reference Tables'!$E$4:$E$12,'Reference Tables'!$G$4:$G$12,1),1)</x:f>
        <x:v>11.3</x:v>
      </x:c>
      <x:c r="T876" s="106" t="str">
        <x:f>IF(R876&gt;='Inputs &amp; Guide'!$B$9,"HIGH",IF(R876&gt;=0.45,"WATCH","NORMAL"))</x:f>
        <x:v>HIGH</x:v>
      </x:c>
    </x:row>
    <x:row r="877">
      <x:c r="A877" s="95" t="n">
        <x:v>6985</x:v>
      </x:c>
      <x:c r="B877" s="96" t="n">
        <x:v>45583</x:v>
      </x:c>
      <x:c r="C877" s="97" t="str">
        <x:v>Earthquake</x:v>
      </x:c>
      <x:c r="D877" s="97" t="str">
        <x:v>Brazil</x:v>
      </x:c>
      <x:c r="E877" s="98" t="n">
        <x:v>9.454392365056922</x:v>
      </x:c>
      <x:c r="F877" s="99" t="n">
        <x:v>620.2480750673881</x:v>
      </x:c>
      <x:c r="G877" s="100" t="str">
        <x:f>XLOOKUP(D877,'Reference Tables'!$A$4:$A$23,'Reference Tables'!$B$4:$B$23,"Other")</x:f>
        <x:v>Latin America</x:v>
      </x:c>
      <x:c r="H877" s="100" t="str">
        <x:f>VLOOKUP(G877,'Reference Tables'!$I$4:$J$9,2,FALSE)</x:f>
        <x:v>Moderate</x:v>
      </x:c>
      <x:c r="I877" s="101" t="n">
        <x:f>F877*'Inputs &amp; Guide'!$B$4*XLOOKUP(D877,'Reference Tables'!$A$4:$A$23,'Reference Tables'!$C$4:$C$23,0.75)</x:f>
        <x:v>81.37654744884131</x:v>
      </x:c>
      <x:c r="J877" s="102" t="n">
        <x:f>XLOOKUP(C877,'Reference Tables'!$E$4:$E$12,'Reference Tables'!$F$4:$F$12,0.05)</x:f>
        <x:v>0.14</x:v>
      </x:c>
      <x:c r="K877" s="103" t="n">
        <x:f>MIN(I877,F877*J877)</x:f>
        <x:v>81.37654744884131</x:v>
      </x:c>
      <x:c r="L877" s="103" t="n">
        <x:f>'Inputs &amp; Guide'!$B$5</x:f>
        <x:v>15</x:v>
      </x:c>
      <x:c r="M877" s="103" t="n">
        <x:f>I877*'Inputs &amp; Guide'!$B$6</x:f>
        <x:v>44.757101096862726</x:v>
      </x:c>
      <x:c r="N877" s="103" t="n">
        <x:f>MAX(0,MIN(K877-L877,M877))</x:f>
        <x:v>44.757101096862726</x:v>
      </x:c>
      <x:c r="O877" s="103" t="n">
        <x:f>MAX(0,N877-'Inputs &amp; Guide'!$B$7)</x:f>
        <x:v>0</x:v>
      </x:c>
      <x:c r="P877" s="103" t="n">
        <x:f>N877-O877</x:f>
        <x:v>44.757101096862726</x:v>
      </x:c>
      <x:c r="Q877" s="103" t="n">
        <x:f>I877*'Inputs &amp; Guide'!$B$8</x:f>
        <x:v>1.4647778540791434</x:v>
      </x:c>
      <x:c r="R877" s="104" t="n">
        <x:f>IFERROR(P877/Q877,0)</x:f>
        <x:v>30.555555555555564</x:v>
      </x:c>
      <x:c r="S877" s="105" t="n">
        <x:f>ROUND(E877*XLOOKUP(C877,'Reference Tables'!$E$4:$E$12,'Reference Tables'!$G$4:$G$12,1),1)</x:f>
        <x:v>14.2</x:v>
      </x:c>
      <x:c r="T877" s="106" t="str">
        <x:f>IF(R877&gt;='Inputs &amp; Guide'!$B$9,"HIGH",IF(R877&gt;=0.45,"WATCH","NORMAL"))</x:f>
        <x:v>HIGH</x:v>
      </x:c>
    </x:row>
    <x:row r="878">
      <x:c r="A878" s="95" t="n">
        <x:v>6993</x:v>
      </x:c>
      <x:c r="B878" s="96" t="n">
        <x:v>45583.104166666664</x:v>
      </x:c>
      <x:c r="C878" s="97" t="str">
        <x:v>Flood</x:v>
      </x:c>
      <x:c r="D878" s="97" t="str">
        <x:v>USA</x:v>
      </x:c>
      <x:c r="E878" s="98" t="n">
        <x:v>7.730539321980755</x:v>
      </x:c>
      <x:c r="F878" s="99" t="n">
        <x:v>954.2572084038839</x:v>
      </x:c>
      <x:c r="G878" s="100" t="str">
        <x:f>XLOOKUP(D878,'Reference Tables'!$A$4:$A$23,'Reference Tables'!$B$4:$B$23,"Other")</x:f>
        <x:v>Other</x:v>
      </x:c>
      <x:c r="H878" s="100" t="str">
        <x:f>VLOOKUP(G878,'Reference Tables'!$I$4:$J$9,2,FALSE)</x:f>
        <x:v>Moderate</x:v>
      </x:c>
      <x:c r="I878" s="101" t="n">
        <x:f>F878*'Inputs &amp; Guide'!$B$4*XLOOKUP(D878,'Reference Tables'!$A$4:$A$23,'Reference Tables'!$C$4:$C$23,0.75)</x:f>
        <x:v>114.51086500846606</x:v>
      </x:c>
      <x:c r="J878" s="102" t="n">
        <x:f>XLOOKUP(C878,'Reference Tables'!$E$4:$E$12,'Reference Tables'!$F$4:$F$12,0.05)</x:f>
        <x:v>0.12</x:v>
      </x:c>
      <x:c r="K878" s="103" t="n">
        <x:f>MIN(I878,F878*J878)</x:f>
        <x:v>114.51086500846606</x:v>
      </x:c>
      <x:c r="L878" s="103" t="n">
        <x:f>'Inputs &amp; Guide'!$B$5</x:f>
        <x:v>15</x:v>
      </x:c>
      <x:c r="M878" s="103" t="n">
        <x:f>I878*'Inputs &amp; Guide'!$B$6</x:f>
        <x:v>62.980975754656335</x:v>
      </x:c>
      <x:c r="N878" s="103" t="n">
        <x:f>MAX(0,MIN(K878-L878,M878))</x:f>
        <x:v>62.980975754656335</x:v>
      </x:c>
      <x:c r="O878" s="103" t="n">
        <x:f>MAX(0,N878-'Inputs &amp; Guide'!$B$7)</x:f>
        <x:v>2.9809757546563347</x:v>
      </x:c>
      <x:c r="P878" s="103" t="n">
        <x:f>N878-O878</x:f>
        <x:v>60</x:v>
      </x:c>
      <x:c r="Q878" s="103" t="n">
        <x:f>I878*'Inputs &amp; Guide'!$B$8</x:f>
        <x:v>2.061195570152389</x:v>
      </x:c>
      <x:c r="R878" s="104" t="n">
        <x:f>IFERROR(P878/Q878,0)</x:f>
        <x:v>29.1093193042153</x:v>
      </x:c>
      <x:c r="S878" s="105" t="n">
        <x:f>ROUND(E878*XLOOKUP(C878,'Reference Tables'!$E$4:$E$12,'Reference Tables'!$G$4:$G$12,1),1)</x:f>
        <x:v>9.7</x:v>
      </x:c>
      <x:c r="T878" s="106" t="str">
        <x:f>IF(R878&gt;='Inputs &amp; Guide'!$B$9,"HIGH",IF(R878&gt;=0.45,"WATCH","NORMAL"))</x:f>
        <x:v>HIGH</x:v>
      </x:c>
    </x:row>
    <x:row r="879">
      <x:c r="A879" s="95" t="n">
        <x:v>7001</x:v>
      </x:c>
      <x:c r="B879" s="96" t="n">
        <x:v>45583.4375</x:v>
      </x:c>
      <x:c r="C879" s="97" t="str">
        <x:v>Wildfire</x:v>
      </x:c>
      <x:c r="D879" s="97" t="str">
        <x:v>China</x:v>
      </x:c>
      <x:c r="E879" s="98" t="n">
        <x:v>3.5582046684113573</x:v>
      </x:c>
      <x:c r="F879" s="99" t="n">
        <x:v>505.7123128601608</x:v>
      </x:c>
      <x:c r="G879" s="100" t="str">
        <x:f>XLOOKUP(D879,'Reference Tables'!$A$4:$A$23,'Reference Tables'!$B$4:$B$23,"Other")</x:f>
        <x:v>Asia Pacific</x:v>
      </x:c>
      <x:c r="H879" s="100" t="str">
        <x:f>VLOOKUP(G879,'Reference Tables'!$I$4:$J$9,2,FALSE)</x:f>
        <x:v>High</x:v>
      </x:c>
      <x:c r="I879" s="101" t="n">
        <x:f>F879*'Inputs &amp; Guide'!$B$4*XLOOKUP(D879,'Reference Tables'!$A$4:$A$23,'Reference Tables'!$C$4:$C$23,0.75)</x:f>
        <x:v>87.3870876622358</x:v>
      </x:c>
      <x:c r="J879" s="102" t="n">
        <x:f>XLOOKUP(C879,'Reference Tables'!$E$4:$E$12,'Reference Tables'!$F$4:$F$12,0.05)</x:f>
        <x:v>0.1</x:v>
      </x:c>
      <x:c r="K879" s="103" t="n">
        <x:f>MIN(I879,F879*J879)</x:f>
        <x:v>50.571231286016086</x:v>
      </x:c>
      <x:c r="L879" s="103" t="n">
        <x:f>'Inputs &amp; Guide'!$B$5</x:f>
        <x:v>15</x:v>
      </x:c>
      <x:c r="M879" s="103" t="n">
        <x:f>I879*'Inputs &amp; Guide'!$B$6</x:f>
        <x:v>48.06289821422969</x:v>
      </x:c>
      <x:c r="N879" s="103" t="n">
        <x:f>MAX(0,MIN(K879-L879,M879))</x:f>
        <x:v>35.571231286016086</x:v>
      </x:c>
      <x:c r="O879" s="103" t="n">
        <x:f>MAX(0,N879-'Inputs &amp; Guide'!$B$7)</x:f>
        <x:v>0</x:v>
      </x:c>
      <x:c r="P879" s="103" t="n">
        <x:f>N879-O879</x:f>
        <x:v>35.571231286016086</x:v>
      </x:c>
      <x:c r="Q879" s="103" t="n">
        <x:f>I879*'Inputs &amp; Guide'!$B$8</x:f>
        <x:v>1.5729675779202443</x:v>
      </x:c>
      <x:c r="R879" s="104" t="n">
        <x:f>IFERROR(P879/Q879,0)</x:f>
        <x:v>22.614090579697688</x:v>
      </x:c>
      <x:c r="S879" s="105" t="n">
        <x:f>ROUND(E879*XLOOKUP(C879,'Reference Tables'!$E$4:$E$12,'Reference Tables'!$G$4:$G$12,1),1)</x:f>
        <x:v>4.1</x:v>
      </x:c>
      <x:c r="T879" s="106" t="str">
        <x:f>IF(R879&gt;='Inputs &amp; Guide'!$B$9,"HIGH",IF(R879&gt;=0.45,"WATCH","NORMAL"))</x:f>
        <x:v>HIGH</x:v>
      </x:c>
    </x:row>
    <x:row r="880">
      <x:c r="A880" s="95" t="n">
        <x:v>7009</x:v>
      </x:c>
      <x:c r="B880" s="96" t="n">
        <x:v>45584</x:v>
      </x:c>
      <x:c r="C880" s="97" t="str">
        <x:v>Wildfire</x:v>
      </x:c>
      <x:c r="D880" s="97" t="str">
        <x:v>USA</x:v>
      </x:c>
      <x:c r="E880" s="98" t="n">
        <x:v>7.829535834958704</x:v>
      </x:c>
      <x:c r="F880" s="99" t="n">
        <x:v>174.93421883259646</x:v>
      </x:c>
      <x:c r="G880" s="100" t="str">
        <x:f>XLOOKUP(D880,'Reference Tables'!$A$4:$A$23,'Reference Tables'!$B$4:$B$23,"Other")</x:f>
        <x:v>Other</x:v>
      </x:c>
      <x:c r="H880" s="100" t="str">
        <x:f>VLOOKUP(G880,'Reference Tables'!$I$4:$J$9,2,FALSE)</x:f>
        <x:v>Moderate</x:v>
      </x:c>
      <x:c r="I880" s="101" t="n">
        <x:f>F880*'Inputs &amp; Guide'!$B$4*XLOOKUP(D880,'Reference Tables'!$A$4:$A$23,'Reference Tables'!$C$4:$C$23,0.75)</x:f>
        <x:v>20.992106259911573</x:v>
      </x:c>
      <x:c r="J880" s="102" t="n">
        <x:f>XLOOKUP(C880,'Reference Tables'!$E$4:$E$12,'Reference Tables'!$F$4:$F$12,0.05)</x:f>
        <x:v>0.1</x:v>
      </x:c>
      <x:c r="K880" s="103" t="n">
        <x:f>MIN(I880,F880*J880)</x:f>
        <x:v>17.493421883259646</x:v>
      </x:c>
      <x:c r="L880" s="103" t="n">
        <x:f>'Inputs &amp; Guide'!$B$5</x:f>
        <x:v>15</x:v>
      </x:c>
      <x:c r="M880" s="103" t="n">
        <x:f>I880*'Inputs &amp; Guide'!$B$6</x:f>
        <x:v>11.545658442951366</x:v>
      </x:c>
      <x:c r="N880" s="103" t="n">
        <x:f>MAX(0,MIN(K880-L880,M880))</x:f>
        <x:v>2.4934218832596464</x:v>
      </x:c>
      <x:c r="O880" s="103" t="n">
        <x:f>MAX(0,N880-'Inputs &amp; Guide'!$B$7)</x:f>
        <x:v>0</x:v>
      </x:c>
      <x:c r="P880" s="103" t="n">
        <x:f>N880-O880</x:f>
        <x:v>2.4934218832596464</x:v>
      </x:c>
      <x:c r="Q880" s="103" t="n">
        <x:f>I880*'Inputs &amp; Guide'!$B$8</x:f>
        <x:v>0.3778579126784083</x:v>
      </x:c>
      <x:c r="R880" s="104" t="n">
        <x:f>IFERROR(P880/Q880,0)</x:f>
        <x:v>6.598834640209789</x:v>
      </x:c>
      <x:c r="S880" s="105" t="n">
        <x:f>ROUND(E880*XLOOKUP(C880,'Reference Tables'!$E$4:$E$12,'Reference Tables'!$G$4:$G$12,1),1)</x:f>
        <x:v>9</x:v>
      </x:c>
      <x:c r="T880" s="106" t="str">
        <x:f>IF(R880&gt;='Inputs &amp; Guide'!$B$9,"HIGH",IF(R880&gt;=0.45,"WATCH","NORMAL"))</x:f>
        <x:v>HIGH</x:v>
      </x:c>
    </x:row>
    <x:row r="881">
      <x:c r="A881" s="95" t="n">
        <x:v>7017</x:v>
      </x:c>
      <x:c r="B881" s="96" t="n">
        <x:v>45584.104166666664</x:v>
      </x:c>
      <x:c r="C881" s="97" t="str">
        <x:v>Flood</x:v>
      </x:c>
      <x:c r="D881" s="97" t="str">
        <x:v>Brazil</x:v>
      </x:c>
      <x:c r="E881" s="98" t="n">
        <x:v>9.594435623604806</x:v>
      </x:c>
      <x:c r="F881" s="99" t="n">
        <x:v>478.6817255543942</x:v>
      </x:c>
      <x:c r="G881" s="100" t="str">
        <x:f>XLOOKUP(D881,'Reference Tables'!$A$4:$A$23,'Reference Tables'!$B$4:$B$23,"Other")</x:f>
        <x:v>Latin America</x:v>
      </x:c>
      <x:c r="H881" s="100" t="str">
        <x:f>VLOOKUP(G881,'Reference Tables'!$I$4:$J$9,2,FALSE)</x:f>
        <x:v>Moderate</x:v>
      </x:c>
      <x:c r="I881" s="101" t="n">
        <x:f>F881*'Inputs &amp; Guide'!$B$4*XLOOKUP(D881,'Reference Tables'!$A$4:$A$23,'Reference Tables'!$C$4:$C$23,0.75)</x:f>
        <x:v>62.80304239273651</x:v>
      </x:c>
      <x:c r="J881" s="102" t="n">
        <x:f>XLOOKUP(C881,'Reference Tables'!$E$4:$E$12,'Reference Tables'!$F$4:$F$12,0.05)</x:f>
        <x:v>0.12</x:v>
      </x:c>
      <x:c r="K881" s="103" t="n">
        <x:f>MIN(I881,F881*J881)</x:f>
        <x:v>57.441807066527296</x:v>
      </x:c>
      <x:c r="L881" s="103" t="n">
        <x:f>'Inputs &amp; Guide'!$B$5</x:f>
        <x:v>15</x:v>
      </x:c>
      <x:c r="M881" s="103" t="n">
        <x:f>I881*'Inputs &amp; Guide'!$B$6</x:f>
        <x:v>34.54167331600508</x:v>
      </x:c>
      <x:c r="N881" s="103" t="n">
        <x:f>MAX(0,MIN(K881-L881,M881))</x:f>
        <x:v>34.54167331600508</x:v>
      </x:c>
      <x:c r="O881" s="103" t="n">
        <x:f>MAX(0,N881-'Inputs &amp; Guide'!$B$7)</x:f>
        <x:v>0</x:v>
      </x:c>
      <x:c r="P881" s="103" t="n">
        <x:f>N881-O881</x:f>
        <x:v>34.54167331600508</x:v>
      </x:c>
      <x:c r="Q881" s="103" t="n">
        <x:f>I881*'Inputs &amp; Guide'!$B$8</x:f>
        <x:v>1.130454763069257</x:v>
      </x:c>
      <x:c r="R881" s="104" t="n">
        <x:f>IFERROR(P881/Q881,0)</x:f>
        <x:v>30.55555555555556</x:v>
      </x:c>
      <x:c r="S881" s="105" t="n">
        <x:f>ROUND(E881*XLOOKUP(C881,'Reference Tables'!$E$4:$E$12,'Reference Tables'!$G$4:$G$12,1),1)</x:f>
        <x:v>12</x:v>
      </x:c>
      <x:c r="T881" s="106" t="str">
        <x:f>IF(R881&gt;='Inputs &amp; Guide'!$B$9,"HIGH",IF(R881&gt;=0.45,"WATCH","NORMAL"))</x:f>
        <x:v>HIGH</x:v>
      </x:c>
    </x:row>
    <x:row r="882">
      <x:c r="A882" s="95" t="n">
        <x:v>7025</x:v>
      </x:c>
      <x:c r="B882" s="96" t="n">
        <x:v>45584.4375</x:v>
      </x:c>
      <x:c r="C882" s="97" t="str">
        <x:v>Flood</x:v>
      </x:c>
      <x:c r="D882" s="97" t="str">
        <x:v>China</x:v>
      </x:c>
      <x:c r="E882" s="98" t="n">
        <x:v>4.702962894097825</x:v>
      </x:c>
      <x:c r="F882" s="99" t="n">
        <x:v>998.5692611750975</x:v>
      </x:c>
      <x:c r="G882" s="100" t="str">
        <x:f>XLOOKUP(D882,'Reference Tables'!$A$4:$A$23,'Reference Tables'!$B$4:$B$23,"Other")</x:f>
        <x:v>Asia Pacific</x:v>
      </x:c>
      <x:c r="H882" s="100" t="str">
        <x:f>VLOOKUP(G882,'Reference Tables'!$I$4:$J$9,2,FALSE)</x:f>
        <x:v>High</x:v>
      </x:c>
      <x:c r="I882" s="101" t="n">
        <x:f>F882*'Inputs &amp; Guide'!$B$4*XLOOKUP(D882,'Reference Tables'!$A$4:$A$23,'Reference Tables'!$C$4:$C$23,0.75)</x:f>
        <x:v>172.55276833105685</x:v>
      </x:c>
      <x:c r="J882" s="102" t="n">
        <x:f>XLOOKUP(C882,'Reference Tables'!$E$4:$E$12,'Reference Tables'!$F$4:$F$12,0.05)</x:f>
        <x:v>0.12</x:v>
      </x:c>
      <x:c r="K882" s="103" t="n">
        <x:f>MIN(I882,F882*J882)</x:f>
        <x:v>119.8283113410117</x:v>
      </x:c>
      <x:c r="L882" s="103" t="n">
        <x:f>'Inputs &amp; Guide'!$B$5</x:f>
        <x:v>15</x:v>
      </x:c>
      <x:c r="M882" s="103" t="n">
        <x:f>I882*'Inputs &amp; Guide'!$B$6</x:f>
        <x:v>94.90402258208128</x:v>
      </x:c>
      <x:c r="N882" s="103" t="n">
        <x:f>MAX(0,MIN(K882-L882,M882))</x:f>
        <x:v>94.90402258208128</x:v>
      </x:c>
      <x:c r="O882" s="103" t="n">
        <x:f>MAX(0,N882-'Inputs &amp; Guide'!$B$7)</x:f>
        <x:v>34.90402258208128</x:v>
      </x:c>
      <x:c r="P882" s="103" t="n">
        <x:f>N882-O882</x:f>
        <x:v>60</x:v>
      </x:c>
      <x:c r="Q882" s="103" t="n">
        <x:f>I882*'Inputs &amp; Guide'!$B$8</x:f>
        <x:v>3.105949829959023</x:v>
      </x:c>
      <x:c r="R882" s="104" t="n">
        <x:f>IFERROR(P882/Q882,0)</x:f>
        <x:v>19.317762129078428</x:v>
      </x:c>
      <x:c r="S882" s="105" t="n">
        <x:f>ROUND(E882*XLOOKUP(C882,'Reference Tables'!$E$4:$E$12,'Reference Tables'!$G$4:$G$12,1),1)</x:f>
        <x:v>5.9</x:v>
      </x:c>
      <x:c r="T882" s="106" t="str">
        <x:f>IF(R882&gt;='Inputs &amp; Guide'!$B$9,"HIGH",IF(R882&gt;=0.45,"WATCH","NORMAL"))</x:f>
        <x:v>HIGH</x:v>
      </x:c>
    </x:row>
    <x:row r="883">
      <x:c r="A883" s="95" t="n">
        <x:v>7033</x:v>
      </x:c>
      <x:c r="B883" s="96" t="n">
        <x:v>45585</x:v>
      </x:c>
      <x:c r="C883" s="97" t="str">
        <x:v>Hurricane</x:v>
      </x:c>
      <x:c r="D883" s="97" t="str">
        <x:v>Indonesia</x:v>
      </x:c>
      <x:c r="E883" s="98" t="n">
        <x:v>6.857661642906985</x:v>
      </x:c>
      <x:c r="F883" s="99" t="n">
        <x:v>806.3986533287732</x:v>
      </x:c>
      <x:c r="G883" s="100" t="str">
        <x:f>XLOOKUP(D883,'Reference Tables'!$A$4:$A$23,'Reference Tables'!$B$4:$B$23,"Other")</x:f>
        <x:v>Asia Pacific</x:v>
      </x:c>
      <x:c r="H883" s="100" t="str">
        <x:f>VLOOKUP(G883,'Reference Tables'!$I$4:$J$9,2,FALSE)</x:f>
        <x:v>High</x:v>
      </x:c>
      <x:c r="I883" s="101" t="n">
        <x:f>F883*'Inputs &amp; Guide'!$B$4*XLOOKUP(D883,'Reference Tables'!$A$4:$A$23,'Reference Tables'!$C$4:$C$23,0.75)</x:f>
        <x:v>132.89449806858184</x:v>
      </x:c>
      <x:c r="J883" s="102" t="n">
        <x:f>XLOOKUP(C883,'Reference Tables'!$E$4:$E$12,'Reference Tables'!$F$4:$F$12,0.05)</x:f>
        <x:v>0.18</x:v>
      </x:c>
      <x:c r="K883" s="103" t="n">
        <x:f>MIN(I883,F883*J883)</x:f>
        <x:v>132.89449806858184</x:v>
      </x:c>
      <x:c r="L883" s="103" t="n">
        <x:f>'Inputs &amp; Guide'!$B$5</x:f>
        <x:v>15</x:v>
      </x:c>
      <x:c r="M883" s="103" t="n">
        <x:f>I883*'Inputs &amp; Guide'!$B$6</x:f>
        <x:v>73.09197393772001</x:v>
      </x:c>
      <x:c r="N883" s="103" t="n">
        <x:f>MAX(0,MIN(K883-L883,M883))</x:f>
        <x:v>73.09197393772001</x:v>
      </x:c>
      <x:c r="O883" s="103" t="n">
        <x:f>MAX(0,N883-'Inputs &amp; Guide'!$B$7)</x:f>
        <x:v>13.091973937720013</x:v>
      </x:c>
      <x:c r="P883" s="103" t="n">
        <x:f>N883-O883</x:f>
        <x:v>60</x:v>
      </x:c>
      <x:c r="Q883" s="103" t="n">
        <x:f>I883*'Inputs &amp; Guide'!$B$8</x:f>
        <x:v>2.392100965234473</x:v>
      </x:c>
      <x:c r="R883" s="104" t="n">
        <x:f>IFERROR(P883/Q883,0)</x:f>
        <x:v>25.082553316941127</x:v>
      </x:c>
      <x:c r="S883" s="105" t="n">
        <x:f>ROUND(E883*XLOOKUP(C883,'Reference Tables'!$E$4:$E$12,'Reference Tables'!$G$4:$G$12,1),1)</x:f>
        <x:v>9.6</x:v>
      </x:c>
      <x:c r="T883" s="106" t="str">
        <x:f>IF(R883&gt;='Inputs &amp; Guide'!$B$9,"HIGH",IF(R883&gt;=0.45,"WATCH","NORMAL"))</x:f>
        <x:v>HIGH</x:v>
      </x:c>
    </x:row>
    <x:row r="884">
      <x:c r="A884" s="95" t="n">
        <x:v>7041</x:v>
      </x:c>
      <x:c r="B884" s="96" t="n">
        <x:v>45585.104166666664</x:v>
      </x:c>
      <x:c r="C884" s="97" t="str">
        <x:v>Earthquake</x:v>
      </x:c>
      <x:c r="D884" s="97" t="str">
        <x:v>Brazil</x:v>
      </x:c>
      <x:c r="E884" s="98" t="n">
        <x:v>5.394311410350636</x:v>
      </x:c>
      <x:c r="F884" s="99" t="n">
        <x:v>435.85041822791743</x:v>
      </x:c>
      <x:c r="G884" s="100" t="str">
        <x:f>XLOOKUP(D884,'Reference Tables'!$A$4:$A$23,'Reference Tables'!$B$4:$B$23,"Other")</x:f>
        <x:v>Latin America</x:v>
      </x:c>
      <x:c r="H884" s="100" t="str">
        <x:f>VLOOKUP(G884,'Reference Tables'!$I$4:$J$9,2,FALSE)</x:f>
        <x:v>Moderate</x:v>
      </x:c>
      <x:c r="I884" s="101" t="n">
        <x:f>F884*'Inputs &amp; Guide'!$B$4*XLOOKUP(D884,'Reference Tables'!$A$4:$A$23,'Reference Tables'!$C$4:$C$23,0.75)</x:f>
        <x:v>57.18357487150277</x:v>
      </x:c>
      <x:c r="J884" s="102" t="n">
        <x:f>XLOOKUP(C884,'Reference Tables'!$E$4:$E$12,'Reference Tables'!$F$4:$F$12,0.05)</x:f>
        <x:v>0.14</x:v>
      </x:c>
      <x:c r="K884" s="103" t="n">
        <x:f>MIN(I884,F884*J884)</x:f>
        <x:v>57.18357487150277</x:v>
      </x:c>
      <x:c r="L884" s="103" t="n">
        <x:f>'Inputs &amp; Guide'!$B$5</x:f>
        <x:v>15</x:v>
      </x:c>
      <x:c r="M884" s="103" t="n">
        <x:f>I884*'Inputs &amp; Guide'!$B$6</x:f>
        <x:v>31.450966179326528</x:v>
      </x:c>
      <x:c r="N884" s="103" t="n">
        <x:f>MAX(0,MIN(K884-L884,M884))</x:f>
        <x:v>31.450966179326528</x:v>
      </x:c>
      <x:c r="O884" s="103" t="n">
        <x:f>MAX(0,N884-'Inputs &amp; Guide'!$B$7)</x:f>
        <x:v>0</x:v>
      </x:c>
      <x:c r="P884" s="103" t="n">
        <x:f>N884-O884</x:f>
        <x:v>31.450966179326528</x:v>
      </x:c>
      <x:c r="Q884" s="103" t="n">
        <x:f>I884*'Inputs &amp; Guide'!$B$8</x:f>
        <x:v>1.0293043476870498</x:v>
      </x:c>
      <x:c r="R884" s="104" t="n">
        <x:f>IFERROR(P884/Q884,0)</x:f>
        <x:v>30.55555555555556</x:v>
      </x:c>
      <x:c r="S884" s="105" t="n">
        <x:f>ROUND(E884*XLOOKUP(C884,'Reference Tables'!$E$4:$E$12,'Reference Tables'!$G$4:$G$12,1),1)</x:f>
        <x:v>8.1</x:v>
      </x:c>
      <x:c r="T884" s="106" t="str">
        <x:f>IF(R884&gt;='Inputs &amp; Guide'!$B$9,"HIGH",IF(R884&gt;=0.45,"WATCH","NORMAL"))</x:f>
        <x:v>HIGH</x:v>
      </x:c>
    </x:row>
    <x:row r="885">
      <x:c r="A885" s="95" t="n">
        <x:v>7049</x:v>
      </x:c>
      <x:c r="B885" s="96" t="n">
        <x:v>45585.4375</x:v>
      </x:c>
      <x:c r="C885" s="97" t="str">
        <x:v>Tornado</x:v>
      </x:c>
      <x:c r="D885" s="97" t="str">
        <x:v>Japan</x:v>
      </x:c>
      <x:c r="E885" s="98" t="n">
        <x:v>8.53172937972786</x:v>
      </x:c>
      <x:c r="F885" s="99" t="n">
        <x:v>41.73778659633154</x:v>
      </x:c>
      <x:c r="G885" s="100" t="str">
        <x:f>XLOOKUP(D885,'Reference Tables'!$A$4:$A$23,'Reference Tables'!$B$4:$B$23,"Other")</x:f>
        <x:v>Asia Pacific</x:v>
      </x:c>
      <x:c r="H885" s="100" t="str">
        <x:f>VLOOKUP(G885,'Reference Tables'!$I$4:$J$9,2,FALSE)</x:f>
        <x:v>High</x:v>
      </x:c>
      <x:c r="I885" s="101" t="n">
        <x:f>F885*'Inputs &amp; Guide'!$B$4*XLOOKUP(D885,'Reference Tables'!$A$4:$A$23,'Reference Tables'!$C$4:$C$23,0.75)</x:f>
        <x:v>7.880094109387394</x:v>
      </x:c>
      <x:c r="J885" s="102" t="n">
        <x:f>XLOOKUP(C885,'Reference Tables'!$E$4:$E$12,'Reference Tables'!$F$4:$F$12,0.05)</x:f>
        <x:v>0.09</x:v>
      </x:c>
      <x:c r="K885" s="103" t="n">
        <x:f>MIN(I885,F885*J885)</x:f>
        <x:v>3.7564007936698385</x:v>
      </x:c>
      <x:c r="L885" s="103" t="n">
        <x:f>'Inputs &amp; Guide'!$B$5</x:f>
        <x:v>15</x:v>
      </x:c>
      <x:c r="M885" s="103" t="n">
        <x:f>I885*'Inputs &amp; Guide'!$B$6</x:f>
        <x:v>4.334051760163067</x:v>
      </x:c>
      <x:c r="N885" s="103" t="n">
        <x:f>MAX(0,MIN(K885-L885,M885))</x:f>
        <x:v>0</x:v>
      </x:c>
      <x:c r="O885" s="103" t="n">
        <x:f>MAX(0,N885-'Inputs &amp; Guide'!$B$7)</x:f>
        <x:v>0</x:v>
      </x:c>
      <x:c r="P885" s="103" t="n">
        <x:f>N885-O885</x:f>
        <x:v>0</x:v>
      </x:c>
      <x:c r="Q885" s="103" t="n">
        <x:f>I885*'Inputs &amp; Guide'!$B$8</x:f>
        <x:v>0.1418416939689731</x:v>
      </x:c>
      <x:c r="R885" s="104" t="n">
        <x:f>IFERROR(P885/Q885,0)</x:f>
        <x:v>0</x:v>
      </x:c>
      <x:c r="S885" s="105" t="n">
        <x:f>ROUND(E885*XLOOKUP(C885,'Reference Tables'!$E$4:$E$12,'Reference Tables'!$G$4:$G$12,1),1)</x:f>
        <x:v>9</x:v>
      </x:c>
      <x:c r="T885" s="106" t="str">
        <x:f>IF(R885&gt;='Inputs &amp; Guide'!$B$9,"HIGH",IF(R885&gt;=0.45,"WATCH","NORMAL"))</x:f>
        <x:v>NORMAL</x:v>
      </x:c>
    </x:row>
    <x:row r="886">
      <x:c r="A886" s="95" t="n">
        <x:v>7057</x:v>
      </x:c>
      <x:c r="B886" s="96" t="n">
        <x:v>45586</x:v>
      </x:c>
      <x:c r="C886" s="97" t="str">
        <x:v>Earthquake</x:v>
      </x:c>
      <x:c r="D886" s="97" t="str">
        <x:v>Indonesia</x:v>
      </x:c>
      <x:c r="E886" s="98" t="n">
        <x:v>5.0662532735530075</x:v>
      </x:c>
      <x:c r="F886" s="99" t="n">
        <x:v>598.865303023771</x:v>
      </x:c>
      <x:c r="G886" s="100" t="str">
        <x:f>XLOOKUP(D886,'Reference Tables'!$A$4:$A$23,'Reference Tables'!$B$4:$B$23,"Other")</x:f>
        <x:v>Asia Pacific</x:v>
      </x:c>
      <x:c r="H886" s="100" t="str">
        <x:f>VLOOKUP(G886,'Reference Tables'!$I$4:$J$9,2,FALSE)</x:f>
        <x:v>High</x:v>
      </x:c>
      <x:c r="I886" s="101" t="n">
        <x:f>F886*'Inputs &amp; Guide'!$B$4*XLOOKUP(D886,'Reference Tables'!$A$4:$A$23,'Reference Tables'!$C$4:$C$23,0.75)</x:f>
        <x:v>98.69300193831747</x:v>
      </x:c>
      <x:c r="J886" s="102" t="n">
        <x:f>XLOOKUP(C886,'Reference Tables'!$E$4:$E$12,'Reference Tables'!$F$4:$F$12,0.05)</x:f>
        <x:v>0.14</x:v>
      </x:c>
      <x:c r="K886" s="103" t="n">
        <x:f>MIN(I886,F886*J886)</x:f>
        <x:v>83.84114242332795</x:v>
      </x:c>
      <x:c r="L886" s="103" t="n">
        <x:f>'Inputs &amp; Guide'!$B$5</x:f>
        <x:v>15</x:v>
      </x:c>
      <x:c r="M886" s="103" t="n">
        <x:f>I886*'Inputs &amp; Guide'!$B$6</x:f>
        <x:v>54.281151066074614</x:v>
      </x:c>
      <x:c r="N886" s="103" t="n">
        <x:f>MAX(0,MIN(K886-L886,M886))</x:f>
        <x:v>54.281151066074614</x:v>
      </x:c>
      <x:c r="O886" s="103" t="n">
        <x:f>MAX(0,N886-'Inputs &amp; Guide'!$B$7)</x:f>
        <x:v>0</x:v>
      </x:c>
      <x:c r="P886" s="103" t="n">
        <x:f>N886-O886</x:f>
        <x:v>54.281151066074614</x:v>
      </x:c>
      <x:c r="Q886" s="103" t="n">
        <x:f>I886*'Inputs &amp; Guide'!$B$8</x:f>
        <x:v>1.7764740348897143</x:v>
      </x:c>
      <x:c r="R886" s="104" t="n">
        <x:f>IFERROR(P886/Q886,0)</x:f>
        <x:v>30.55555555555556</x:v>
      </x:c>
      <x:c r="S886" s="105" t="n">
        <x:f>ROUND(E886*XLOOKUP(C886,'Reference Tables'!$E$4:$E$12,'Reference Tables'!$G$4:$G$12,1),1)</x:f>
        <x:v>7.6</x:v>
      </x:c>
      <x:c r="T886" s="106" t="str">
        <x:f>IF(R886&gt;='Inputs &amp; Guide'!$B$9,"HIGH",IF(R886&gt;=0.45,"WATCH","NORMAL"))</x:f>
        <x:v>HIGH</x:v>
      </x:c>
    </x:row>
    <x:row r="887">
      <x:c r="A887" s="95" t="n">
        <x:v>7065</x:v>
      </x:c>
      <x:c r="B887" s="96" t="n">
        <x:v>45586.104166666664</x:v>
      </x:c>
      <x:c r="C887" s="97" t="str">
        <x:v>Flood</x:v>
      </x:c>
      <x:c r="D887" s="97" t="str">
        <x:v>Indonesia</x:v>
      </x:c>
      <x:c r="E887" s="98" t="n">
        <x:v>8.164978516595976</x:v>
      </x:c>
      <x:c r="F887" s="99" t="n">
        <x:v>265.0563690223807</x:v>
      </x:c>
      <x:c r="G887" s="100" t="str">
        <x:f>XLOOKUP(D887,'Reference Tables'!$A$4:$A$23,'Reference Tables'!$B$4:$B$23,"Other")</x:f>
        <x:v>Asia Pacific</x:v>
      </x:c>
      <x:c r="H887" s="100" t="str">
        <x:f>VLOOKUP(G887,'Reference Tables'!$I$4:$J$9,2,FALSE)</x:f>
        <x:v>High</x:v>
      </x:c>
      <x:c r="I887" s="101" t="n">
        <x:f>F887*'Inputs &amp; Guide'!$B$4*XLOOKUP(D887,'Reference Tables'!$A$4:$A$23,'Reference Tables'!$C$4:$C$23,0.75)</x:f>
        <x:v>43.68128961488834</x:v>
      </x:c>
      <x:c r="J887" s="102" t="n">
        <x:f>XLOOKUP(C887,'Reference Tables'!$E$4:$E$12,'Reference Tables'!$F$4:$F$12,0.05)</x:f>
        <x:v>0.12</x:v>
      </x:c>
      <x:c r="K887" s="103" t="n">
        <x:f>MIN(I887,F887*J887)</x:f>
        <x:v>31.80676428268568</x:v>
      </x:c>
      <x:c r="L887" s="103" t="n">
        <x:f>'Inputs &amp; Guide'!$B$5</x:f>
        <x:v>15</x:v>
      </x:c>
      <x:c r="M887" s="103" t="n">
        <x:f>I887*'Inputs &amp; Guide'!$B$6</x:f>
        <x:v>24.02470928818859</x:v>
      </x:c>
      <x:c r="N887" s="103" t="n">
        <x:f>MAX(0,MIN(K887-L887,M887))</x:f>
        <x:v>16.80676428268568</x:v>
      </x:c>
      <x:c r="O887" s="103" t="n">
        <x:f>MAX(0,N887-'Inputs &amp; Guide'!$B$7)</x:f>
        <x:v>0</x:v>
      </x:c>
      <x:c r="P887" s="103" t="n">
        <x:f>N887-O887</x:f>
        <x:v>16.80676428268568</x:v>
      </x:c>
      <x:c r="Q887" s="103" t="n">
        <x:f>I887*'Inputs &amp; Guide'!$B$8</x:f>
        <x:v>0.7862632130679901</x:v>
      </x:c>
      <x:c r="R887" s="104" t="n">
        <x:f>IFERROR(P887/Q887,0)</x:f>
        <x:v>21.375493604878038</x:v>
      </x:c>
      <x:c r="S887" s="105" t="n">
        <x:f>ROUND(E887*XLOOKUP(C887,'Reference Tables'!$E$4:$E$12,'Reference Tables'!$G$4:$G$12,1),1)</x:f>
        <x:v>10.2</x:v>
      </x:c>
      <x:c r="T887" s="106" t="str">
        <x:f>IF(R887&gt;='Inputs &amp; Guide'!$B$9,"HIGH",IF(R887&gt;=0.45,"WATCH","NORMAL"))</x:f>
        <x:v>HIGH</x:v>
      </x:c>
    </x:row>
    <x:row r="888">
      <x:c r="A888" s="95" t="n">
        <x:v>7073</x:v>
      </x:c>
      <x:c r="B888" s="96" t="n">
        <x:v>45586.4375</x:v>
      </x:c>
      <x:c r="C888" s="97" t="str">
        <x:v>Hurricane</x:v>
      </x:c>
      <x:c r="D888" s="97" t="str">
        <x:v>Indonesia</x:v>
      </x:c>
      <x:c r="E888" s="98" t="n">
        <x:v>5.640060876720362</x:v>
      </x:c>
      <x:c r="F888" s="99" t="n">
        <x:v>151.88340370405587</x:v>
      </x:c>
      <x:c r="G888" s="100" t="str">
        <x:f>XLOOKUP(D888,'Reference Tables'!$A$4:$A$23,'Reference Tables'!$B$4:$B$23,"Other")</x:f>
        <x:v>Asia Pacific</x:v>
      </x:c>
      <x:c r="H888" s="100" t="str">
        <x:f>VLOOKUP(G888,'Reference Tables'!$I$4:$J$9,2,FALSE)</x:f>
        <x:v>High</x:v>
      </x:c>
      <x:c r="I888" s="101" t="n">
        <x:f>F888*'Inputs &amp; Guide'!$B$4*XLOOKUP(D888,'Reference Tables'!$A$4:$A$23,'Reference Tables'!$C$4:$C$23,0.75)</x:f>
        <x:v>25.030384930428408</x:v>
      </x:c>
      <x:c r="J888" s="102" t="n">
        <x:f>XLOOKUP(C888,'Reference Tables'!$E$4:$E$12,'Reference Tables'!$F$4:$F$12,0.05)</x:f>
        <x:v>0.18</x:v>
      </x:c>
      <x:c r="K888" s="103" t="n">
        <x:f>MIN(I888,F888*J888)</x:f>
        <x:v>25.030384930428408</x:v>
      </x:c>
      <x:c r="L888" s="103" t="n">
        <x:f>'Inputs &amp; Guide'!$B$5</x:f>
        <x:v>15</x:v>
      </x:c>
      <x:c r="M888" s="103" t="n">
        <x:f>I888*'Inputs &amp; Guide'!$B$6</x:f>
        <x:v>13.766711711735626</x:v>
      </x:c>
      <x:c r="N888" s="103" t="n">
        <x:f>MAX(0,MIN(K888-L888,M888))</x:f>
        <x:v>10.030384930428408</x:v>
      </x:c>
      <x:c r="O888" s="103" t="n">
        <x:f>MAX(0,N888-'Inputs &amp; Guide'!$B$7)</x:f>
        <x:v>0</x:v>
      </x:c>
      <x:c r="P888" s="103" t="n">
        <x:f>N888-O888</x:f>
        <x:v>10.030384930428408</x:v>
      </x:c>
      <x:c r="Q888" s="103" t="n">
        <x:f>I888*'Inputs &amp; Guide'!$B$8</x:f>
        <x:v>0.4505469287477113</x:v>
      </x:c>
      <x:c r="R888" s="104" t="n">
        <x:f>IFERROR(P888/Q888,0)</x:f>
        <x:v>22.26268628288671</x:v>
      </x:c>
      <x:c r="S888" s="105" t="n">
        <x:f>ROUND(E888*XLOOKUP(C888,'Reference Tables'!$E$4:$E$12,'Reference Tables'!$G$4:$G$12,1),1)</x:f>
        <x:v>7.9</x:v>
      </x:c>
      <x:c r="T888" s="106" t="str">
        <x:f>IF(R888&gt;='Inputs &amp; Guide'!$B$9,"HIGH",IF(R888&gt;=0.45,"WATCH","NORMAL"))</x:f>
        <x:v>HIGH</x:v>
      </x:c>
    </x:row>
    <x:row r="889">
      <x:c r="A889" s="95" t="n">
        <x:v>7081</x:v>
      </x:c>
      <x:c r="B889" s="96" t="n">
        <x:v>45587</x:v>
      </x:c>
      <x:c r="C889" s="97" t="str">
        <x:v>Earthquake</x:v>
      </x:c>
      <x:c r="D889" s="97" t="str">
        <x:v>Indonesia</x:v>
      </x:c>
      <x:c r="E889" s="98" t="n">
        <x:v>1.7286909792850147</x:v>
      </x:c>
      <x:c r="F889" s="99" t="n">
        <x:v>498.38534155550894</x:v>
      </x:c>
      <x:c r="G889" s="100" t="str">
        <x:f>XLOOKUP(D889,'Reference Tables'!$A$4:$A$23,'Reference Tables'!$B$4:$B$23,"Other")</x:f>
        <x:v>Asia Pacific</x:v>
      </x:c>
      <x:c r="H889" s="100" t="str">
        <x:f>VLOOKUP(G889,'Reference Tables'!$I$4:$J$9,2,FALSE)</x:f>
        <x:v>High</x:v>
      </x:c>
      <x:c r="I889" s="101" t="n">
        <x:f>F889*'Inputs &amp; Guide'!$B$4*XLOOKUP(D889,'Reference Tables'!$A$4:$A$23,'Reference Tables'!$C$4:$C$23,0.75)</x:f>
        <x:v>82.13390428834788</x:v>
      </x:c>
      <x:c r="J889" s="102" t="n">
        <x:f>XLOOKUP(C889,'Reference Tables'!$E$4:$E$12,'Reference Tables'!$F$4:$F$12,0.05)</x:f>
        <x:v>0.14</x:v>
      </x:c>
      <x:c r="K889" s="103" t="n">
        <x:f>MIN(I889,F889*J889)</x:f>
        <x:v>69.77394781777126</x:v>
      </x:c>
      <x:c r="L889" s="103" t="n">
        <x:f>'Inputs &amp; Guide'!$B$5</x:f>
        <x:v>15</x:v>
      </x:c>
      <x:c r="M889" s="103" t="n">
        <x:f>I889*'Inputs &amp; Guide'!$B$6</x:f>
        <x:v>45.17364735859134</x:v>
      </x:c>
      <x:c r="N889" s="103" t="n">
        <x:f>MAX(0,MIN(K889-L889,M889))</x:f>
        <x:v>45.17364735859134</x:v>
      </x:c>
      <x:c r="O889" s="103" t="n">
        <x:f>MAX(0,N889-'Inputs &amp; Guide'!$B$7)</x:f>
        <x:v>0</x:v>
      </x:c>
      <x:c r="P889" s="103" t="n">
        <x:f>N889-O889</x:f>
        <x:v>45.17364735859134</x:v>
      </x:c>
      <x:c r="Q889" s="103" t="n">
        <x:f>I889*'Inputs &amp; Guide'!$B$8</x:f>
        <x:v>1.4784102771902616</x:v>
      </x:c>
      <x:c r="R889" s="104" t="n">
        <x:f>IFERROR(P889/Q889,0)</x:f>
        <x:v>30.555555555555564</x:v>
      </x:c>
      <x:c r="S889" s="105" t="n">
        <x:f>ROUND(E889*XLOOKUP(C889,'Reference Tables'!$E$4:$E$12,'Reference Tables'!$G$4:$G$12,1),1)</x:f>
        <x:v>2.6</x:v>
      </x:c>
      <x:c r="T889" s="106" t="str">
        <x:f>IF(R889&gt;='Inputs &amp; Guide'!$B$9,"HIGH",IF(R889&gt;=0.45,"WATCH","NORMAL"))</x:f>
        <x:v>HIGH</x:v>
      </x:c>
    </x:row>
    <x:row r="890">
      <x:c r="A890" s="95" t="n">
        <x:v>7089</x:v>
      </x:c>
      <x:c r="B890" s="96" t="n">
        <x:v>45587.104166666664</x:v>
      </x:c>
      <x:c r="C890" s="97" t="str">
        <x:v>Tornado</x:v>
      </x:c>
      <x:c r="D890" s="97" t="str">
        <x:v>USA</x:v>
      </x:c>
      <x:c r="E890" s="98" t="n">
        <x:v>6.3256538959579345</x:v>
      </x:c>
      <x:c r="F890" s="99" t="n">
        <x:v>209.94191558047544</x:v>
      </x:c>
      <x:c r="G890" s="100" t="str">
        <x:f>XLOOKUP(D890,'Reference Tables'!$A$4:$A$23,'Reference Tables'!$B$4:$B$23,"Other")</x:f>
        <x:v>Other</x:v>
      </x:c>
      <x:c r="H890" s="100" t="str">
        <x:f>VLOOKUP(G890,'Reference Tables'!$I$4:$J$9,2,FALSE)</x:f>
        <x:v>Moderate</x:v>
      </x:c>
      <x:c r="I890" s="101" t="n">
        <x:f>F890*'Inputs &amp; Guide'!$B$4*XLOOKUP(D890,'Reference Tables'!$A$4:$A$23,'Reference Tables'!$C$4:$C$23,0.75)</x:f>
        <x:v>25.193029869657053</x:v>
      </x:c>
      <x:c r="J890" s="102" t="n">
        <x:f>XLOOKUP(C890,'Reference Tables'!$E$4:$E$12,'Reference Tables'!$F$4:$F$12,0.05)</x:f>
        <x:v>0.09</x:v>
      </x:c>
      <x:c r="K890" s="103" t="n">
        <x:f>MIN(I890,F890*J890)</x:f>
        <x:v>18.89477240224279</x:v>
      </x:c>
      <x:c r="L890" s="103" t="n">
        <x:f>'Inputs &amp; Guide'!$B$5</x:f>
        <x:v>15</x:v>
      </x:c>
      <x:c r="M890" s="103" t="n">
        <x:f>I890*'Inputs &amp; Guide'!$B$6</x:f>
        <x:v>13.856166428311381</x:v>
      </x:c>
      <x:c r="N890" s="103" t="n">
        <x:f>MAX(0,MIN(K890-L890,M890))</x:f>
        <x:v>3.89477240224279</x:v>
      </x:c>
      <x:c r="O890" s="103" t="n">
        <x:f>MAX(0,N890-'Inputs &amp; Guide'!$B$7)</x:f>
        <x:v>0</x:v>
      </x:c>
      <x:c r="P890" s="103" t="n">
        <x:f>N890-O890</x:f>
        <x:v>3.89477240224279</x:v>
      </x:c>
      <x:c r="Q890" s="103" t="n">
        <x:f>I890*'Inputs &amp; Guide'!$B$8</x:f>
        <x:v>0.45347453765382695</x:v>
      </x:c>
      <x:c r="R890" s="104" t="n">
        <x:f>IFERROR(P890/Q890,0)</x:f>
        <x:v>8.588734490790701</x:v>
      </x:c>
      <x:c r="S890" s="105" t="n">
        <x:f>ROUND(E890*XLOOKUP(C890,'Reference Tables'!$E$4:$E$12,'Reference Tables'!$G$4:$G$12,1),1)</x:f>
        <x:v>6.6</x:v>
      </x:c>
      <x:c r="T890" s="106" t="str">
        <x:f>IF(R890&gt;='Inputs &amp; Guide'!$B$9,"HIGH",IF(R890&gt;=0.45,"WATCH","NORMAL"))</x:f>
        <x:v>HIGH</x:v>
      </x:c>
    </x:row>
    <x:row r="891">
      <x:c r="A891" s="95" t="n">
        <x:v>7097</x:v>
      </x:c>
      <x:c r="B891" s="96" t="n">
        <x:v>45587.4375</x:v>
      </x:c>
      <x:c r="C891" s="97" t="str">
        <x:v>Earthquake</x:v>
      </x:c>
      <x:c r="D891" s="97" t="str">
        <x:v>Japan</x:v>
      </x:c>
      <x:c r="E891" s="98" t="n">
        <x:v>2.7935802193338057</x:v>
      </x:c>
      <x:c r="F891" s="99" t="n">
        <x:v>772.8599101446092</x:v>
      </x:c>
      <x:c r="G891" s="100" t="str">
        <x:f>XLOOKUP(D891,'Reference Tables'!$A$4:$A$23,'Reference Tables'!$B$4:$B$23,"Other")</x:f>
        <x:v>Asia Pacific</x:v>
      </x:c>
      <x:c r="H891" s="100" t="str">
        <x:f>VLOOKUP(G891,'Reference Tables'!$I$4:$J$9,2,FALSE)</x:f>
        <x:v>High</x:v>
      </x:c>
      <x:c r="I891" s="101" t="n">
        <x:f>F891*'Inputs &amp; Guide'!$B$4*XLOOKUP(D891,'Reference Tables'!$A$4:$A$23,'Reference Tables'!$C$4:$C$23,0.75)</x:f>
        <x:v>145.91595103530221</x:v>
      </x:c>
      <x:c r="J891" s="102" t="n">
        <x:f>XLOOKUP(C891,'Reference Tables'!$E$4:$E$12,'Reference Tables'!$F$4:$F$12,0.05)</x:f>
        <x:v>0.14</x:v>
      </x:c>
      <x:c r="K891" s="103" t="n">
        <x:f>MIN(I891,F891*J891)</x:f>
        <x:v>108.2003874202453</x:v>
      </x:c>
      <x:c r="L891" s="103" t="n">
        <x:f>'Inputs &amp; Guide'!$B$5</x:f>
        <x:v>15</x:v>
      </x:c>
      <x:c r="M891" s="103" t="n">
        <x:f>I891*'Inputs &amp; Guide'!$B$6</x:f>
        <x:v>80.25377306941623</x:v>
      </x:c>
      <x:c r="N891" s="103" t="n">
        <x:f>MAX(0,MIN(K891-L891,M891))</x:f>
        <x:v>80.25377306941623</x:v>
      </x:c>
      <x:c r="O891" s="103" t="n">
        <x:f>MAX(0,N891-'Inputs &amp; Guide'!$B$7)</x:f>
        <x:v>20.253773069416226</x:v>
      </x:c>
      <x:c r="P891" s="103" t="n">
        <x:f>N891-O891</x:f>
        <x:v>60</x:v>
      </x:c>
      <x:c r="Q891" s="103" t="n">
        <x:f>I891*'Inputs &amp; Guide'!$B$8</x:f>
        <x:v>2.6264871186354397</x:v>
      </x:c>
      <x:c r="R891" s="104" t="n">
        <x:f>IFERROR(P891/Q891,0)</x:f>
        <x:v>22.84420112868183</x:v>
      </x:c>
      <x:c r="S891" s="105" t="n">
        <x:f>ROUND(E891*XLOOKUP(C891,'Reference Tables'!$E$4:$E$12,'Reference Tables'!$G$4:$G$12,1),1)</x:f>
        <x:v>4.2</x:v>
      </x:c>
      <x:c r="T891" s="106" t="str">
        <x:f>IF(R891&gt;='Inputs &amp; Guide'!$B$9,"HIGH",IF(R891&gt;=0.45,"WATCH","NORMAL"))</x:f>
        <x:v>HIGH</x:v>
      </x:c>
    </x:row>
    <x:row r="892">
      <x:c r="A892" s="95" t="n">
        <x:v>7105</x:v>
      </x:c>
      <x:c r="B892" s="96" t="n">
        <x:v>45588</x:v>
      </x:c>
      <x:c r="C892" s="97" t="str">
        <x:v>Tornado</x:v>
      </x:c>
      <x:c r="D892" s="97" t="str">
        <x:v>Indonesia</x:v>
      </x:c>
      <x:c r="E892" s="98" t="n">
        <x:v>9.752689142649226</x:v>
      </x:c>
      <x:c r="F892" s="99" t="n">
        <x:v>663.3696452458461</x:v>
      </x:c>
      <x:c r="G892" s="100" t="str">
        <x:f>XLOOKUP(D892,'Reference Tables'!$A$4:$A$23,'Reference Tables'!$B$4:$B$23,"Other")</x:f>
        <x:v>Asia Pacific</x:v>
      </x:c>
      <x:c r="H892" s="100" t="str">
        <x:f>VLOOKUP(G892,'Reference Tables'!$I$4:$J$9,2,FALSE)</x:f>
        <x:v>High</x:v>
      </x:c>
      <x:c r="I892" s="101" t="n">
        <x:f>F892*'Inputs &amp; Guide'!$B$4*XLOOKUP(D892,'Reference Tables'!$A$4:$A$23,'Reference Tables'!$C$4:$C$23,0.75)</x:f>
        <x:v>109.32331753651543</x:v>
      </x:c>
      <x:c r="J892" s="102" t="n">
        <x:f>XLOOKUP(C892,'Reference Tables'!$E$4:$E$12,'Reference Tables'!$F$4:$F$12,0.05)</x:f>
        <x:v>0.09</x:v>
      </x:c>
      <x:c r="K892" s="103" t="n">
        <x:f>MIN(I892,F892*J892)</x:f>
        <x:v>59.70326807212614</x:v>
      </x:c>
      <x:c r="L892" s="103" t="n">
        <x:f>'Inputs &amp; Guide'!$B$5</x:f>
        <x:v>15</x:v>
      </x:c>
      <x:c r="M892" s="103" t="n">
        <x:f>I892*'Inputs &amp; Guide'!$B$6</x:f>
        <x:v>60.12782464508349</x:v>
      </x:c>
      <x:c r="N892" s="103" t="n">
        <x:f>MAX(0,MIN(K892-L892,M892))</x:f>
        <x:v>44.70326807212614</x:v>
      </x:c>
      <x:c r="O892" s="103" t="n">
        <x:f>MAX(0,N892-'Inputs &amp; Guide'!$B$7)</x:f>
        <x:v>0</x:v>
      </x:c>
      <x:c r="P892" s="103" t="n">
        <x:f>N892-O892</x:f>
        <x:v>44.70326807212614</x:v>
      </x:c>
      <x:c r="Q892" s="103" t="n">
        <x:f>I892*'Inputs &amp; Guide'!$B$8</x:f>
        <x:v>1.9678197156572776</x:v>
      </x:c>
      <x:c r="R892" s="104" t="n">
        <x:f>IFERROR(P892/Q892,0)</x:f>
        <x:v>22.717156310833417</x:v>
      </x:c>
      <x:c r="S892" s="105" t="n">
        <x:f>ROUND(E892*XLOOKUP(C892,'Reference Tables'!$E$4:$E$12,'Reference Tables'!$G$4:$G$12,1),1)</x:f>
        <x:v>10.2</x:v>
      </x:c>
      <x:c r="T892" s="106" t="str">
        <x:f>IF(R892&gt;='Inputs &amp; Guide'!$B$9,"HIGH",IF(R892&gt;=0.45,"WATCH","NORMAL"))</x:f>
        <x:v>HIGH</x:v>
      </x:c>
    </x:row>
    <x:row r="893">
      <x:c r="A893" s="95" t="n">
        <x:v>7113</x:v>
      </x:c>
      <x:c r="B893" s="96" t="n">
        <x:v>45588.104166666664</x:v>
      </x:c>
      <x:c r="C893" s="97" t="str">
        <x:v>Earthquake</x:v>
      </x:c>
      <x:c r="D893" s="97" t="str">
        <x:v>India</x:v>
      </x:c>
      <x:c r="E893" s="98" t="n">
        <x:v>9.440230682413205</x:v>
      </x:c>
      <x:c r="F893" s="99" t="n">
        <x:v>547.7690247336311</x:v>
      </x:c>
      <x:c r="G893" s="100" t="str">
        <x:f>XLOOKUP(D893,'Reference Tables'!$A$4:$A$23,'Reference Tables'!$B$4:$B$23,"Other")</x:f>
        <x:v>Asia Pacific</x:v>
      </x:c>
      <x:c r="H893" s="100" t="str">
        <x:f>VLOOKUP(G893,'Reference Tables'!$I$4:$J$9,2,FALSE)</x:f>
        <x:v>High</x:v>
      </x:c>
      <x:c r="I893" s="101" t="n">
        <x:f>F893*'Inputs &amp; Guide'!$B$4*XLOOKUP(D893,'Reference Tables'!$A$4:$A$23,'Reference Tables'!$C$4:$C$23,0.75)</x:f>
        <x:v>79.7551700012167</x:v>
      </x:c>
      <x:c r="J893" s="102" t="n">
        <x:f>XLOOKUP(C893,'Reference Tables'!$E$4:$E$12,'Reference Tables'!$F$4:$F$12,0.05)</x:f>
        <x:v>0.14</x:v>
      </x:c>
      <x:c r="K893" s="103" t="n">
        <x:f>MIN(I893,F893*J893)</x:f>
        <x:v>76.68766346270836</x:v>
      </x:c>
      <x:c r="L893" s="103" t="n">
        <x:f>'Inputs &amp; Guide'!$B$5</x:f>
        <x:v>15</x:v>
      </x:c>
      <x:c r="M893" s="103" t="n">
        <x:f>I893*'Inputs &amp; Guide'!$B$6</x:f>
        <x:v>43.865343500669184</x:v>
      </x:c>
      <x:c r="N893" s="103" t="n">
        <x:f>MAX(0,MIN(K893-L893,M893))</x:f>
        <x:v>43.865343500669184</x:v>
      </x:c>
      <x:c r="O893" s="103" t="n">
        <x:f>MAX(0,N893-'Inputs &amp; Guide'!$B$7)</x:f>
        <x:v>0</x:v>
      </x:c>
      <x:c r="P893" s="103" t="n">
        <x:f>N893-O893</x:f>
        <x:v>43.865343500669184</x:v>
      </x:c>
      <x:c r="Q893" s="103" t="n">
        <x:f>I893*'Inputs &amp; Guide'!$B$8</x:f>
        <x:v>1.4355930600219005</x:v>
      </x:c>
      <x:c r="R893" s="104" t="n">
        <x:f>IFERROR(P893/Q893,0)</x:f>
        <x:v>30.555555555555557</x:v>
      </x:c>
      <x:c r="S893" s="105" t="n">
        <x:f>ROUND(E893*XLOOKUP(C893,'Reference Tables'!$E$4:$E$12,'Reference Tables'!$G$4:$G$12,1),1)</x:f>
        <x:v>14.2</x:v>
      </x:c>
      <x:c r="T893" s="106" t="str">
        <x:f>IF(R893&gt;='Inputs &amp; Guide'!$B$9,"HIGH",IF(R893&gt;=0.45,"WATCH","NORMAL"))</x:f>
        <x:v>HIGH</x:v>
      </x:c>
    </x:row>
    <x:row r="894">
      <x:c r="A894" s="95" t="n">
        <x:v>7121</x:v>
      </x:c>
      <x:c r="B894" s="96" t="n">
        <x:v>45588.4375</x:v>
      </x:c>
      <x:c r="C894" s="97" t="str">
        <x:v>Hurricane</x:v>
      </x:c>
      <x:c r="D894" s="97" t="str">
        <x:v>Brazil</x:v>
      </x:c>
      <x:c r="E894" s="98" t="n">
        <x:v>9.74920918645292</x:v>
      </x:c>
      <x:c r="F894" s="99" t="n">
        <x:v>436.0115513939716</x:v>
      </x:c>
      <x:c r="G894" s="100" t="str">
        <x:f>XLOOKUP(D894,'Reference Tables'!$A$4:$A$23,'Reference Tables'!$B$4:$B$23,"Other")</x:f>
        <x:v>Latin America</x:v>
      </x:c>
      <x:c r="H894" s="100" t="str">
        <x:f>VLOOKUP(G894,'Reference Tables'!$I$4:$J$9,2,FALSE)</x:f>
        <x:v>Moderate</x:v>
      </x:c>
      <x:c r="I894" s="101" t="n">
        <x:f>F894*'Inputs &amp; Guide'!$B$4*XLOOKUP(D894,'Reference Tables'!$A$4:$A$23,'Reference Tables'!$C$4:$C$23,0.75)</x:f>
        <x:v>57.20471554288907</x:v>
      </x:c>
      <x:c r="J894" s="102" t="n">
        <x:f>XLOOKUP(C894,'Reference Tables'!$E$4:$E$12,'Reference Tables'!$F$4:$F$12,0.05)</x:f>
        <x:v>0.18</x:v>
      </x:c>
      <x:c r="K894" s="103" t="n">
        <x:f>MIN(I894,F894*J894)</x:f>
        <x:v>57.20471554288907</x:v>
      </x:c>
      <x:c r="L894" s="103" t="n">
        <x:f>'Inputs &amp; Guide'!$B$5</x:f>
        <x:v>15</x:v>
      </x:c>
      <x:c r="M894" s="103" t="n">
        <x:f>I894*'Inputs &amp; Guide'!$B$6</x:f>
        <x:v>31.46259354858899</x:v>
      </x:c>
      <x:c r="N894" s="103" t="n">
        <x:f>MAX(0,MIN(K894-L894,M894))</x:f>
        <x:v>31.46259354858899</x:v>
      </x:c>
      <x:c r="O894" s="103" t="n">
        <x:f>MAX(0,N894-'Inputs &amp; Guide'!$B$7)</x:f>
        <x:v>0</x:v>
      </x:c>
      <x:c r="P894" s="103" t="n">
        <x:f>N894-O894</x:f>
        <x:v>31.46259354858899</x:v>
      </x:c>
      <x:c r="Q894" s="103" t="n">
        <x:f>I894*'Inputs &amp; Guide'!$B$8</x:f>
        <x:v>1.029684879772003</x:v>
      </x:c>
      <x:c r="R894" s="104" t="n">
        <x:f>IFERROR(P894/Q894,0)</x:f>
        <x:v>30.555555555555564</x:v>
      </x:c>
      <x:c r="S894" s="105" t="n">
        <x:f>ROUND(E894*XLOOKUP(C894,'Reference Tables'!$E$4:$E$12,'Reference Tables'!$G$4:$G$12,1),1)</x:f>
        <x:v>13.6</x:v>
      </x:c>
      <x:c r="T894" s="106" t="str">
        <x:f>IF(R894&gt;='Inputs &amp; Guide'!$B$9,"HIGH",IF(R894&gt;=0.45,"WATCH","NORMAL"))</x:f>
        <x:v>HIGH</x:v>
      </x:c>
    </x:row>
    <x:row r="895">
      <x:c r="A895" s="95" t="n">
        <x:v>7129</x:v>
      </x:c>
      <x:c r="B895" s="96" t="n">
        <x:v>45589</x:v>
      </x:c>
      <x:c r="C895" s="97" t="str">
        <x:v>Earthquake</x:v>
      </x:c>
      <x:c r="D895" s="97" t="str">
        <x:v>China</x:v>
      </x:c>
      <x:c r="E895" s="98" t="n">
        <x:v>6.385026408295356</x:v>
      </x:c>
      <x:c r="F895" s="99" t="n">
        <x:v>729.3704210406066</x:v>
      </x:c>
      <x:c r="G895" s="100" t="str">
        <x:f>XLOOKUP(D895,'Reference Tables'!$A$4:$A$23,'Reference Tables'!$B$4:$B$23,"Other")</x:f>
        <x:v>Asia Pacific</x:v>
      </x:c>
      <x:c r="H895" s="100" t="str">
        <x:f>VLOOKUP(G895,'Reference Tables'!$I$4:$J$9,2,FALSE)</x:f>
        <x:v>High</x:v>
      </x:c>
      <x:c r="I895" s="101" t="n">
        <x:f>F895*'Inputs &amp; Guide'!$B$4*XLOOKUP(D895,'Reference Tables'!$A$4:$A$23,'Reference Tables'!$C$4:$C$23,0.75)</x:f>
        <x:v>126.03520875581684</x:v>
      </x:c>
      <x:c r="J895" s="102" t="n">
        <x:f>XLOOKUP(C895,'Reference Tables'!$E$4:$E$12,'Reference Tables'!$F$4:$F$12,0.05)</x:f>
        <x:v>0.14</x:v>
      </x:c>
      <x:c r="K895" s="103" t="n">
        <x:f>MIN(I895,F895*J895)</x:f>
        <x:v>102.11185894568494</x:v>
      </x:c>
      <x:c r="L895" s="103" t="n">
        <x:f>'Inputs &amp; Guide'!$B$5</x:f>
        <x:v>15</x:v>
      </x:c>
      <x:c r="M895" s="103" t="n">
        <x:f>I895*'Inputs &amp; Guide'!$B$6</x:f>
        <x:v>69.31936481569927</x:v>
      </x:c>
      <x:c r="N895" s="103" t="n">
        <x:f>MAX(0,MIN(K895-L895,M895))</x:f>
        <x:v>69.31936481569927</x:v>
      </x:c>
      <x:c r="O895" s="103" t="n">
        <x:f>MAX(0,N895-'Inputs &amp; Guide'!$B$7)</x:f>
        <x:v>9.319364815699274</x:v>
      </x:c>
      <x:c r="P895" s="103" t="n">
        <x:f>N895-O895</x:f>
        <x:v>60</x:v>
      </x:c>
      <x:c r="Q895" s="103" t="n">
        <x:f>I895*'Inputs &amp; Guide'!$B$8</x:f>
        <x:v>2.268633757604703</x:v>
      </x:c>
      <x:c r="R895" s="104" t="n">
        <x:f>IFERROR(P895/Q895,0)</x:f>
        <x:v>26.447636071214045</x:v>
      </x:c>
      <x:c r="S895" s="105" t="n">
        <x:f>ROUND(E895*XLOOKUP(C895,'Reference Tables'!$E$4:$E$12,'Reference Tables'!$G$4:$G$12,1),1)</x:f>
        <x:v>9.6</x:v>
      </x:c>
      <x:c r="T895" s="106" t="str">
        <x:f>IF(R895&gt;='Inputs &amp; Guide'!$B$9,"HIGH",IF(R895&gt;=0.45,"WATCH","NORMAL"))</x:f>
        <x:v>HIGH</x:v>
      </x:c>
    </x:row>
    <x:row r="896">
      <x:c r="A896" s="95" t="n">
        <x:v>7137</x:v>
      </x:c>
      <x:c r="B896" s="96" t="n">
        <x:v>45589.104166666664</x:v>
      </x:c>
      <x:c r="C896" s="97" t="str">
        <x:v>Hurricane</x:v>
      </x:c>
      <x:c r="D896" s="97" t="str">
        <x:v>USA</x:v>
      </x:c>
      <x:c r="E896" s="98" t="n">
        <x:v>5.420630947662976</x:v>
      </x:c>
      <x:c r="F896" s="99" t="n">
        <x:v>325.2315656240657</x:v>
      </x:c>
      <x:c r="G896" s="100" t="str">
        <x:f>XLOOKUP(D896,'Reference Tables'!$A$4:$A$23,'Reference Tables'!$B$4:$B$23,"Other")</x:f>
        <x:v>Other</x:v>
      </x:c>
      <x:c r="H896" s="100" t="str">
        <x:f>VLOOKUP(G896,'Reference Tables'!$I$4:$J$9,2,FALSE)</x:f>
        <x:v>Moderate</x:v>
      </x:c>
      <x:c r="I896" s="101" t="n">
        <x:f>F896*'Inputs &amp; Guide'!$B$4*XLOOKUP(D896,'Reference Tables'!$A$4:$A$23,'Reference Tables'!$C$4:$C$23,0.75)</x:f>
        <x:v>39.027787874887885</x:v>
      </x:c>
      <x:c r="J896" s="102" t="n">
        <x:f>XLOOKUP(C896,'Reference Tables'!$E$4:$E$12,'Reference Tables'!$F$4:$F$12,0.05)</x:f>
        <x:v>0.18</x:v>
      </x:c>
      <x:c r="K896" s="103" t="n">
        <x:f>MIN(I896,F896*J896)</x:f>
        <x:v>39.027787874887885</x:v>
      </x:c>
      <x:c r="L896" s="103" t="n">
        <x:f>'Inputs &amp; Guide'!$B$5</x:f>
        <x:v>15</x:v>
      </x:c>
      <x:c r="M896" s="103" t="n">
        <x:f>I896*'Inputs &amp; Guide'!$B$6</x:f>
        <x:v>21.46528333118834</x:v>
      </x:c>
      <x:c r="N896" s="103" t="n">
        <x:f>MAX(0,MIN(K896-L896,M896))</x:f>
        <x:v>21.46528333118834</x:v>
      </x:c>
      <x:c r="O896" s="103" t="n">
        <x:f>MAX(0,N896-'Inputs &amp; Guide'!$B$7)</x:f>
        <x:v>0</x:v>
      </x:c>
      <x:c r="P896" s="103" t="n">
        <x:f>N896-O896</x:f>
        <x:v>21.46528333118834</x:v>
      </x:c>
      <x:c r="Q896" s="103" t="n">
        <x:f>I896*'Inputs &amp; Guide'!$B$8</x:f>
        <x:v>0.7025001817479819</x:v>
      </x:c>
      <x:c r="R896" s="104" t="n">
        <x:f>IFERROR(P896/Q896,0)</x:f>
        <x:v>30.55555555555556</x:v>
      </x:c>
      <x:c r="S896" s="105" t="n">
        <x:f>ROUND(E896*XLOOKUP(C896,'Reference Tables'!$E$4:$E$12,'Reference Tables'!$G$4:$G$12,1),1)</x:f>
        <x:v>7.6</x:v>
      </x:c>
      <x:c r="T896" s="106" t="str">
        <x:f>IF(R896&gt;='Inputs &amp; Guide'!$B$9,"HIGH",IF(R896&gt;=0.45,"WATCH","NORMAL"))</x:f>
        <x:v>HIGH</x:v>
      </x:c>
    </x:row>
    <x:row r="897">
      <x:c r="A897" s="95" t="n">
        <x:v>7145</x:v>
      </x:c>
      <x:c r="B897" s="96" t="n">
        <x:v>45589.4375</x:v>
      </x:c>
      <x:c r="C897" s="97" t="str">
        <x:v>Flood</x:v>
      </x:c>
      <x:c r="D897" s="97" t="str">
        <x:v>China</x:v>
      </x:c>
      <x:c r="E897" s="98" t="n">
        <x:v>6.75856418580241</x:v>
      </x:c>
      <x:c r="F897" s="99" t="n">
        <x:v>667.0817907513563</x:v>
      </x:c>
      <x:c r="G897" s="100" t="str">
        <x:f>XLOOKUP(D897,'Reference Tables'!$A$4:$A$23,'Reference Tables'!$B$4:$B$23,"Other")</x:f>
        <x:v>Asia Pacific</x:v>
      </x:c>
      <x:c r="H897" s="100" t="str">
        <x:f>VLOOKUP(G897,'Reference Tables'!$I$4:$J$9,2,FALSE)</x:f>
        <x:v>High</x:v>
      </x:c>
      <x:c r="I897" s="101" t="n">
        <x:f>F897*'Inputs &amp; Guide'!$B$4*XLOOKUP(D897,'Reference Tables'!$A$4:$A$23,'Reference Tables'!$C$4:$C$23,0.75)</x:f>
        <x:v>115.27173344183437</x:v>
      </x:c>
      <x:c r="J897" s="102" t="n">
        <x:f>XLOOKUP(C897,'Reference Tables'!$E$4:$E$12,'Reference Tables'!$F$4:$F$12,0.05)</x:f>
        <x:v>0.12</x:v>
      </x:c>
      <x:c r="K897" s="103" t="n">
        <x:f>MIN(I897,F897*J897)</x:f>
        <x:v>80.04981489016275</x:v>
      </x:c>
      <x:c r="L897" s="103" t="n">
        <x:f>'Inputs &amp; Guide'!$B$5</x:f>
        <x:v>15</x:v>
      </x:c>
      <x:c r="M897" s="103" t="n">
        <x:f>I897*'Inputs &amp; Guide'!$B$6</x:f>
        <x:v>63.39945339300891</x:v>
      </x:c>
      <x:c r="N897" s="103" t="n">
        <x:f>MAX(0,MIN(K897-L897,M897))</x:f>
        <x:v>63.39945339300891</x:v>
      </x:c>
      <x:c r="O897" s="103" t="n">
        <x:f>MAX(0,N897-'Inputs &amp; Guide'!$B$7)</x:f>
        <x:v>3.399453393008912</x:v>
      </x:c>
      <x:c r="P897" s="103" t="n">
        <x:f>N897-O897</x:f>
        <x:v>60</x:v>
      </x:c>
      <x:c r="Q897" s="103" t="n">
        <x:f>I897*'Inputs &amp; Guide'!$B$8</x:f>
        <x:v>2.0748912019530183</x:v>
      </x:c>
      <x:c r="R897" s="104" t="n">
        <x:f>IFERROR(P897/Q897,0)</x:f>
        <x:v>28.917178859076667</x:v>
      </x:c>
      <x:c r="S897" s="105" t="n">
        <x:f>ROUND(E897*XLOOKUP(C897,'Reference Tables'!$E$4:$E$12,'Reference Tables'!$G$4:$G$12,1),1)</x:f>
        <x:v>8.4</x:v>
      </x:c>
      <x:c r="T897" s="106" t="str">
        <x:f>IF(R897&gt;='Inputs &amp; Guide'!$B$9,"HIGH",IF(R897&gt;=0.45,"WATCH","NORMAL"))</x:f>
        <x:v>HIGH</x:v>
      </x:c>
    </x:row>
    <x:row r="898">
      <x:c r="A898" s="95" t="n">
        <x:v>7153</x:v>
      </x:c>
      <x:c r="B898" s="96" t="n">
        <x:v>45590</x:v>
      </x:c>
      <x:c r="C898" s="97" t="str">
        <x:v>Tornado</x:v>
      </x:c>
      <x:c r="D898" s="97" t="str">
        <x:v>Indonesia</x:v>
      </x:c>
      <x:c r="E898" s="98" t="n">
        <x:v>9.582900140765748</x:v>
      </x:c>
      <x:c r="F898" s="99" t="n">
        <x:v>332.98029634702596</x:v>
      </x:c>
      <x:c r="G898" s="100" t="str">
        <x:f>XLOOKUP(D898,'Reference Tables'!$A$4:$A$23,'Reference Tables'!$B$4:$B$23,"Other")</x:f>
        <x:v>Asia Pacific</x:v>
      </x:c>
      <x:c r="H898" s="100" t="str">
        <x:f>VLOOKUP(G898,'Reference Tables'!$I$4:$J$9,2,FALSE)</x:f>
        <x:v>High</x:v>
      </x:c>
      <x:c r="I898" s="101" t="n">
        <x:f>F898*'Inputs &amp; Guide'!$B$4*XLOOKUP(D898,'Reference Tables'!$A$4:$A$23,'Reference Tables'!$C$4:$C$23,0.75)</x:f>
        <x:v>54.87515283798988</x:v>
      </x:c>
      <x:c r="J898" s="102" t="n">
        <x:f>XLOOKUP(C898,'Reference Tables'!$E$4:$E$12,'Reference Tables'!$F$4:$F$12,0.05)</x:f>
        <x:v>0.09</x:v>
      </x:c>
      <x:c r="K898" s="103" t="n">
        <x:f>MIN(I898,F898*J898)</x:f>
        <x:v>29.968226671232333</x:v>
      </x:c>
      <x:c r="L898" s="103" t="n">
        <x:f>'Inputs &amp; Guide'!$B$5</x:f>
        <x:v>15</x:v>
      </x:c>
      <x:c r="M898" s="103" t="n">
        <x:f>I898*'Inputs &amp; Guide'!$B$6</x:f>
        <x:v>30.181334060894436</x:v>
      </x:c>
      <x:c r="N898" s="103" t="n">
        <x:f>MAX(0,MIN(K898-L898,M898))</x:f>
        <x:v>14.968226671232333</x:v>
      </x:c>
      <x:c r="O898" s="103" t="n">
        <x:f>MAX(0,N898-'Inputs &amp; Guide'!$B$7)</x:f>
        <x:v>0</x:v>
      </x:c>
      <x:c r="P898" s="103" t="n">
        <x:f>N898-O898</x:f>
        <x:v>14.968226671232333</x:v>
      </x:c>
      <x:c r="Q898" s="103" t="n">
        <x:f>I898*'Inputs &amp; Guide'!$B$8</x:f>
        <x:v>0.9877527510838178</x:v>
      </x:c>
      <x:c r="R898" s="104" t="n">
        <x:f>IFERROR(P898/Q898,0)</x:f>
        <x:v>15.153819267836363</x:v>
      </x:c>
      <x:c r="S898" s="105" t="n">
        <x:f>ROUND(E898*XLOOKUP(C898,'Reference Tables'!$E$4:$E$12,'Reference Tables'!$G$4:$G$12,1),1)</x:f>
        <x:v>10.1</x:v>
      </x:c>
      <x:c r="T898" s="106" t="str">
        <x:f>IF(R898&gt;='Inputs &amp; Guide'!$B$9,"HIGH",IF(R898&gt;=0.45,"WATCH","NORMAL"))</x:f>
        <x:v>HIGH</x:v>
      </x:c>
    </x:row>
    <x:row r="899">
      <x:c r="A899" s="95" t="n">
        <x:v>7161</x:v>
      </x:c>
      <x:c r="B899" s="96" t="n">
        <x:v>45590.104166666664</x:v>
      </x:c>
      <x:c r="C899" s="97" t="str">
        <x:v>Flood</x:v>
      </x:c>
      <x:c r="D899" s="97" t="str">
        <x:v>USA</x:v>
      </x:c>
      <x:c r="E899" s="98" t="n">
        <x:v>1.8124761112841568</x:v>
      </x:c>
      <x:c r="F899" s="99" t="n">
        <x:v>131.29710165846203</x:v>
      </x:c>
      <x:c r="G899" s="100" t="str">
        <x:f>XLOOKUP(D899,'Reference Tables'!$A$4:$A$23,'Reference Tables'!$B$4:$B$23,"Other")</x:f>
        <x:v>Other</x:v>
      </x:c>
      <x:c r="H899" s="100" t="str">
        <x:f>VLOOKUP(G899,'Reference Tables'!$I$4:$J$9,2,FALSE)</x:f>
        <x:v>Moderate</x:v>
      </x:c>
      <x:c r="I899" s="101" t="n">
        <x:f>F899*'Inputs &amp; Guide'!$B$4*XLOOKUP(D899,'Reference Tables'!$A$4:$A$23,'Reference Tables'!$C$4:$C$23,0.75)</x:f>
        <x:v>15.755652199015444</x:v>
      </x:c>
      <x:c r="J899" s="102" t="n">
        <x:f>XLOOKUP(C899,'Reference Tables'!$E$4:$E$12,'Reference Tables'!$F$4:$F$12,0.05)</x:f>
        <x:v>0.12</x:v>
      </x:c>
      <x:c r="K899" s="103" t="n">
        <x:f>MIN(I899,F899*J899)</x:f>
        <x:v>15.755652199015442</x:v>
      </x:c>
      <x:c r="L899" s="103" t="n">
        <x:f>'Inputs &amp; Guide'!$B$5</x:f>
        <x:v>15</x:v>
      </x:c>
      <x:c r="M899" s="103" t="n">
        <x:f>I899*'Inputs &amp; Guide'!$B$6</x:f>
        <x:v>8.665608709458494</x:v>
      </x:c>
      <x:c r="N899" s="103" t="n">
        <x:f>MAX(0,MIN(K899-L899,M899))</x:f>
        <x:v>0.7556521990154419</x:v>
      </x:c>
      <x:c r="O899" s="103" t="n">
        <x:f>MAX(0,N899-'Inputs &amp; Guide'!$B$7)</x:f>
        <x:v>0</x:v>
      </x:c>
      <x:c r="P899" s="103" t="n">
        <x:f>N899-O899</x:f>
        <x:v>0.7556521990154419</x:v>
      </x:c>
      <x:c r="Q899" s="103" t="n">
        <x:f>I899*'Inputs &amp; Guide'!$B$8</x:f>
        <x:v>0.28360173958227797</x:v>
      </x:c>
      <x:c r="R899" s="104" t="n">
        <x:f>IFERROR(P899/Q899,0)</x:f>
        <x:v>2.664483652774681</x:v>
      </x:c>
      <x:c r="S899" s="105" t="n">
        <x:f>ROUND(E899*XLOOKUP(C899,'Reference Tables'!$E$4:$E$12,'Reference Tables'!$G$4:$G$12,1),1)</x:f>
        <x:v>2.3</x:v>
      </x:c>
      <x:c r="T899" s="106" t="str">
        <x:f>IF(R899&gt;='Inputs &amp; Guide'!$B$9,"HIGH",IF(R899&gt;=0.45,"WATCH","NORMAL"))</x:f>
        <x:v>HIGH</x:v>
      </x:c>
    </x:row>
    <x:row r="900">
      <x:c r="A900" s="95" t="n">
        <x:v>7169</x:v>
      </x:c>
      <x:c r="B900" s="96" t="n">
        <x:v>45590.4375</x:v>
      </x:c>
      <x:c r="C900" s="97" t="str">
        <x:v>Tornado</x:v>
      </x:c>
      <x:c r="D900" s="97" t="str">
        <x:v>Indonesia</x:v>
      </x:c>
      <x:c r="E900" s="98" t="n">
        <x:v>7.390595730646022</x:v>
      </x:c>
      <x:c r="F900" s="99" t="n">
        <x:v>656.8022387110123</x:v>
      </x:c>
      <x:c r="G900" s="100" t="str">
        <x:f>XLOOKUP(D900,'Reference Tables'!$A$4:$A$23,'Reference Tables'!$B$4:$B$23,"Other")</x:f>
        <x:v>Asia Pacific</x:v>
      </x:c>
      <x:c r="H900" s="100" t="str">
        <x:f>VLOOKUP(G900,'Reference Tables'!$I$4:$J$9,2,FALSE)</x:f>
        <x:v>High</x:v>
      </x:c>
      <x:c r="I900" s="101" t="n">
        <x:f>F900*'Inputs &amp; Guide'!$B$4*XLOOKUP(D900,'Reference Tables'!$A$4:$A$23,'Reference Tables'!$C$4:$C$23,0.75)</x:f>
        <x:v>108.24100893957483</x:v>
      </x:c>
      <x:c r="J900" s="102" t="n">
        <x:f>XLOOKUP(C900,'Reference Tables'!$E$4:$E$12,'Reference Tables'!$F$4:$F$12,0.05)</x:f>
        <x:v>0.09</x:v>
      </x:c>
      <x:c r="K900" s="103" t="n">
        <x:f>MIN(I900,F900*J900)</x:f>
        <x:v>59.1122014839911</x:v>
      </x:c>
      <x:c r="L900" s="103" t="n">
        <x:f>'Inputs &amp; Guide'!$B$5</x:f>
        <x:v>15</x:v>
      </x:c>
      <x:c r="M900" s="103" t="n">
        <x:f>I900*'Inputs &amp; Guide'!$B$6</x:f>
        <x:v>59.53255491676616</x:v>
      </x:c>
      <x:c r="N900" s="103" t="n">
        <x:f>MAX(0,MIN(K900-L900,M900))</x:f>
        <x:v>44.1122014839911</x:v>
      </x:c>
      <x:c r="O900" s="103" t="n">
        <x:f>MAX(0,N900-'Inputs &amp; Guide'!$B$7)</x:f>
        <x:v>0</x:v>
      </x:c>
      <x:c r="P900" s="103" t="n">
        <x:f>N900-O900</x:f>
        <x:v>44.1122014839911</x:v>
      </x:c>
      <x:c r="Q900" s="103" t="n">
        <x:f>I900*'Inputs &amp; Guide'!$B$8</x:f>
        <x:v>1.9483381609123467</x:v>
      </x:c>
      <x:c r="R900" s="104" t="n">
        <x:f>IFERROR(P900/Q900,0)</x:f>
        <x:v>22.640936963085874</x:v>
      </x:c>
      <x:c r="S900" s="105" t="n">
        <x:f>ROUND(E900*XLOOKUP(C900,'Reference Tables'!$E$4:$E$12,'Reference Tables'!$G$4:$G$12,1),1)</x:f>
        <x:v>7.8</x:v>
      </x:c>
      <x:c r="T900" s="106" t="str">
        <x:f>IF(R900&gt;='Inputs &amp; Guide'!$B$9,"HIGH",IF(R900&gt;=0.45,"WATCH","NORMAL"))</x:f>
        <x:v>HIGH</x:v>
      </x:c>
    </x:row>
    <x:row r="901">
      <x:c r="A901" s="95" t="n">
        <x:v>7177</x:v>
      </x:c>
      <x:c r="B901" s="96" t="n">
        <x:v>45591</x:v>
      </x:c>
      <x:c r="C901" s="97" t="str">
        <x:v>Hurricane</x:v>
      </x:c>
      <x:c r="D901" s="97" t="str">
        <x:v>Brazil</x:v>
      </x:c>
      <x:c r="E901" s="98" t="n">
        <x:v>7.310943519534734</x:v>
      </x:c>
      <x:c r="F901" s="99" t="n">
        <x:v>460.7771507038577</x:v>
      </x:c>
      <x:c r="G901" s="100" t="str">
        <x:f>XLOOKUP(D901,'Reference Tables'!$A$4:$A$23,'Reference Tables'!$B$4:$B$23,"Other")</x:f>
        <x:v>Latin America</x:v>
      </x:c>
      <x:c r="H901" s="100" t="str">
        <x:f>VLOOKUP(G901,'Reference Tables'!$I$4:$J$9,2,FALSE)</x:f>
        <x:v>Moderate</x:v>
      </x:c>
      <x:c r="I901" s="101" t="n">
        <x:f>F901*'Inputs &amp; Guide'!$B$4*XLOOKUP(D901,'Reference Tables'!$A$4:$A$23,'Reference Tables'!$C$4:$C$23,0.75)</x:f>
        <x:v>60.453962172346124</x:v>
      </x:c>
      <x:c r="J901" s="102" t="n">
        <x:f>XLOOKUP(C901,'Reference Tables'!$E$4:$E$12,'Reference Tables'!$F$4:$F$12,0.05)</x:f>
        <x:v>0.18</x:v>
      </x:c>
      <x:c r="K901" s="103" t="n">
        <x:f>MIN(I901,F901*J901)</x:f>
        <x:v>60.453962172346124</x:v>
      </x:c>
      <x:c r="L901" s="103" t="n">
        <x:f>'Inputs &amp; Guide'!$B$5</x:f>
        <x:v>15</x:v>
      </x:c>
      <x:c r="M901" s="103" t="n">
        <x:f>I901*'Inputs &amp; Guide'!$B$6</x:f>
        <x:v>33.24967919479037</x:v>
      </x:c>
      <x:c r="N901" s="103" t="n">
        <x:f>MAX(0,MIN(K901-L901,M901))</x:f>
        <x:v>33.24967919479037</x:v>
      </x:c>
      <x:c r="O901" s="103" t="n">
        <x:f>MAX(0,N901-'Inputs &amp; Guide'!$B$7)</x:f>
        <x:v>0</x:v>
      </x:c>
      <x:c r="P901" s="103" t="n">
        <x:f>N901-O901</x:f>
        <x:v>33.24967919479037</x:v>
      </x:c>
      <x:c r="Q901" s="103" t="n">
        <x:f>I901*'Inputs &amp; Guide'!$B$8</x:f>
        <x:v>1.0881713191022302</x:v>
      </x:c>
      <x:c r="R901" s="104" t="n">
        <x:f>IFERROR(P901/Q901,0)</x:f>
        <x:v>30.555555555555557</x:v>
      </x:c>
      <x:c r="S901" s="105" t="n">
        <x:f>ROUND(E901*XLOOKUP(C901,'Reference Tables'!$E$4:$E$12,'Reference Tables'!$G$4:$G$12,1),1)</x:f>
        <x:v>10.2</x:v>
      </x:c>
      <x:c r="T901" s="106" t="str">
        <x:f>IF(R901&gt;='Inputs &amp; Guide'!$B$9,"HIGH",IF(R901&gt;=0.45,"WATCH","NORMAL"))</x:f>
        <x:v>HIGH</x:v>
      </x:c>
    </x:row>
    <x:row r="902">
      <x:c r="A902" s="95" t="n">
        <x:v>7185</x:v>
      </x:c>
      <x:c r="B902" s="96" t="n">
        <x:v>45591.104166666664</x:v>
      </x:c>
      <x:c r="C902" s="97" t="str">
        <x:v>Earthquake</x:v>
      </x:c>
      <x:c r="D902" s="97" t="str">
        <x:v>Japan</x:v>
      </x:c>
      <x:c r="E902" s="98" t="n">
        <x:v>4.819852029503849</x:v>
      </x:c>
      <x:c r="F902" s="99" t="n">
        <x:v>651.7745357629208</x:v>
      </x:c>
      <x:c r="G902" s="100" t="str">
        <x:f>XLOOKUP(D902,'Reference Tables'!$A$4:$A$23,'Reference Tables'!$B$4:$B$23,"Other")</x:f>
        <x:v>Asia Pacific</x:v>
      </x:c>
      <x:c r="H902" s="100" t="str">
        <x:f>VLOOKUP(G902,'Reference Tables'!$I$4:$J$9,2,FALSE)</x:f>
        <x:v>High</x:v>
      </x:c>
      <x:c r="I902" s="101" t="n">
        <x:f>F902*'Inputs &amp; Guide'!$B$4*XLOOKUP(D902,'Reference Tables'!$A$4:$A$23,'Reference Tables'!$C$4:$C$23,0.75)</x:f>
        <x:v>123.05503235203943</x:v>
      </x:c>
      <x:c r="J902" s="102" t="n">
        <x:f>XLOOKUP(C902,'Reference Tables'!$E$4:$E$12,'Reference Tables'!$F$4:$F$12,0.05)</x:f>
        <x:v>0.14</x:v>
      </x:c>
      <x:c r="K902" s="103" t="n">
        <x:f>MIN(I902,F902*J902)</x:f>
        <x:v>91.24843500680892</x:v>
      </x:c>
      <x:c r="L902" s="103" t="n">
        <x:f>'Inputs &amp; Guide'!$B$5</x:f>
        <x:v>15</x:v>
      </x:c>
      <x:c r="M902" s="103" t="n">
        <x:f>I902*'Inputs &amp; Guide'!$B$6</x:f>
        <x:v>67.6802677936217</x:v>
      </x:c>
      <x:c r="N902" s="103" t="n">
        <x:f>MAX(0,MIN(K902-L902,M902))</x:f>
        <x:v>67.6802677936217</x:v>
      </x:c>
      <x:c r="O902" s="103" t="n">
        <x:f>MAX(0,N902-'Inputs &amp; Guide'!$B$7)</x:f>
        <x:v>7.680267793621695</x:v>
      </x:c>
      <x:c r="P902" s="103" t="n">
        <x:f>N902-O902</x:f>
        <x:v>60</x:v>
      </x:c>
      <x:c r="Q902" s="103" t="n">
        <x:f>I902*'Inputs &amp; Guide'!$B$8</x:f>
        <x:v>2.2149905823367098</x:v>
      </x:c>
      <x:c r="R902" s="104" t="n">
        <x:f>IFERROR(P902/Q902,0)</x:f>
        <x:v>27.08815128988172</x:v>
      </x:c>
      <x:c r="S902" s="105" t="n">
        <x:f>ROUND(E902*XLOOKUP(C902,'Reference Tables'!$E$4:$E$12,'Reference Tables'!$G$4:$G$12,1),1)</x:f>
        <x:v>7.2</x:v>
      </x:c>
      <x:c r="T902" s="106" t="str">
        <x:f>IF(R902&gt;='Inputs &amp; Guide'!$B$9,"HIGH",IF(R902&gt;=0.45,"WATCH","NORMAL"))</x:f>
        <x:v>HIGH</x:v>
      </x:c>
    </x:row>
    <x:row r="903">
      <x:c r="A903" s="95" t="n">
        <x:v>7193</x:v>
      </x:c>
      <x:c r="B903" s="96" t="n">
        <x:v>45591.4375</x:v>
      </x:c>
      <x:c r="C903" s="97" t="str">
        <x:v>Wildfire</x:v>
      </x:c>
      <x:c r="D903" s="97" t="str">
        <x:v>USA</x:v>
      </x:c>
      <x:c r="E903" s="98" t="n">
        <x:v>8.295843851403632</x:v>
      </x:c>
      <x:c r="F903" s="99" t="n">
        <x:v>595.8094301064982</x:v>
      </x:c>
      <x:c r="G903" s="100" t="str">
        <x:f>XLOOKUP(D903,'Reference Tables'!$A$4:$A$23,'Reference Tables'!$B$4:$B$23,"Other")</x:f>
        <x:v>Other</x:v>
      </x:c>
      <x:c r="H903" s="100" t="str">
        <x:f>VLOOKUP(G903,'Reference Tables'!$I$4:$J$9,2,FALSE)</x:f>
        <x:v>Moderate</x:v>
      </x:c>
      <x:c r="I903" s="101" t="n">
        <x:f>F903*'Inputs &amp; Guide'!$B$4*XLOOKUP(D903,'Reference Tables'!$A$4:$A$23,'Reference Tables'!$C$4:$C$23,0.75)</x:f>
        <x:v>71.49713161277978</x:v>
      </x:c>
      <x:c r="J903" s="102" t="n">
        <x:f>XLOOKUP(C903,'Reference Tables'!$E$4:$E$12,'Reference Tables'!$F$4:$F$12,0.05)</x:f>
        <x:v>0.1</x:v>
      </x:c>
      <x:c r="K903" s="103" t="n">
        <x:f>MIN(I903,F903*J903)</x:f>
        <x:v>59.580943010649825</x:v>
      </x:c>
      <x:c r="L903" s="103" t="n">
        <x:f>'Inputs &amp; Guide'!$B$5</x:f>
        <x:v>15</x:v>
      </x:c>
      <x:c r="M903" s="103" t="n">
        <x:f>I903*'Inputs &amp; Guide'!$B$6</x:f>
        <x:v>39.323422387028884</x:v>
      </x:c>
      <x:c r="N903" s="103" t="n">
        <x:f>MAX(0,MIN(K903-L903,M903))</x:f>
        <x:v>39.323422387028884</x:v>
      </x:c>
      <x:c r="O903" s="103" t="n">
        <x:f>MAX(0,N903-'Inputs &amp; Guide'!$B$7)</x:f>
        <x:v>0</x:v>
      </x:c>
      <x:c r="P903" s="103" t="n">
        <x:f>N903-O903</x:f>
        <x:v>39.323422387028884</x:v>
      </x:c>
      <x:c r="Q903" s="103" t="n">
        <x:f>I903*'Inputs &amp; Guide'!$B$8</x:f>
        <x:v>1.286948369030036</x:v>
      </x:c>
      <x:c r="R903" s="104" t="n">
        <x:f>IFERROR(P903/Q903,0)</x:f>
        <x:v>30.55555555555556</x:v>
      </x:c>
      <x:c r="S903" s="105" t="n">
        <x:f>ROUND(E903*XLOOKUP(C903,'Reference Tables'!$E$4:$E$12,'Reference Tables'!$G$4:$G$12,1),1)</x:f>
        <x:v>9.5</x:v>
      </x:c>
      <x:c r="T903" s="106" t="str">
        <x:f>IF(R903&gt;='Inputs &amp; Guide'!$B$9,"HIGH",IF(R903&gt;=0.45,"WATCH","NORMAL"))</x:f>
        <x:v>HIGH</x:v>
      </x:c>
    </x:row>
    <x:row r="904">
      <x:c r="A904" s="95" t="n">
        <x:v>7201</x:v>
      </x:c>
      <x:c r="B904" s="96" t="n">
        <x:v>45592</x:v>
      </x:c>
      <x:c r="C904" s="97" t="str">
        <x:v>Tornado</x:v>
      </x:c>
      <x:c r="D904" s="97" t="str">
        <x:v>China</x:v>
      </x:c>
      <x:c r="E904" s="98" t="n">
        <x:v>8.094848915383524</x:v>
      </x:c>
      <x:c r="F904" s="99" t="n">
        <x:v>642.8530373769884</x:v>
      </x:c>
      <x:c r="G904" s="100" t="str">
        <x:f>XLOOKUP(D904,'Reference Tables'!$A$4:$A$23,'Reference Tables'!$B$4:$B$23,"Other")</x:f>
        <x:v>Asia Pacific</x:v>
      </x:c>
      <x:c r="H904" s="100" t="str">
        <x:f>VLOOKUP(G904,'Reference Tables'!$I$4:$J$9,2,FALSE)</x:f>
        <x:v>High</x:v>
      </x:c>
      <x:c r="I904" s="101" t="n">
        <x:f>F904*'Inputs &amp; Guide'!$B$4*XLOOKUP(D904,'Reference Tables'!$A$4:$A$23,'Reference Tables'!$C$4:$C$23,0.75)</x:f>
        <x:v>111.0850048587436</x:v>
      </x:c>
      <x:c r="J904" s="102" t="n">
        <x:f>XLOOKUP(C904,'Reference Tables'!$E$4:$E$12,'Reference Tables'!$F$4:$F$12,0.05)</x:f>
        <x:v>0.09</x:v>
      </x:c>
      <x:c r="K904" s="103" t="n">
        <x:f>MIN(I904,F904*J904)</x:f>
        <x:v>57.85677336392895</x:v>
      </x:c>
      <x:c r="L904" s="103" t="n">
        <x:f>'Inputs &amp; Guide'!$B$5</x:f>
        <x:v>15</x:v>
      </x:c>
      <x:c r="M904" s="103" t="n">
        <x:f>I904*'Inputs &amp; Guide'!$B$6</x:f>
        <x:v>61.09675267230899</x:v>
      </x:c>
      <x:c r="N904" s="103" t="n">
        <x:f>MAX(0,MIN(K904-L904,M904))</x:f>
        <x:v>42.85677336392895</x:v>
      </x:c>
      <x:c r="O904" s="103" t="n">
        <x:f>MAX(0,N904-'Inputs &amp; Guide'!$B$7)</x:f>
        <x:v>0</x:v>
      </x:c>
      <x:c r="P904" s="103" t="n">
        <x:f>N904-O904</x:f>
        <x:v>42.85677336392895</x:v>
      </x:c>
      <x:c r="Q904" s="103" t="n">
        <x:f>I904*'Inputs &amp; Guide'!$B$8</x:f>
        <x:v>1.9995300874573847</x:v>
      </x:c>
      <x:c r="R904" s="104" t="n">
        <x:f>IFERROR(P904/Q904,0)</x:f>
        <x:v>21.433422599019703</x:v>
      </x:c>
      <x:c r="S904" s="105" t="n">
        <x:f>ROUND(E904*XLOOKUP(C904,'Reference Tables'!$E$4:$E$12,'Reference Tables'!$G$4:$G$12,1),1)</x:f>
        <x:v>8.5</x:v>
      </x:c>
      <x:c r="T904" s="106" t="str">
        <x:f>IF(R904&gt;='Inputs &amp; Guide'!$B$9,"HIGH",IF(R904&gt;=0.45,"WATCH","NORMAL"))</x:f>
        <x:v>HIGH</x:v>
      </x:c>
    </x:row>
    <x:row r="905">
      <x:c r="A905" s="95" t="n">
        <x:v>7209</x:v>
      </x:c>
      <x:c r="B905" s="96" t="n">
        <x:v>45592.104166666664</x:v>
      </x:c>
      <x:c r="C905" s="97" t="str">
        <x:v>Wildfire</x:v>
      </x:c>
      <x:c r="D905" s="97" t="str">
        <x:v>Indonesia</x:v>
      </x:c>
      <x:c r="E905" s="98" t="n">
        <x:v>9.533069918102106</x:v>
      </x:c>
      <x:c r="F905" s="99" t="n">
        <x:v>658.0953521965153</x:v>
      </x:c>
      <x:c r="G905" s="100" t="str">
        <x:f>XLOOKUP(D905,'Reference Tables'!$A$4:$A$23,'Reference Tables'!$B$4:$B$23,"Other")</x:f>
        <x:v>Asia Pacific</x:v>
      </x:c>
      <x:c r="H905" s="100" t="str">
        <x:f>VLOOKUP(G905,'Reference Tables'!$I$4:$J$9,2,FALSE)</x:f>
        <x:v>High</x:v>
      </x:c>
      <x:c r="I905" s="101" t="n">
        <x:f>F905*'Inputs &amp; Guide'!$B$4*XLOOKUP(D905,'Reference Tables'!$A$4:$A$23,'Reference Tables'!$C$4:$C$23,0.75)</x:f>
        <x:v>108.45411404198572</x:v>
      </x:c>
      <x:c r="J905" s="102" t="n">
        <x:f>XLOOKUP(C905,'Reference Tables'!$E$4:$E$12,'Reference Tables'!$F$4:$F$12,0.05)</x:f>
        <x:v>0.1</x:v>
      </x:c>
      <x:c r="K905" s="103" t="n">
        <x:f>MIN(I905,F905*J905)</x:f>
        <x:v>65.80953521965152</x:v>
      </x:c>
      <x:c r="L905" s="103" t="n">
        <x:f>'Inputs &amp; Guide'!$B$5</x:f>
        <x:v>15</x:v>
      </x:c>
      <x:c r="M905" s="103" t="n">
        <x:f>I905*'Inputs &amp; Guide'!$B$6</x:f>
        <x:v>59.64976272309215</x:v>
      </x:c>
      <x:c r="N905" s="103" t="n">
        <x:f>MAX(0,MIN(K905-L905,M905))</x:f>
        <x:v>50.80953521965152</x:v>
      </x:c>
      <x:c r="O905" s="103" t="n">
        <x:f>MAX(0,N905-'Inputs &amp; Guide'!$B$7)</x:f>
        <x:v>0</x:v>
      </x:c>
      <x:c r="P905" s="103" t="n">
        <x:f>N905-O905</x:f>
        <x:v>50.80953521965152</x:v>
      </x:c>
      <x:c r="Q905" s="103" t="n">
        <x:f>I905*'Inputs &amp; Guide'!$B$8</x:f>
        <x:v>1.9521740527557427</x:v>
      </x:c>
      <x:c r="R905" s="104" t="n">
        <x:f>IFERROR(P905/Q905,0)</x:f>
        <x:v>26.027154263180265</x:v>
      </x:c>
      <x:c r="S905" s="105" t="n">
        <x:f>ROUND(E905*XLOOKUP(C905,'Reference Tables'!$E$4:$E$12,'Reference Tables'!$G$4:$G$12,1),1)</x:f>
        <x:v>11</x:v>
      </x:c>
      <x:c r="T905" s="106" t="str">
        <x:f>IF(R905&gt;='Inputs &amp; Guide'!$B$9,"HIGH",IF(R905&gt;=0.45,"WATCH","NORMAL"))</x:f>
        <x:v>HIGH</x:v>
      </x:c>
    </x:row>
    <x:row r="906">
      <x:c r="A906" s="95" t="n">
        <x:v>7217</x:v>
      </x:c>
      <x:c r="B906" s="96" t="n">
        <x:v>45592.4375</x:v>
      </x:c>
      <x:c r="C906" s="97" t="str">
        <x:v>Wildfire</x:v>
      </x:c>
      <x:c r="D906" s="97" t="str">
        <x:v>China</x:v>
      </x:c>
      <x:c r="E906" s="98" t="n">
        <x:v>6.376477045966208</x:v>
      </x:c>
      <x:c r="F906" s="99" t="n">
        <x:v>21.40428538974186</x:v>
      </x:c>
      <x:c r="G906" s="100" t="str">
        <x:f>XLOOKUP(D906,'Reference Tables'!$A$4:$A$23,'Reference Tables'!$B$4:$B$23,"Other")</x:f>
        <x:v>Asia Pacific</x:v>
      </x:c>
      <x:c r="H906" s="100" t="str">
        <x:f>VLOOKUP(G906,'Reference Tables'!$I$4:$J$9,2,FALSE)</x:f>
        <x:v>High</x:v>
      </x:c>
      <x:c r="I906" s="101" t="n">
        <x:f>F906*'Inputs &amp; Guide'!$B$4*XLOOKUP(D906,'Reference Tables'!$A$4:$A$23,'Reference Tables'!$C$4:$C$23,0.75)</x:f>
        <x:v>3.698660515347394</x:v>
      </x:c>
      <x:c r="J906" s="102" t="n">
        <x:f>XLOOKUP(C906,'Reference Tables'!$E$4:$E$12,'Reference Tables'!$F$4:$F$12,0.05)</x:f>
        <x:v>0.1</x:v>
      </x:c>
      <x:c r="K906" s="103" t="n">
        <x:f>MIN(I906,F906*J906)</x:f>
        <x:v>2.140428538974186</x:v>
      </x:c>
      <x:c r="L906" s="103" t="n">
        <x:f>'Inputs &amp; Guide'!$B$5</x:f>
        <x:v>15</x:v>
      </x:c>
      <x:c r="M906" s="103" t="n">
        <x:f>I906*'Inputs &amp; Guide'!$B$6</x:f>
        <x:v>2.0342632834410668</x:v>
      </x:c>
      <x:c r="N906" s="103" t="n">
        <x:f>MAX(0,MIN(K906-L906,M906))</x:f>
        <x:v>0</x:v>
      </x:c>
      <x:c r="O906" s="103" t="n">
        <x:f>MAX(0,N906-'Inputs &amp; Guide'!$B$7)</x:f>
        <x:v>0</x:v>
      </x:c>
      <x:c r="P906" s="103" t="n">
        <x:f>N906-O906</x:f>
        <x:v>0</x:v>
      </x:c>
      <x:c r="Q906" s="103" t="n">
        <x:f>I906*'Inputs &amp; Guide'!$B$8</x:f>
        <x:v>0.06657588927625309</x:v>
      </x:c>
      <x:c r="R906" s="104" t="n">
        <x:f>IFERROR(P906/Q906,0)</x:f>
        <x:v>0</x:v>
      </x:c>
      <x:c r="S906" s="105" t="n">
        <x:f>ROUND(E906*XLOOKUP(C906,'Reference Tables'!$E$4:$E$12,'Reference Tables'!$G$4:$G$12,1),1)</x:f>
        <x:v>7.3</x:v>
      </x:c>
      <x:c r="T906" s="106" t="str">
        <x:f>IF(R906&gt;='Inputs &amp; Guide'!$B$9,"HIGH",IF(R906&gt;=0.45,"WATCH","NORMAL"))</x:f>
        <x:v>NORMAL</x:v>
      </x:c>
    </x:row>
    <x:row r="907">
      <x:c r="A907" s="95" t="n">
        <x:v>7225</x:v>
      </x:c>
      <x:c r="B907" s="96" t="n">
        <x:v>45593</x:v>
      </x:c>
      <x:c r="C907" s="97" t="str">
        <x:v>Earthquake</x:v>
      </x:c>
      <x:c r="D907" s="97" t="str">
        <x:v>Indonesia</x:v>
      </x:c>
      <x:c r="E907" s="98" t="n">
        <x:v>8.988207402825962</x:v>
      </x:c>
      <x:c r="F907" s="99" t="n">
        <x:v>819.8005905407525</x:v>
      </x:c>
      <x:c r="G907" s="100" t="str">
        <x:f>XLOOKUP(D907,'Reference Tables'!$A$4:$A$23,'Reference Tables'!$B$4:$B$23,"Other")</x:f>
        <x:v>Asia Pacific</x:v>
      </x:c>
      <x:c r="H907" s="100" t="str">
        <x:f>VLOOKUP(G907,'Reference Tables'!$I$4:$J$9,2,FALSE)</x:f>
        <x:v>High</x:v>
      </x:c>
      <x:c r="I907" s="101" t="n">
        <x:f>F907*'Inputs &amp; Guide'!$B$4*XLOOKUP(D907,'Reference Tables'!$A$4:$A$23,'Reference Tables'!$C$4:$C$23,0.75)</x:f>
        <x:v>135.103137321116</x:v>
      </x:c>
      <x:c r="J907" s="102" t="n">
        <x:f>XLOOKUP(C907,'Reference Tables'!$E$4:$E$12,'Reference Tables'!$F$4:$F$12,0.05)</x:f>
        <x:v>0.14</x:v>
      </x:c>
      <x:c r="K907" s="103" t="n">
        <x:f>MIN(I907,F907*J907)</x:f>
        <x:v>114.77208267570536</x:v>
      </x:c>
      <x:c r="L907" s="103" t="n">
        <x:f>'Inputs &amp; Guide'!$B$5</x:f>
        <x:v>15</x:v>
      </x:c>
      <x:c r="M907" s="103" t="n">
        <x:f>I907*'Inputs &amp; Guide'!$B$6</x:f>
        <x:v>74.30672552661382</x:v>
      </x:c>
      <x:c r="N907" s="103" t="n">
        <x:f>MAX(0,MIN(K907-L907,M907))</x:f>
        <x:v>74.30672552661382</x:v>
      </x:c>
      <x:c r="O907" s="103" t="n">
        <x:f>MAX(0,N907-'Inputs &amp; Guide'!$B$7)</x:f>
        <x:v>14.306725526613818</x:v>
      </x:c>
      <x:c r="P907" s="103" t="n">
        <x:f>N907-O907</x:f>
        <x:v>60</x:v>
      </x:c>
      <x:c r="Q907" s="103" t="n">
        <x:f>I907*'Inputs &amp; Guide'!$B$8</x:f>
        <x:v>2.431856471780088</x:v>
      </x:c>
      <x:c r="R907" s="104" t="n">
        <x:f>IFERROR(P907/Q907,0)</x:f>
        <x:v>24.672508717622122</x:v>
      </x:c>
      <x:c r="S907" s="105" t="n">
        <x:f>ROUND(E907*XLOOKUP(C907,'Reference Tables'!$E$4:$E$12,'Reference Tables'!$G$4:$G$12,1),1)</x:f>
        <x:v>13.5</x:v>
      </x:c>
      <x:c r="T907" s="106" t="str">
        <x:f>IF(R907&gt;='Inputs &amp; Guide'!$B$9,"HIGH",IF(R907&gt;=0.45,"WATCH","NORMAL"))</x:f>
        <x:v>HIGH</x:v>
      </x:c>
    </x:row>
    <x:row r="908">
      <x:c r="A908" s="95" t="n">
        <x:v>7233</x:v>
      </x:c>
      <x:c r="B908" s="96" t="n">
        <x:v>45593.104166666664</x:v>
      </x:c>
      <x:c r="C908" s="97" t="str">
        <x:v>Wildfire</x:v>
      </x:c>
      <x:c r="D908" s="97" t="str">
        <x:v>Japan</x:v>
      </x:c>
      <x:c r="E908" s="98" t="n">
        <x:v>2.6949681959716583</x:v>
      </x:c>
      <x:c r="F908" s="99" t="n">
        <x:v>294.54650339195314</x:v>
      </x:c>
      <x:c r="G908" s="100" t="str">
        <x:f>XLOOKUP(D908,'Reference Tables'!$A$4:$A$23,'Reference Tables'!$B$4:$B$23,"Other")</x:f>
        <x:v>Asia Pacific</x:v>
      </x:c>
      <x:c r="H908" s="100" t="str">
        <x:f>VLOOKUP(G908,'Reference Tables'!$I$4:$J$9,2,FALSE)</x:f>
        <x:v>High</x:v>
      </x:c>
      <x:c r="I908" s="101" t="n">
        <x:f>F908*'Inputs &amp; Guide'!$B$4*XLOOKUP(D908,'Reference Tables'!$A$4:$A$23,'Reference Tables'!$C$4:$C$23,0.75)</x:f>
        <x:v>55.61037984040075</x:v>
      </x:c>
      <x:c r="J908" s="102" t="n">
        <x:f>XLOOKUP(C908,'Reference Tables'!$E$4:$E$12,'Reference Tables'!$F$4:$F$12,0.05)</x:f>
        <x:v>0.1</x:v>
      </x:c>
      <x:c r="K908" s="103" t="n">
        <x:f>MIN(I908,F908*J908)</x:f>
        <x:v>29.454650339195315</x:v>
      </x:c>
      <x:c r="L908" s="103" t="n">
        <x:f>'Inputs &amp; Guide'!$B$5</x:f>
        <x:v>15</x:v>
      </x:c>
      <x:c r="M908" s="103" t="n">
        <x:f>I908*'Inputs &amp; Guide'!$B$6</x:f>
        <x:v>30.585708912220415</x:v>
      </x:c>
      <x:c r="N908" s="103" t="n">
        <x:f>MAX(0,MIN(K908-L908,M908))</x:f>
        <x:v>14.454650339195315</x:v>
      </x:c>
      <x:c r="O908" s="103" t="n">
        <x:f>MAX(0,N908-'Inputs &amp; Guide'!$B$7)</x:f>
        <x:v>0</x:v>
      </x:c>
      <x:c r="P908" s="103" t="n">
        <x:f>N908-O908</x:f>
        <x:v>14.454650339195315</x:v>
      </x:c>
      <x:c r="Q908" s="103" t="n">
        <x:f>I908*'Inputs &amp; Guide'!$B$8</x:f>
        <x:v>1.0009868371272135</x:v>
      </x:c>
      <x:c r="R908" s="104" t="n">
        <x:f>IFERROR(P908/Q908,0)</x:f>
        <x:v>14.440400016327388</x:v>
      </x:c>
      <x:c r="S908" s="105" t="n">
        <x:f>ROUND(E908*XLOOKUP(C908,'Reference Tables'!$E$4:$E$12,'Reference Tables'!$G$4:$G$12,1),1)</x:f>
        <x:v>3.1</x:v>
      </x:c>
      <x:c r="T908" s="106" t="str">
        <x:f>IF(R908&gt;='Inputs &amp; Guide'!$B$9,"HIGH",IF(R908&gt;=0.45,"WATCH","NORMAL"))</x:f>
        <x:v>HIGH</x:v>
      </x:c>
    </x:row>
    <x:row r="909">
      <x:c r="A909" s="95" t="n">
        <x:v>7241</x:v>
      </x:c>
      <x:c r="B909" s="96" t="n">
        <x:v>45593.4375</x:v>
      </x:c>
      <x:c r="C909" s="97" t="str">
        <x:v>Tornado</x:v>
      </x:c>
      <x:c r="D909" s="97" t="str">
        <x:v>China</x:v>
      </x:c>
      <x:c r="E909" s="98" t="n">
        <x:v>4.555964910432558</x:v>
      </x:c>
      <x:c r="F909" s="99" t="n">
        <x:v>617.1550935455992</x:v>
      </x:c>
      <x:c r="G909" s="100" t="str">
        <x:f>XLOOKUP(D909,'Reference Tables'!$A$4:$A$23,'Reference Tables'!$B$4:$B$23,"Other")</x:f>
        <x:v>Asia Pacific</x:v>
      </x:c>
      <x:c r="H909" s="100" t="str">
        <x:f>VLOOKUP(G909,'Reference Tables'!$I$4:$J$9,2,FALSE)</x:f>
        <x:v>High</x:v>
      </x:c>
      <x:c r="I909" s="101" t="n">
        <x:f>F909*'Inputs &amp; Guide'!$B$4*XLOOKUP(D909,'Reference Tables'!$A$4:$A$23,'Reference Tables'!$C$4:$C$23,0.75)</x:f>
        <x:v>106.64440016467955</x:v>
      </x:c>
      <x:c r="J909" s="102" t="n">
        <x:f>XLOOKUP(C909,'Reference Tables'!$E$4:$E$12,'Reference Tables'!$F$4:$F$12,0.05)</x:f>
        <x:v>0.09</x:v>
      </x:c>
      <x:c r="K909" s="103" t="n">
        <x:f>MIN(I909,F909*J909)</x:f>
        <x:v>55.54395841910393</x:v>
      </x:c>
      <x:c r="L909" s="103" t="n">
        <x:f>'Inputs &amp; Guide'!$B$5</x:f>
        <x:v>15</x:v>
      </x:c>
      <x:c r="M909" s="103" t="n">
        <x:f>I909*'Inputs &amp; Guide'!$B$6</x:f>
        <x:v>58.65442009057376</x:v>
      </x:c>
      <x:c r="N909" s="103" t="n">
        <x:f>MAX(0,MIN(K909-L909,M909))</x:f>
        <x:v>40.54395841910393</x:v>
      </x:c>
      <x:c r="O909" s="103" t="n">
        <x:f>MAX(0,N909-'Inputs &amp; Guide'!$B$7)</x:f>
        <x:v>0</x:v>
      </x:c>
      <x:c r="P909" s="103" t="n">
        <x:f>N909-O909</x:f>
        <x:v>40.54395841910393</x:v>
      </x:c>
      <x:c r="Q909" s="103" t="n">
        <x:f>I909*'Inputs &amp; Guide'!$B$8</x:f>
        <x:v>1.9195992029642317</x:v>
      </x:c>
      <x:c r="R909" s="104" t="n">
        <x:f>IFERROR(P909/Q909,0)</x:f>
        <x:v>21.121053997363738</x:v>
      </x:c>
      <x:c r="S909" s="105" t="n">
        <x:f>ROUND(E909*XLOOKUP(C909,'Reference Tables'!$E$4:$E$12,'Reference Tables'!$G$4:$G$12,1),1)</x:f>
        <x:v>4.8</x:v>
      </x:c>
      <x:c r="T909" s="106" t="str">
        <x:f>IF(R909&gt;='Inputs &amp; Guide'!$B$9,"HIGH",IF(R909&gt;=0.45,"WATCH","NORMAL"))</x:f>
        <x:v>HIGH</x:v>
      </x:c>
    </x:row>
    <x:row r="910">
      <x:c r="A910" s="95" t="n">
        <x:v>7249</x:v>
      </x:c>
      <x:c r="B910" s="96" t="n">
        <x:v>45594</x:v>
      </x:c>
      <x:c r="C910" s="97" t="str">
        <x:v>Flood</x:v>
      </x:c>
      <x:c r="D910" s="97" t="str">
        <x:v>Brazil</x:v>
      </x:c>
      <x:c r="E910" s="98" t="n">
        <x:v>9.398400434706822</x:v>
      </x:c>
      <x:c r="F910" s="99" t="n">
        <x:v>324.69295747811253</x:v>
      </x:c>
      <x:c r="G910" s="100" t="str">
        <x:f>XLOOKUP(D910,'Reference Tables'!$A$4:$A$23,'Reference Tables'!$B$4:$B$23,"Other")</x:f>
        <x:v>Latin America</x:v>
      </x:c>
      <x:c r="H910" s="100" t="str">
        <x:f>VLOOKUP(G910,'Reference Tables'!$I$4:$J$9,2,FALSE)</x:f>
        <x:v>Moderate</x:v>
      </x:c>
      <x:c r="I910" s="101" t="n">
        <x:f>F910*'Inputs &amp; Guide'!$B$4*XLOOKUP(D910,'Reference Tables'!$A$4:$A$23,'Reference Tables'!$C$4:$C$23,0.75)</x:f>
        <x:v>42.599716021128366</x:v>
      </x:c>
      <x:c r="J910" s="102" t="n">
        <x:f>XLOOKUP(C910,'Reference Tables'!$E$4:$E$12,'Reference Tables'!$F$4:$F$12,0.05)</x:f>
        <x:v>0.12</x:v>
      </x:c>
      <x:c r="K910" s="103" t="n">
        <x:f>MIN(I910,F910*J910)</x:f>
        <x:v>38.9631548973735</x:v>
      </x:c>
      <x:c r="L910" s="103" t="n">
        <x:f>'Inputs &amp; Guide'!$B$5</x:f>
        <x:v>15</x:v>
      </x:c>
      <x:c r="M910" s="103" t="n">
        <x:f>I910*'Inputs &amp; Guide'!$B$6</x:f>
        <x:v>23.429843811620604</x:v>
      </x:c>
      <x:c r="N910" s="103" t="n">
        <x:f>MAX(0,MIN(K910-L910,M910))</x:f>
        <x:v>23.429843811620604</x:v>
      </x:c>
      <x:c r="O910" s="103" t="n">
        <x:f>MAX(0,N910-'Inputs &amp; Guide'!$B$7)</x:f>
        <x:v>0</x:v>
      </x:c>
      <x:c r="P910" s="103" t="n">
        <x:f>N910-O910</x:f>
        <x:v>23.429843811620604</x:v>
      </x:c>
      <x:c r="Q910" s="103" t="n">
        <x:f>I910*'Inputs &amp; Guide'!$B$8</x:f>
        <x:v>0.7667948883803105</x:v>
      </x:c>
      <x:c r="R910" s="104" t="n">
        <x:f>IFERROR(P910/Q910,0)</x:f>
        <x:v>30.55555555555556</x:v>
      </x:c>
      <x:c r="S910" s="105" t="n">
        <x:f>ROUND(E910*XLOOKUP(C910,'Reference Tables'!$E$4:$E$12,'Reference Tables'!$G$4:$G$12,1),1)</x:f>
        <x:v>11.7</x:v>
      </x:c>
      <x:c r="T910" s="106" t="str">
        <x:f>IF(R910&gt;='Inputs &amp; Guide'!$B$9,"HIGH",IF(R910&gt;=0.45,"WATCH","NORMAL"))</x:f>
        <x:v>HIGH</x:v>
      </x:c>
    </x:row>
    <x:row r="911">
      <x:c r="A911" s="95" t="n">
        <x:v>7257</x:v>
      </x:c>
      <x:c r="B911" s="96" t="n">
        <x:v>45594.104166666664</x:v>
      </x:c>
      <x:c r="C911" s="97" t="str">
        <x:v>Tornado</x:v>
      </x:c>
      <x:c r="D911" s="97" t="str">
        <x:v>USA</x:v>
      </x:c>
      <x:c r="E911" s="98" t="n">
        <x:v>1.3224601069411852</x:v>
      </x:c>
      <x:c r="F911" s="99" t="n">
        <x:v>48.52125121228944</x:v>
      </x:c>
      <x:c r="G911" s="100" t="str">
        <x:f>XLOOKUP(D911,'Reference Tables'!$A$4:$A$23,'Reference Tables'!$B$4:$B$23,"Other")</x:f>
        <x:v>Other</x:v>
      </x:c>
      <x:c r="H911" s="100" t="str">
        <x:f>VLOOKUP(G911,'Reference Tables'!$I$4:$J$9,2,FALSE)</x:f>
        <x:v>Moderate</x:v>
      </x:c>
      <x:c r="I911" s="101" t="n">
        <x:f>F911*'Inputs &amp; Guide'!$B$4*XLOOKUP(D911,'Reference Tables'!$A$4:$A$23,'Reference Tables'!$C$4:$C$23,0.75)</x:f>
        <x:v>5.822550145474733</x:v>
      </x:c>
      <x:c r="J911" s="102" t="n">
        <x:f>XLOOKUP(C911,'Reference Tables'!$E$4:$E$12,'Reference Tables'!$F$4:$F$12,0.05)</x:f>
        <x:v>0.09</x:v>
      </x:c>
      <x:c r="K911" s="103" t="n">
        <x:f>MIN(I911,F911*J911)</x:f>
        <x:v>4.366912609106049</x:v>
      </x:c>
      <x:c r="L911" s="103" t="n">
        <x:f>'Inputs &amp; Guide'!$B$5</x:f>
        <x:v>15</x:v>
      </x:c>
      <x:c r="M911" s="103" t="n">
        <x:f>I911*'Inputs &amp; Guide'!$B$6</x:f>
        <x:v>3.2024025800111033</x:v>
      </x:c>
      <x:c r="N911" s="103" t="n">
        <x:f>MAX(0,MIN(K911-L911,M911))</x:f>
        <x:v>0</x:v>
      </x:c>
      <x:c r="O911" s="103" t="n">
        <x:f>MAX(0,N911-'Inputs &amp; Guide'!$B$7)</x:f>
        <x:v>0</x:v>
      </x:c>
      <x:c r="P911" s="103" t="n">
        <x:f>N911-O911</x:f>
        <x:v>0</x:v>
      </x:c>
      <x:c r="Q911" s="103" t="n">
        <x:f>I911*'Inputs &amp; Guide'!$B$8</x:f>
        <x:v>0.1048059026185452</x:v>
      </x:c>
      <x:c r="R911" s="104" t="n">
        <x:f>IFERROR(P911/Q911,0)</x:f>
        <x:v>0</x:v>
      </x:c>
      <x:c r="S911" s="105" t="n">
        <x:f>ROUND(E911*XLOOKUP(C911,'Reference Tables'!$E$4:$E$12,'Reference Tables'!$G$4:$G$12,1),1)</x:f>
        <x:v>1.4</x:v>
      </x:c>
      <x:c r="T911" s="106" t="str">
        <x:f>IF(R911&gt;='Inputs &amp; Guide'!$B$9,"HIGH",IF(R911&gt;=0.45,"WATCH","NORMAL"))</x:f>
        <x:v>NORMAL</x:v>
      </x:c>
    </x:row>
    <x:row r="912">
      <x:c r="A912" s="95" t="n">
        <x:v>7265</x:v>
      </x:c>
      <x:c r="B912" s="96" t="n">
        <x:v>45594.4375</x:v>
      </x:c>
      <x:c r="C912" s="97" t="str">
        <x:v>Tornado</x:v>
      </x:c>
      <x:c r="D912" s="97" t="str">
        <x:v>Japan</x:v>
      </x:c>
      <x:c r="E912" s="98" t="n">
        <x:v>2.1120291763635537</x:v>
      </x:c>
      <x:c r="F912" s="99" t="n">
        <x:v>123.30685305300534</x:v>
      </x:c>
      <x:c r="G912" s="100" t="str">
        <x:f>XLOOKUP(D912,'Reference Tables'!$A$4:$A$23,'Reference Tables'!$B$4:$B$23,"Other")</x:f>
        <x:v>Asia Pacific</x:v>
      </x:c>
      <x:c r="H912" s="100" t="str">
        <x:f>VLOOKUP(G912,'Reference Tables'!$I$4:$J$9,2,FALSE)</x:f>
        <x:v>High</x:v>
      </x:c>
      <x:c r="I912" s="101" t="n">
        <x:f>F912*'Inputs &amp; Guide'!$B$4*XLOOKUP(D912,'Reference Tables'!$A$4:$A$23,'Reference Tables'!$C$4:$C$23,0.75)</x:f>
        <x:v>23.28033385640741</x:v>
      </x:c>
      <x:c r="J912" s="102" t="n">
        <x:f>XLOOKUP(C912,'Reference Tables'!$E$4:$E$12,'Reference Tables'!$F$4:$F$12,0.05)</x:f>
        <x:v>0.09</x:v>
      </x:c>
      <x:c r="K912" s="103" t="n">
        <x:f>MIN(I912,F912*J912)</x:f>
        <x:v>11.097616774770481</x:v>
      </x:c>
      <x:c r="L912" s="103" t="n">
        <x:f>'Inputs &amp; Guide'!$B$5</x:f>
        <x:v>15</x:v>
      </x:c>
      <x:c r="M912" s="103" t="n">
        <x:f>I912*'Inputs &amp; Guide'!$B$6</x:f>
        <x:v>12.804183621024077</x:v>
      </x:c>
      <x:c r="N912" s="103" t="n">
        <x:f>MAX(0,MIN(K912-L912,M912))</x:f>
        <x:v>0</x:v>
      </x:c>
      <x:c r="O912" s="103" t="n">
        <x:f>MAX(0,N912-'Inputs &amp; Guide'!$B$7)</x:f>
        <x:v>0</x:v>
      </x:c>
      <x:c r="P912" s="103" t="n">
        <x:f>N912-O912</x:f>
        <x:v>0</x:v>
      </x:c>
      <x:c r="Q912" s="103" t="n">
        <x:f>I912*'Inputs &amp; Guide'!$B$8</x:f>
        <x:v>0.4190460094153333</x:v>
      </x:c>
      <x:c r="R912" s="104" t="n">
        <x:f>IFERROR(P912/Q912,0)</x:f>
        <x:v>0</x:v>
      </x:c>
      <x:c r="S912" s="105" t="n">
        <x:f>ROUND(E912*XLOOKUP(C912,'Reference Tables'!$E$4:$E$12,'Reference Tables'!$G$4:$G$12,1),1)</x:f>
        <x:v>2.2</x:v>
      </x:c>
      <x:c r="T912" s="106" t="str">
        <x:f>IF(R912&gt;='Inputs &amp; Guide'!$B$9,"HIGH",IF(R912&gt;=0.45,"WATCH","NORMAL"))</x:f>
        <x:v>NORMAL</x:v>
      </x:c>
    </x:row>
    <x:row r="913">
      <x:c r="A913" s="95" t="n">
        <x:v>7273</x:v>
      </x:c>
      <x:c r="B913" s="96" t="n">
        <x:v>45595</x:v>
      </x:c>
      <x:c r="C913" s="97" t="str">
        <x:v>Flood</x:v>
      </x:c>
      <x:c r="D913" s="97" t="str">
        <x:v>Japan</x:v>
      </x:c>
      <x:c r="E913" s="98" t="n">
        <x:v>9.64503953859581</x:v>
      </x:c>
      <x:c r="F913" s="99" t="n">
        <x:v>595.0915737923291</x:v>
      </x:c>
      <x:c r="G913" s="100" t="str">
        <x:f>XLOOKUP(D913,'Reference Tables'!$A$4:$A$23,'Reference Tables'!$B$4:$B$23,"Other")</x:f>
        <x:v>Asia Pacific</x:v>
      </x:c>
      <x:c r="H913" s="100" t="str">
        <x:f>VLOOKUP(G913,'Reference Tables'!$I$4:$J$9,2,FALSE)</x:f>
        <x:v>High</x:v>
      </x:c>
      <x:c r="I913" s="101" t="n">
        <x:f>F913*'Inputs &amp; Guide'!$B$4*XLOOKUP(D913,'Reference Tables'!$A$4:$A$23,'Reference Tables'!$C$4:$C$23,0.75)</x:f>
        <x:v>112.35328913199172</x:v>
      </x:c>
      <x:c r="J913" s="102" t="n">
        <x:f>XLOOKUP(C913,'Reference Tables'!$E$4:$E$12,'Reference Tables'!$F$4:$F$12,0.05)</x:f>
        <x:v>0.12</x:v>
      </x:c>
      <x:c r="K913" s="103" t="n">
        <x:f>MIN(I913,F913*J913)</x:f>
        <x:v>71.41098885507948</x:v>
      </x:c>
      <x:c r="L913" s="103" t="n">
        <x:f>'Inputs &amp; Guide'!$B$5</x:f>
        <x:v>15</x:v>
      </x:c>
      <x:c r="M913" s="103" t="n">
        <x:f>I913*'Inputs &amp; Guide'!$B$6</x:f>
        <x:v>61.79430902259545</x:v>
      </x:c>
      <x:c r="N913" s="103" t="n">
        <x:f>MAX(0,MIN(K913-L913,M913))</x:f>
        <x:v>56.41098885507948</x:v>
      </x:c>
      <x:c r="O913" s="103" t="n">
        <x:f>MAX(0,N913-'Inputs &amp; Guide'!$B$7)</x:f>
        <x:v>0</x:v>
      </x:c>
      <x:c r="P913" s="103" t="n">
        <x:f>N913-O913</x:f>
        <x:v>56.41098885507948</x:v>
      </x:c>
      <x:c r="Q913" s="103" t="n">
        <x:f>I913*'Inputs &amp; Guide'!$B$8</x:f>
        <x:v>2.0223592043758507</x:v>
      </x:c>
      <x:c r="R913" s="104" t="n">
        <x:f>IFERROR(P913/Q913,0)</x:f>
        <x:v>27.89365446703089</x:v>
      </x:c>
      <x:c r="S913" s="105" t="n">
        <x:f>ROUND(E913*XLOOKUP(C913,'Reference Tables'!$E$4:$E$12,'Reference Tables'!$G$4:$G$12,1),1)</x:f>
        <x:v>12.1</x:v>
      </x:c>
      <x:c r="T913" s="106" t="str">
        <x:f>IF(R913&gt;='Inputs &amp; Guide'!$B$9,"HIGH",IF(R913&gt;=0.45,"WATCH","NORMAL"))</x:f>
        <x:v>HIGH</x:v>
      </x:c>
    </x:row>
    <x:row r="914">
      <x:c r="A914" s="95" t="n">
        <x:v>7281</x:v>
      </x:c>
      <x:c r="B914" s="96" t="n">
        <x:v>45595.104166666664</x:v>
      </x:c>
      <x:c r="C914" s="97" t="str">
        <x:v>Hurricane</x:v>
      </x:c>
      <x:c r="D914" s="97" t="str">
        <x:v>USA</x:v>
      </x:c>
      <x:c r="E914" s="98" t="n">
        <x:v>4.824250666757549</x:v>
      </x:c>
      <x:c r="F914" s="99" t="n">
        <x:v>787.4208155589473</x:v>
      </x:c>
      <x:c r="G914" s="100" t="str">
        <x:f>XLOOKUP(D914,'Reference Tables'!$A$4:$A$23,'Reference Tables'!$B$4:$B$23,"Other")</x:f>
        <x:v>Other</x:v>
      </x:c>
      <x:c r="H914" s="100" t="str">
        <x:f>VLOOKUP(G914,'Reference Tables'!$I$4:$J$9,2,FALSE)</x:f>
        <x:v>Moderate</x:v>
      </x:c>
      <x:c r="I914" s="101" t="n">
        <x:f>F914*'Inputs &amp; Guide'!$B$4*XLOOKUP(D914,'Reference Tables'!$A$4:$A$23,'Reference Tables'!$C$4:$C$23,0.75)</x:f>
        <x:v>94.49049786707369</x:v>
      </x:c>
      <x:c r="J914" s="102" t="n">
        <x:f>XLOOKUP(C914,'Reference Tables'!$E$4:$E$12,'Reference Tables'!$F$4:$F$12,0.05)</x:f>
        <x:v>0.18</x:v>
      </x:c>
      <x:c r="K914" s="103" t="n">
        <x:f>MIN(I914,F914*J914)</x:f>
        <x:v>94.49049786707369</x:v>
      </x:c>
      <x:c r="L914" s="103" t="n">
        <x:f>'Inputs &amp; Guide'!$B$5</x:f>
        <x:v>15</x:v>
      </x:c>
      <x:c r="M914" s="103" t="n">
        <x:f>I914*'Inputs &amp; Guide'!$B$6</x:f>
        <x:v>51.96977382689053</x:v>
      </x:c>
      <x:c r="N914" s="103" t="n">
        <x:f>MAX(0,MIN(K914-L914,M914))</x:f>
        <x:v>51.96977382689053</x:v>
      </x:c>
      <x:c r="O914" s="103" t="n">
        <x:f>MAX(0,N914-'Inputs &amp; Guide'!$B$7)</x:f>
        <x:v>0</x:v>
      </x:c>
      <x:c r="P914" s="103" t="n">
        <x:f>N914-O914</x:f>
        <x:v>51.96977382689053</x:v>
      </x:c>
      <x:c r="Q914" s="103" t="n">
        <x:f>I914*'Inputs &amp; Guide'!$B$8</x:f>
        <x:v>1.7008289616073262</x:v>
      </x:c>
      <x:c r="R914" s="104" t="n">
        <x:f>IFERROR(P914/Q914,0)</x:f>
        <x:v>30.55555555555556</x:v>
      </x:c>
      <x:c r="S914" s="105" t="n">
        <x:f>ROUND(E914*XLOOKUP(C914,'Reference Tables'!$E$4:$E$12,'Reference Tables'!$G$4:$G$12,1),1)</x:f>
        <x:v>6.8</x:v>
      </x:c>
      <x:c r="T914" s="106" t="str">
        <x:f>IF(R914&gt;='Inputs &amp; Guide'!$B$9,"HIGH",IF(R914&gt;=0.45,"WATCH","NORMAL"))</x:f>
        <x:v>HIGH</x:v>
      </x:c>
    </x:row>
    <x:row r="915">
      <x:c r="A915" s="95" t="n">
        <x:v>7289</x:v>
      </x:c>
      <x:c r="B915" s="96" t="n">
        <x:v>45595.4375</x:v>
      </x:c>
      <x:c r="C915" s="97" t="str">
        <x:v>Earthquake</x:v>
      </x:c>
      <x:c r="D915" s="97" t="str">
        <x:v>Japan</x:v>
      </x:c>
      <x:c r="E915" s="98" t="n">
        <x:v>9.552570310295929</x:v>
      </x:c>
      <x:c r="F915" s="99" t="n">
        <x:v>611.9001748348254</x:v>
      </x:c>
      <x:c r="G915" s="100" t="str">
        <x:f>XLOOKUP(D915,'Reference Tables'!$A$4:$A$23,'Reference Tables'!$B$4:$B$23,"Other")</x:f>
        <x:v>Asia Pacific</x:v>
      </x:c>
      <x:c r="H915" s="100" t="str">
        <x:f>VLOOKUP(G915,'Reference Tables'!$I$4:$J$9,2,FALSE)</x:f>
        <x:v>High</x:v>
      </x:c>
      <x:c r="I915" s="101" t="n">
        <x:f>F915*'Inputs &amp; Guide'!$B$4*XLOOKUP(D915,'Reference Tables'!$A$4:$A$23,'Reference Tables'!$C$4:$C$23,0.75)</x:f>
        <x:v>115.52675300881504</x:v>
      </x:c>
      <x:c r="J915" s="102" t="n">
        <x:f>XLOOKUP(C915,'Reference Tables'!$E$4:$E$12,'Reference Tables'!$F$4:$F$12,0.05)</x:f>
        <x:v>0.14</x:v>
      </x:c>
      <x:c r="K915" s="103" t="n">
        <x:f>MIN(I915,F915*J915)</x:f>
        <x:v>85.66602447687556</x:v>
      </x:c>
      <x:c r="L915" s="103" t="n">
        <x:f>'Inputs &amp; Guide'!$B$5</x:f>
        <x:v>15</x:v>
      </x:c>
      <x:c r="M915" s="103" t="n">
        <x:f>I915*'Inputs &amp; Guide'!$B$6</x:f>
        <x:v>63.53971415484828</x:v>
      </x:c>
      <x:c r="N915" s="103" t="n">
        <x:f>MAX(0,MIN(K915-L915,M915))</x:f>
        <x:v>63.53971415484828</x:v>
      </x:c>
      <x:c r="O915" s="103" t="n">
        <x:f>MAX(0,N915-'Inputs &amp; Guide'!$B$7)</x:f>
        <x:v>3.5397141548482765</x:v>
      </x:c>
      <x:c r="P915" s="103" t="n">
        <x:f>N915-O915</x:f>
        <x:v>60</x:v>
      </x:c>
      <x:c r="Q915" s="103" t="n">
        <x:f>I915*'Inputs &amp; Guide'!$B$8</x:f>
        <x:v>2.0794815541586704</x:v>
      </x:c>
      <x:c r="R915" s="104" t="n">
        <x:f>IFERROR(P915/Q915,0)</x:f>
        <x:v>28.853345623580285</x:v>
      </x:c>
      <x:c r="S915" s="105" t="n">
        <x:f>ROUND(E915*XLOOKUP(C915,'Reference Tables'!$E$4:$E$12,'Reference Tables'!$G$4:$G$12,1),1)</x:f>
        <x:v>14.3</x:v>
      </x:c>
      <x:c r="T915" s="106" t="str">
        <x:f>IF(R915&gt;='Inputs &amp; Guide'!$B$9,"HIGH",IF(R915&gt;=0.45,"WATCH","NORMAL"))</x:f>
        <x:v>HIGH</x:v>
      </x:c>
    </x:row>
    <x:row r="916">
      <x:c r="A916" s="95" t="n">
        <x:v>7297</x:v>
      </x:c>
      <x:c r="B916" s="96" t="n">
        <x:v>45596</x:v>
      </x:c>
      <x:c r="C916" s="97" t="str">
        <x:v>Tornado</x:v>
      </x:c>
      <x:c r="D916" s="97" t="str">
        <x:v>USA</x:v>
      </x:c>
      <x:c r="E916" s="98" t="n">
        <x:v>2.6306833308785174</x:v>
      </x:c>
      <x:c r="F916" s="99" t="n">
        <x:v>878.7153336932222</x:v>
      </x:c>
      <x:c r="G916" s="100" t="str">
        <x:f>XLOOKUP(D916,'Reference Tables'!$A$4:$A$23,'Reference Tables'!$B$4:$B$23,"Other")</x:f>
        <x:v>Other</x:v>
      </x:c>
      <x:c r="H916" s="100" t="str">
        <x:f>VLOOKUP(G916,'Reference Tables'!$I$4:$J$9,2,FALSE)</x:f>
        <x:v>Moderate</x:v>
      </x:c>
      <x:c r="I916" s="101" t="n">
        <x:f>F916*'Inputs &amp; Guide'!$B$4*XLOOKUP(D916,'Reference Tables'!$A$4:$A$23,'Reference Tables'!$C$4:$C$23,0.75)</x:f>
        <x:v>105.44584004318668</x:v>
      </x:c>
      <x:c r="J916" s="102" t="n">
        <x:f>XLOOKUP(C916,'Reference Tables'!$E$4:$E$12,'Reference Tables'!$F$4:$F$12,0.05)</x:f>
        <x:v>0.09</x:v>
      </x:c>
      <x:c r="K916" s="103" t="n">
        <x:f>MIN(I916,F916*J916)</x:f>
        <x:v>79.08438003239</x:v>
      </x:c>
      <x:c r="L916" s="103" t="n">
        <x:f>'Inputs &amp; Guide'!$B$5</x:f>
        <x:v>15</x:v>
      </x:c>
      <x:c r="M916" s="103" t="n">
        <x:f>I916*'Inputs &amp; Guide'!$B$6</x:f>
        <x:v>57.99521202375268</x:v>
      </x:c>
      <x:c r="N916" s="103" t="n">
        <x:f>MAX(0,MIN(K916-L916,M916))</x:f>
        <x:v>57.99521202375268</x:v>
      </x:c>
      <x:c r="O916" s="103" t="n">
        <x:f>MAX(0,N916-'Inputs &amp; Guide'!$B$7)</x:f>
        <x:v>0</x:v>
      </x:c>
      <x:c r="P916" s="103" t="n">
        <x:f>N916-O916</x:f>
        <x:v>57.99521202375268</x:v>
      </x:c>
      <x:c r="Q916" s="103" t="n">
        <x:f>I916*'Inputs &amp; Guide'!$B$8</x:f>
        <x:v>1.89802512077736</x:v>
      </x:c>
      <x:c r="R916" s="104" t="n">
        <x:f>IFERROR(P916/Q916,0)</x:f>
        <x:v>30.55555555555556</x:v>
      </x:c>
      <x:c r="S916" s="105" t="n">
        <x:f>ROUND(E916*XLOOKUP(C916,'Reference Tables'!$E$4:$E$12,'Reference Tables'!$G$4:$G$12,1),1)</x:f>
        <x:v>2.8</x:v>
      </x:c>
      <x:c r="T916" s="106" t="str">
        <x:f>IF(R916&gt;='Inputs &amp; Guide'!$B$9,"HIGH",IF(R916&gt;=0.45,"WATCH","NORMAL"))</x:f>
        <x:v>HIGH</x:v>
      </x:c>
    </x:row>
    <x:row r="917">
      <x:c r="A917" s="95" t="n">
        <x:v>7305</x:v>
      </x:c>
      <x:c r="B917" s="96" t="n">
        <x:v>45596.104166666664</x:v>
      </x:c>
      <x:c r="C917" s="97" t="str">
        <x:v>Wildfire</x:v>
      </x:c>
      <x:c r="D917" s="97" t="str">
        <x:v>Brazil</x:v>
      </x:c>
      <x:c r="E917" s="98" t="n">
        <x:v>3.0352425088691484</x:v>
      </x:c>
      <x:c r="F917" s="99" t="n">
        <x:v>971.1602957051545</x:v>
      </x:c>
      <x:c r="G917" s="100" t="str">
        <x:f>XLOOKUP(D917,'Reference Tables'!$A$4:$A$23,'Reference Tables'!$B$4:$B$23,"Other")</x:f>
        <x:v>Latin America</x:v>
      </x:c>
      <x:c r="H917" s="100" t="str">
        <x:f>VLOOKUP(G917,'Reference Tables'!$I$4:$J$9,2,FALSE)</x:f>
        <x:v>Moderate</x:v>
      </x:c>
      <x:c r="I917" s="101" t="n">
        <x:f>F917*'Inputs &amp; Guide'!$B$4*XLOOKUP(D917,'Reference Tables'!$A$4:$A$23,'Reference Tables'!$C$4:$C$23,0.75)</x:f>
        <x:v>127.41623079651626</x:v>
      </x:c>
      <x:c r="J917" s="102" t="n">
        <x:f>XLOOKUP(C917,'Reference Tables'!$E$4:$E$12,'Reference Tables'!$F$4:$F$12,0.05)</x:f>
        <x:v>0.1</x:v>
      </x:c>
      <x:c r="K917" s="103" t="n">
        <x:f>MIN(I917,F917*J917)</x:f>
        <x:v>97.11602957051545</x:v>
      </x:c>
      <x:c r="L917" s="103" t="n">
        <x:f>'Inputs &amp; Guide'!$B$5</x:f>
        <x:v>15</x:v>
      </x:c>
      <x:c r="M917" s="103" t="n">
        <x:f>I917*'Inputs &amp; Guide'!$B$6</x:f>
        <x:v>70.07892693808395</x:v>
      </x:c>
      <x:c r="N917" s="103" t="n">
        <x:f>MAX(0,MIN(K917-L917,M917))</x:f>
        <x:v>70.07892693808395</x:v>
      </x:c>
      <x:c r="O917" s="103" t="n">
        <x:f>MAX(0,N917-'Inputs &amp; Guide'!$B$7)</x:f>
        <x:v>10.078926938083953</x:v>
      </x:c>
      <x:c r="P917" s="103" t="n">
        <x:f>N917-O917</x:f>
        <x:v>60</x:v>
      </x:c>
      <x:c r="Q917" s="103" t="n">
        <x:f>I917*'Inputs &amp; Guide'!$B$8</x:f>
        <x:v>2.2934921543372924</x:v>
      </x:c>
      <x:c r="R917" s="104" t="n">
        <x:f>IFERROR(P917/Q917,0)</x:f>
        <x:v>26.16097896237935</x:v>
      </x:c>
      <x:c r="S917" s="105" t="n">
        <x:f>ROUND(E917*XLOOKUP(C917,'Reference Tables'!$E$4:$E$12,'Reference Tables'!$G$4:$G$12,1),1)</x:f>
        <x:v>3.5</x:v>
      </x:c>
      <x:c r="T917" s="106" t="str">
        <x:f>IF(R917&gt;='Inputs &amp; Guide'!$B$9,"HIGH",IF(R917&gt;=0.45,"WATCH","NORMAL"))</x:f>
        <x:v>HIGH</x:v>
      </x:c>
    </x:row>
    <x:row r="918">
      <x:c r="A918" s="95" t="n">
        <x:v>7313</x:v>
      </x:c>
      <x:c r="B918" s="96" t="n">
        <x:v>45596.4375</x:v>
      </x:c>
      <x:c r="C918" s="97" t="str">
        <x:v>Wildfire</x:v>
      </x:c>
      <x:c r="D918" s="97" t="str">
        <x:v>Brazil</x:v>
      </x:c>
      <x:c r="E918" s="98" t="n">
        <x:v>1.4123520977950192</x:v>
      </x:c>
      <x:c r="F918" s="99" t="n">
        <x:v>116.6364085073667</x:v>
      </x:c>
      <x:c r="G918" s="100" t="str">
        <x:f>XLOOKUP(D918,'Reference Tables'!$A$4:$A$23,'Reference Tables'!$B$4:$B$23,"Other")</x:f>
        <x:v>Latin America</x:v>
      </x:c>
      <x:c r="H918" s="100" t="str">
        <x:f>VLOOKUP(G918,'Reference Tables'!$I$4:$J$9,2,FALSE)</x:f>
        <x:v>Moderate</x:v>
      </x:c>
      <x:c r="I918" s="101" t="n">
        <x:f>F918*'Inputs &amp; Guide'!$B$4*XLOOKUP(D918,'Reference Tables'!$A$4:$A$23,'Reference Tables'!$C$4:$C$23,0.75)</x:f>
        <x:v>15.30269679616651</x:v>
      </x:c>
      <x:c r="J918" s="102" t="n">
        <x:f>XLOOKUP(C918,'Reference Tables'!$E$4:$E$12,'Reference Tables'!$F$4:$F$12,0.05)</x:f>
        <x:v>0.1</x:v>
      </x:c>
      <x:c r="K918" s="103" t="n">
        <x:f>MIN(I918,F918*J918)</x:f>
        <x:v>11.66364085073667</x:v>
      </x:c>
      <x:c r="L918" s="103" t="n">
        <x:f>'Inputs &amp; Guide'!$B$5</x:f>
        <x:v>15</x:v>
      </x:c>
      <x:c r="M918" s="103" t="n">
        <x:f>I918*'Inputs &amp; Guide'!$B$6</x:f>
        <x:v>8.416483237891581</x:v>
      </x:c>
      <x:c r="N918" s="103" t="n">
        <x:f>MAX(0,MIN(K918-L918,M918))</x:f>
        <x:v>0</x:v>
      </x:c>
      <x:c r="O918" s="103" t="n">
        <x:f>MAX(0,N918-'Inputs &amp; Guide'!$B$7)</x:f>
        <x:v>0</x:v>
      </x:c>
      <x:c r="P918" s="103" t="n">
        <x:f>N918-O918</x:f>
        <x:v>0</x:v>
      </x:c>
      <x:c r="Q918" s="103" t="n">
        <x:f>I918*'Inputs &amp; Guide'!$B$8</x:f>
        <x:v>0.27544854233099714</x:v>
      </x:c>
      <x:c r="R918" s="104" t="n">
        <x:f>IFERROR(P918/Q918,0)</x:f>
        <x:v>0</x:v>
      </x:c>
      <x:c r="S918" s="105" t="n">
        <x:f>ROUND(E918*XLOOKUP(C918,'Reference Tables'!$E$4:$E$12,'Reference Tables'!$G$4:$G$12,1),1)</x:f>
        <x:v>1.6</x:v>
      </x:c>
      <x:c r="T918" s="106" t="str">
        <x:f>IF(R918&gt;='Inputs &amp; Guide'!$B$9,"HIGH",IF(R918&gt;=0.45,"WATCH","NORMAL"))</x:f>
        <x:v>NORMAL</x:v>
      </x:c>
    </x:row>
    <x:row r="919">
      <x:c r="A919" s="95" t="n">
        <x:v>7321</x:v>
      </x:c>
      <x:c r="B919" s="96" t="n">
        <x:v>45597</x:v>
      </x:c>
      <x:c r="C919" s="97" t="str">
        <x:v>Flood</x:v>
      </x:c>
      <x:c r="D919" s="97" t="str">
        <x:v>Indonesia</x:v>
      </x:c>
      <x:c r="E919" s="98" t="n">
        <x:v>7.55079410667677</x:v>
      </x:c>
      <x:c r="F919" s="99" t="n">
        <x:v>299.22898250154566</x:v>
      </x:c>
      <x:c r="G919" s="100" t="str">
        <x:f>XLOOKUP(D919,'Reference Tables'!$A$4:$A$23,'Reference Tables'!$B$4:$B$23,"Other")</x:f>
        <x:v>Asia Pacific</x:v>
      </x:c>
      <x:c r="H919" s="100" t="str">
        <x:f>VLOOKUP(G919,'Reference Tables'!$I$4:$J$9,2,FALSE)</x:f>
        <x:v>High</x:v>
      </x:c>
      <x:c r="I919" s="101" t="n">
        <x:f>F919*'Inputs &amp; Guide'!$B$4*XLOOKUP(D919,'Reference Tables'!$A$4:$A$23,'Reference Tables'!$C$4:$C$23,0.75)</x:f>
        <x:v>49.31293631625473</x:v>
      </x:c>
      <x:c r="J919" s="102" t="n">
        <x:f>XLOOKUP(C919,'Reference Tables'!$E$4:$E$12,'Reference Tables'!$F$4:$F$12,0.05)</x:f>
        <x:v>0.12</x:v>
      </x:c>
      <x:c r="K919" s="103" t="n">
        <x:f>MIN(I919,F919*J919)</x:f>
        <x:v>35.90747790018548</x:v>
      </x:c>
      <x:c r="L919" s="103" t="n">
        <x:f>'Inputs &amp; Guide'!$B$5</x:f>
        <x:v>15</x:v>
      </x:c>
      <x:c r="M919" s="103" t="n">
        <x:f>I919*'Inputs &amp; Guide'!$B$6</x:f>
        <x:v>27.122114973940104</x:v>
      </x:c>
      <x:c r="N919" s="103" t="n">
        <x:f>MAX(0,MIN(K919-L919,M919))</x:f>
        <x:v>20.907477900185476</x:v>
      </x:c>
      <x:c r="O919" s="103" t="n">
        <x:f>MAX(0,N919-'Inputs &amp; Guide'!$B$7)</x:f>
        <x:v>0</x:v>
      </x:c>
      <x:c r="P919" s="103" t="n">
        <x:f>N919-O919</x:f>
        <x:v>20.907477900185476</x:v>
      </x:c>
      <x:c r="Q919" s="103" t="n">
        <x:f>I919*'Inputs &amp; Guide'!$B$8</x:f>
        <x:v>0.887632853692585</x:v>
      </x:c>
      <x:c r="R919" s="104" t="n">
        <x:f>IFERROR(P919/Q919,0)</x:f>
        <x:v>23.554195648808633</x:v>
      </x:c>
      <x:c r="S919" s="105" t="n">
        <x:f>ROUND(E919*XLOOKUP(C919,'Reference Tables'!$E$4:$E$12,'Reference Tables'!$G$4:$G$12,1),1)</x:f>
        <x:v>9.4</x:v>
      </x:c>
      <x:c r="T919" s="106" t="str">
        <x:f>IF(R919&gt;='Inputs &amp; Guide'!$B$9,"HIGH",IF(R919&gt;=0.45,"WATCH","NORMAL"))</x:f>
        <x:v>HIGH</x:v>
      </x:c>
    </x:row>
    <x:row r="920">
      <x:c r="A920" s="95" t="n">
        <x:v>7329</x:v>
      </x:c>
      <x:c r="B920" s="96" t="n">
        <x:v>45597.104166666664</x:v>
      </x:c>
      <x:c r="C920" s="97" t="str">
        <x:v>Tornado</x:v>
      </x:c>
      <x:c r="D920" s="97" t="str">
        <x:v>Japan</x:v>
      </x:c>
      <x:c r="E920" s="98" t="n">
        <x:v>6.115603368796646</x:v>
      </x:c>
      <x:c r="F920" s="99" t="n">
        <x:v>189.8850832881079</x:v>
      </x:c>
      <x:c r="G920" s="100" t="str">
        <x:f>XLOOKUP(D920,'Reference Tables'!$A$4:$A$23,'Reference Tables'!$B$4:$B$23,"Other")</x:f>
        <x:v>Asia Pacific</x:v>
      </x:c>
      <x:c r="H920" s="100" t="str">
        <x:f>VLOOKUP(G920,'Reference Tables'!$I$4:$J$9,2,FALSE)</x:f>
        <x:v>High</x:v>
      </x:c>
      <x:c r="I920" s="101" t="n">
        <x:f>F920*'Inputs &amp; Guide'!$B$4*XLOOKUP(D920,'Reference Tables'!$A$4:$A$23,'Reference Tables'!$C$4:$C$23,0.75)</x:f>
        <x:v>35.85030372479477</x:v>
      </x:c>
      <x:c r="J920" s="102" t="n">
        <x:f>XLOOKUP(C920,'Reference Tables'!$E$4:$E$12,'Reference Tables'!$F$4:$F$12,0.05)</x:f>
        <x:v>0.09</x:v>
      </x:c>
      <x:c r="K920" s="103" t="n">
        <x:f>MIN(I920,F920*J920)</x:f>
        <x:v>17.08965749592971</x:v>
      </x:c>
      <x:c r="L920" s="103" t="n">
        <x:f>'Inputs &amp; Guide'!$B$5</x:f>
        <x:v>15</x:v>
      </x:c>
      <x:c r="M920" s="103" t="n">
        <x:f>I920*'Inputs &amp; Guide'!$B$6</x:f>
        <x:v>19.717667048637125</x:v>
      </x:c>
      <x:c r="N920" s="103" t="n">
        <x:f>MAX(0,MIN(K920-L920,M920))</x:f>
        <x:v>2.0896574959297105</x:v>
      </x:c>
      <x:c r="O920" s="103" t="n">
        <x:f>MAX(0,N920-'Inputs &amp; Guide'!$B$7)</x:f>
        <x:v>0</x:v>
      </x:c>
      <x:c r="P920" s="103" t="n">
        <x:f>N920-O920</x:f>
        <x:v>2.0896574959297105</x:v>
      </x:c>
      <x:c r="Q920" s="103" t="n">
        <x:f>I920*'Inputs &amp; Guide'!$B$8</x:f>
        <x:v>0.6453054670463059</x:v>
      </x:c>
      <x:c r="R920" s="104" t="n">
        <x:f>IFERROR(P920/Q920,0)</x:f>
        <x:v>3.238245455279493</x:v>
      </x:c>
      <x:c r="S920" s="105" t="n">
        <x:f>ROUND(E920*XLOOKUP(C920,'Reference Tables'!$E$4:$E$12,'Reference Tables'!$G$4:$G$12,1),1)</x:f>
        <x:v>6.4</x:v>
      </x:c>
      <x:c r="T920" s="106" t="str">
        <x:f>IF(R920&gt;='Inputs &amp; Guide'!$B$9,"HIGH",IF(R920&gt;=0.45,"WATCH","NORMAL"))</x:f>
        <x:v>HIGH</x:v>
      </x:c>
    </x:row>
    <x:row r="921">
      <x:c r="A921" s="95" t="n">
        <x:v>7337</x:v>
      </x:c>
      <x:c r="B921" s="96" t="n">
        <x:v>45597.4375</x:v>
      </x:c>
      <x:c r="C921" s="97" t="str">
        <x:v>Wildfire</x:v>
      </x:c>
      <x:c r="D921" s="97" t="str">
        <x:v>Japan</x:v>
      </x:c>
      <x:c r="E921" s="98" t="n">
        <x:v>5.953579347908137</x:v>
      </x:c>
      <x:c r="F921" s="99" t="n">
        <x:v>356.77961325808445</x:v>
      </x:c>
      <x:c r="G921" s="100" t="str">
        <x:f>XLOOKUP(D921,'Reference Tables'!$A$4:$A$23,'Reference Tables'!$B$4:$B$23,"Other")</x:f>
        <x:v>Asia Pacific</x:v>
      </x:c>
      <x:c r="H921" s="100" t="str">
        <x:f>VLOOKUP(G921,'Reference Tables'!$I$4:$J$9,2,FALSE)</x:f>
        <x:v>High</x:v>
      </x:c>
      <x:c r="I921" s="101" t="n">
        <x:f>F921*'Inputs &amp; Guide'!$B$4*XLOOKUP(D921,'Reference Tables'!$A$4:$A$23,'Reference Tables'!$C$4:$C$23,0.75)</x:f>
        <x:v>67.35999098312634</x:v>
      </x:c>
      <x:c r="J921" s="102" t="n">
        <x:f>XLOOKUP(C921,'Reference Tables'!$E$4:$E$12,'Reference Tables'!$F$4:$F$12,0.05)</x:f>
        <x:v>0.1</x:v>
      </x:c>
      <x:c r="K921" s="103" t="n">
        <x:f>MIN(I921,F921*J921)</x:f>
        <x:v>35.67796132580845</x:v>
      </x:c>
      <x:c r="L921" s="103" t="n">
        <x:f>'Inputs &amp; Guide'!$B$5</x:f>
        <x:v>15</x:v>
      </x:c>
      <x:c r="M921" s="103" t="n">
        <x:f>I921*'Inputs &amp; Guide'!$B$6</x:f>
        <x:v>37.04799504071949</x:v>
      </x:c>
      <x:c r="N921" s="103" t="n">
        <x:f>MAX(0,MIN(K921-L921,M921))</x:f>
        <x:v>20.677961325808447</x:v>
      </x:c>
      <x:c r="O921" s="103" t="n">
        <x:f>MAX(0,N921-'Inputs &amp; Guide'!$B$7)</x:f>
        <x:v>0</x:v>
      </x:c>
      <x:c r="P921" s="103" t="n">
        <x:f>N921-O921</x:f>
        <x:v>20.677961325808447</x:v>
      </x:c>
      <x:c r="Q921" s="103" t="n">
        <x:f>I921*'Inputs &amp; Guide'!$B$8</x:f>
        <x:v>1.212479837696274</x:v>
      </x:c>
      <x:c r="R921" s="104" t="n">
        <x:f>IFERROR(P921/Q921,0)</x:f>
        <x:v>17.05427231276424</x:v>
      </x:c>
      <x:c r="S921" s="105" t="n">
        <x:f>ROUND(E921*XLOOKUP(C921,'Reference Tables'!$E$4:$E$12,'Reference Tables'!$G$4:$G$12,1),1)</x:f>
        <x:v>6.8</x:v>
      </x:c>
      <x:c r="T921" s="106" t="str">
        <x:f>IF(R921&gt;='Inputs &amp; Guide'!$B$9,"HIGH",IF(R921&gt;=0.45,"WATCH","NORMAL"))</x:f>
        <x:v>HIGH</x:v>
      </x:c>
    </x:row>
    <x:row r="922">
      <x:c r="A922" s="95" t="n">
        <x:v>7345</x:v>
      </x:c>
      <x:c r="B922" s="96" t="n">
        <x:v>45598</x:v>
      </x:c>
      <x:c r="C922" s="97" t="str">
        <x:v>Tornado</x:v>
      </x:c>
      <x:c r="D922" s="97" t="str">
        <x:v>India</x:v>
      </x:c>
      <x:c r="E922" s="98" t="n">
        <x:v>7.952306267403575</x:v>
      </x:c>
      <x:c r="F922" s="99" t="n">
        <x:v>476.8464174411139</x:v>
      </x:c>
      <x:c r="G922" s="100" t="str">
        <x:f>XLOOKUP(D922,'Reference Tables'!$A$4:$A$23,'Reference Tables'!$B$4:$B$23,"Other")</x:f>
        <x:v>Asia Pacific</x:v>
      </x:c>
      <x:c r="H922" s="100" t="str">
        <x:f>VLOOKUP(G922,'Reference Tables'!$I$4:$J$9,2,FALSE)</x:f>
        <x:v>High</x:v>
      </x:c>
      <x:c r="I922" s="101" t="n">
        <x:f>F922*'Inputs &amp; Guide'!$B$4*XLOOKUP(D922,'Reference Tables'!$A$4:$A$23,'Reference Tables'!$C$4:$C$23,0.75)</x:f>
        <x:v>69.42883837942618</x:v>
      </x:c>
      <x:c r="J922" s="102" t="n">
        <x:f>XLOOKUP(C922,'Reference Tables'!$E$4:$E$12,'Reference Tables'!$F$4:$F$12,0.05)</x:f>
        <x:v>0.09</x:v>
      </x:c>
      <x:c r="K922" s="103" t="n">
        <x:f>MIN(I922,F922*J922)</x:f>
        <x:v>42.916177569700245</x:v>
      </x:c>
      <x:c r="L922" s="103" t="n">
        <x:f>'Inputs &amp; Guide'!$B$5</x:f>
        <x:v>15</x:v>
      </x:c>
      <x:c r="M922" s="103" t="n">
        <x:f>I922*'Inputs &amp; Guide'!$B$6</x:f>
        <x:v>38.185861108684406</x:v>
      </x:c>
      <x:c r="N922" s="103" t="n">
        <x:f>MAX(0,MIN(K922-L922,M922))</x:f>
        <x:v>27.916177569700245</x:v>
      </x:c>
      <x:c r="O922" s="103" t="n">
        <x:f>MAX(0,N922-'Inputs &amp; Guide'!$B$7)</x:f>
        <x:v>0</x:v>
      </x:c>
      <x:c r="P922" s="103" t="n">
        <x:f>N922-O922</x:f>
        <x:v>27.916177569700245</x:v>
      </x:c>
      <x:c r="Q922" s="103" t="n">
        <x:f>I922*'Inputs &amp; Guide'!$B$8</x:f>
        <x:v>1.2497190908296711</x:v>
      </x:c>
      <x:c r="R922" s="104" t="n">
        <x:f>IFERROR(P922/Q922,0)</x:f>
        <x:v>22.337962006459453</x:v>
      </x:c>
      <x:c r="S922" s="105" t="n">
        <x:f>ROUND(E922*XLOOKUP(C922,'Reference Tables'!$E$4:$E$12,'Reference Tables'!$G$4:$G$12,1),1)</x:f>
        <x:v>8.3</x:v>
      </x:c>
      <x:c r="T922" s="106" t="str">
        <x:f>IF(R922&gt;='Inputs &amp; Guide'!$B$9,"HIGH",IF(R922&gt;=0.45,"WATCH","NORMAL"))</x:f>
        <x:v>HIGH</x:v>
      </x:c>
    </x:row>
    <x:row r="923">
      <x:c r="A923" s="95" t="n">
        <x:v>7353</x:v>
      </x:c>
      <x:c r="B923" s="96" t="n">
        <x:v>45598.104166666664</x:v>
      </x:c>
      <x:c r="C923" s="97" t="str">
        <x:v>Flood</x:v>
      </x:c>
      <x:c r="D923" s="97" t="str">
        <x:v>Brazil</x:v>
      </x:c>
      <x:c r="E923" s="98" t="n">
        <x:v>4.323820305440457</x:v>
      </x:c>
      <x:c r="F923" s="99" t="n">
        <x:v>580.7325283272236</x:v>
      </x:c>
      <x:c r="G923" s="100" t="str">
        <x:f>XLOOKUP(D923,'Reference Tables'!$A$4:$A$23,'Reference Tables'!$B$4:$B$23,"Other")</x:f>
        <x:v>Latin America</x:v>
      </x:c>
      <x:c r="H923" s="100" t="str">
        <x:f>VLOOKUP(G923,'Reference Tables'!$I$4:$J$9,2,FALSE)</x:f>
        <x:v>Moderate</x:v>
      </x:c>
      <x:c r="I923" s="101" t="n">
        <x:f>F923*'Inputs &amp; Guide'!$B$4*XLOOKUP(D923,'Reference Tables'!$A$4:$A$23,'Reference Tables'!$C$4:$C$23,0.75)</x:f>
        <x:v>76.19210771653172</x:v>
      </x:c>
      <x:c r="J923" s="102" t="n">
        <x:f>XLOOKUP(C923,'Reference Tables'!$E$4:$E$12,'Reference Tables'!$F$4:$F$12,0.05)</x:f>
        <x:v>0.12</x:v>
      </x:c>
      <x:c r="K923" s="103" t="n">
        <x:f>MIN(I923,F923*J923)</x:f>
        <x:v>69.68790339926683</x:v>
      </x:c>
      <x:c r="L923" s="103" t="n">
        <x:f>'Inputs &amp; Guide'!$B$5</x:f>
        <x:v>15</x:v>
      </x:c>
      <x:c r="M923" s="103" t="n">
        <x:f>I923*'Inputs &amp; Guide'!$B$6</x:f>
        <x:v>41.90565924409245</x:v>
      </x:c>
      <x:c r="N923" s="103" t="n">
        <x:f>MAX(0,MIN(K923-L923,M923))</x:f>
        <x:v>41.90565924409245</x:v>
      </x:c>
      <x:c r="O923" s="103" t="n">
        <x:f>MAX(0,N923-'Inputs &amp; Guide'!$B$7)</x:f>
        <x:v>0</x:v>
      </x:c>
      <x:c r="P923" s="103" t="n">
        <x:f>N923-O923</x:f>
        <x:v>41.90565924409245</x:v>
      </x:c>
      <x:c r="Q923" s="103" t="n">
        <x:f>I923*'Inputs &amp; Guide'!$B$8</x:f>
        <x:v>1.371457938897571</x:v>
      </x:c>
      <x:c r="R923" s="104" t="n">
        <x:f>IFERROR(P923/Q923,0)</x:f>
        <x:v>30.555555555555557</x:v>
      </x:c>
      <x:c r="S923" s="105" t="n">
        <x:f>ROUND(E923*XLOOKUP(C923,'Reference Tables'!$E$4:$E$12,'Reference Tables'!$G$4:$G$12,1),1)</x:f>
        <x:v>5.4</x:v>
      </x:c>
      <x:c r="T923" s="106" t="str">
        <x:f>IF(R923&gt;='Inputs &amp; Guide'!$B$9,"HIGH",IF(R923&gt;=0.45,"WATCH","NORMAL"))</x:f>
        <x:v>HIGH</x:v>
      </x:c>
    </x:row>
    <x:row r="924">
      <x:c r="A924" s="95" t="n">
        <x:v>7361</x:v>
      </x:c>
      <x:c r="B924" s="96" t="n">
        <x:v>45598.4375</x:v>
      </x:c>
      <x:c r="C924" s="97" t="str">
        <x:v>Earthquake</x:v>
      </x:c>
      <x:c r="D924" s="97" t="str">
        <x:v>India</x:v>
      </x:c>
      <x:c r="E924" s="98" t="n">
        <x:v>3.5408979755862267</x:v>
      </x:c>
      <x:c r="F924" s="99" t="n">
        <x:v>726.7541397905347</x:v>
      </x:c>
      <x:c r="G924" s="100" t="str">
        <x:f>XLOOKUP(D924,'Reference Tables'!$A$4:$A$23,'Reference Tables'!$B$4:$B$23,"Other")</x:f>
        <x:v>Asia Pacific</x:v>
      </x:c>
      <x:c r="H924" s="100" t="str">
        <x:f>VLOOKUP(G924,'Reference Tables'!$I$4:$J$9,2,FALSE)</x:f>
        <x:v>High</x:v>
      </x:c>
      <x:c r="I924" s="101" t="n">
        <x:f>F924*'Inputs &amp; Guide'!$B$4*XLOOKUP(D924,'Reference Tables'!$A$4:$A$23,'Reference Tables'!$C$4:$C$23,0.75)</x:f>
        <x:v>105.81540275350186</x:v>
      </x:c>
      <x:c r="J924" s="102" t="n">
        <x:f>XLOOKUP(C924,'Reference Tables'!$E$4:$E$12,'Reference Tables'!$F$4:$F$12,0.05)</x:f>
        <x:v>0.14</x:v>
      </x:c>
      <x:c r="K924" s="103" t="n">
        <x:f>MIN(I924,F924*J924)</x:f>
        <x:v>101.74557957067488</x:v>
      </x:c>
      <x:c r="L924" s="103" t="n">
        <x:f>'Inputs &amp; Guide'!$B$5</x:f>
        <x:v>15</x:v>
      </x:c>
      <x:c r="M924" s="103" t="n">
        <x:f>I924*'Inputs &amp; Guide'!$B$6</x:f>
        <x:v>58.198471514426025</x:v>
      </x:c>
      <x:c r="N924" s="103" t="n">
        <x:f>MAX(0,MIN(K924-L924,M924))</x:f>
        <x:v>58.198471514426025</x:v>
      </x:c>
      <x:c r="O924" s="103" t="n">
        <x:f>MAX(0,N924-'Inputs &amp; Guide'!$B$7)</x:f>
        <x:v>0</x:v>
      </x:c>
      <x:c r="P924" s="103" t="n">
        <x:f>N924-O924</x:f>
        <x:v>58.198471514426025</x:v>
      </x:c>
      <x:c r="Q924" s="103" t="n">
        <x:f>I924*'Inputs &amp; Guide'!$B$8</x:f>
        <x:v>1.9046772495630333</x:v>
      </x:c>
      <x:c r="R924" s="104" t="n">
        <x:f>IFERROR(P924/Q924,0)</x:f>
        <x:v>30.55555555555556</x:v>
      </x:c>
      <x:c r="S924" s="105" t="n">
        <x:f>ROUND(E924*XLOOKUP(C924,'Reference Tables'!$E$4:$E$12,'Reference Tables'!$G$4:$G$12,1),1)</x:f>
        <x:v>5.3</x:v>
      </x:c>
      <x:c r="T924" s="106" t="str">
        <x:f>IF(R924&gt;='Inputs &amp; Guide'!$B$9,"HIGH",IF(R924&gt;=0.45,"WATCH","NORMAL"))</x:f>
        <x:v>HIGH</x:v>
      </x:c>
    </x:row>
    <x:row r="925">
      <x:c r="A925" s="95" t="n">
        <x:v>7369</x:v>
      </x:c>
      <x:c r="B925" s="96" t="n">
        <x:v>45599</x:v>
      </x:c>
      <x:c r="C925" s="97" t="str">
        <x:v>Flood</x:v>
      </x:c>
      <x:c r="D925" s="97" t="str">
        <x:v>Japan</x:v>
      </x:c>
      <x:c r="E925" s="98" t="n">
        <x:v>8.875271901910123</x:v>
      </x:c>
      <x:c r="F925" s="99" t="n">
        <x:v>525.7410808029153</x:v>
      </x:c>
      <x:c r="G925" s="100" t="str">
        <x:f>XLOOKUP(D925,'Reference Tables'!$A$4:$A$23,'Reference Tables'!$B$4:$B$23,"Other")</x:f>
        <x:v>Asia Pacific</x:v>
      </x:c>
      <x:c r="H925" s="100" t="str">
        <x:f>VLOOKUP(G925,'Reference Tables'!$I$4:$J$9,2,FALSE)</x:f>
        <x:v>High</x:v>
      </x:c>
      <x:c r="I925" s="101" t="n">
        <x:f>F925*'Inputs &amp; Guide'!$B$4*XLOOKUP(D925,'Reference Tables'!$A$4:$A$23,'Reference Tables'!$C$4:$C$23,0.75)</x:f>
        <x:v>99.25991605559042</x:v>
      </x:c>
      <x:c r="J925" s="102" t="n">
        <x:f>XLOOKUP(C925,'Reference Tables'!$E$4:$E$12,'Reference Tables'!$F$4:$F$12,0.05)</x:f>
        <x:v>0.12</x:v>
      </x:c>
      <x:c r="K925" s="103" t="n">
        <x:f>MIN(I925,F925*J925)</x:f>
        <x:v>63.08892969634984</x:v>
      </x:c>
      <x:c r="L925" s="103" t="n">
        <x:f>'Inputs &amp; Guide'!$B$5</x:f>
        <x:v>15</x:v>
      </x:c>
      <x:c r="M925" s="103" t="n">
        <x:f>I925*'Inputs &amp; Guide'!$B$6</x:f>
        <x:v>54.592953830574736</x:v>
      </x:c>
      <x:c r="N925" s="103" t="n">
        <x:f>MAX(0,MIN(K925-L925,M925))</x:f>
        <x:v>48.08892969634984</x:v>
      </x:c>
      <x:c r="O925" s="103" t="n">
        <x:f>MAX(0,N925-'Inputs &amp; Guide'!$B$7)</x:f>
        <x:v>0</x:v>
      </x:c>
      <x:c r="P925" s="103" t="n">
        <x:f>N925-O925</x:f>
        <x:v>48.08892969634984</x:v>
      </x:c>
      <x:c r="Q925" s="103" t="n">
        <x:f>I925*'Inputs &amp; Guide'!$B$8</x:f>
        <x:v>1.7866784890006275</x:v>
      </x:c>
      <x:c r="R925" s="104" t="n">
        <x:f>IFERROR(P925/Q925,0)</x:f>
        <x:v>26.915267627836172</x:v>
      </x:c>
      <x:c r="S925" s="105" t="n">
        <x:f>ROUND(E925*XLOOKUP(C925,'Reference Tables'!$E$4:$E$12,'Reference Tables'!$G$4:$G$12,1),1)</x:f>
        <x:v>11.1</x:v>
      </x:c>
      <x:c r="T925" s="106" t="str">
        <x:f>IF(R925&gt;='Inputs &amp; Guide'!$B$9,"HIGH",IF(R925&gt;=0.45,"WATCH","NORMAL"))</x:f>
        <x:v>HIGH</x:v>
      </x:c>
    </x:row>
    <x:row r="926">
      <x:c r="A926" s="95" t="n">
        <x:v>7377</x:v>
      </x:c>
      <x:c r="B926" s="96" t="n">
        <x:v>45599.104166666664</x:v>
      </x:c>
      <x:c r="C926" s="97" t="str">
        <x:v>Flood</x:v>
      </x:c>
      <x:c r="D926" s="97" t="str">
        <x:v>Indonesia</x:v>
      </x:c>
      <x:c r="E926" s="98" t="n">
        <x:v>1.5541413934664494</x:v>
      </x:c>
      <x:c r="F926" s="99" t="n">
        <x:v>776.9539638726479</x:v>
      </x:c>
      <x:c r="G926" s="100" t="str">
        <x:f>XLOOKUP(D926,'Reference Tables'!$A$4:$A$23,'Reference Tables'!$B$4:$B$23,"Other")</x:f>
        <x:v>Asia Pacific</x:v>
      </x:c>
      <x:c r="H926" s="100" t="str">
        <x:f>VLOOKUP(G926,'Reference Tables'!$I$4:$J$9,2,FALSE)</x:f>
        <x:v>High</x:v>
      </x:c>
      <x:c r="I926" s="101" t="n">
        <x:f>F926*'Inputs &amp; Guide'!$B$4*XLOOKUP(D926,'Reference Tables'!$A$4:$A$23,'Reference Tables'!$C$4:$C$23,0.75)</x:f>
        <x:v>128.04201324621238</x:v>
      </x:c>
      <x:c r="J926" s="102" t="n">
        <x:f>XLOOKUP(C926,'Reference Tables'!$E$4:$E$12,'Reference Tables'!$F$4:$F$12,0.05)</x:f>
        <x:v>0.12</x:v>
      </x:c>
      <x:c r="K926" s="103" t="n">
        <x:f>MIN(I926,F926*J926)</x:f>
        <x:v>93.23447566471775</x:v>
      </x:c>
      <x:c r="L926" s="103" t="n">
        <x:f>'Inputs &amp; Guide'!$B$5</x:f>
        <x:v>15</x:v>
      </x:c>
      <x:c r="M926" s="103" t="n">
        <x:f>I926*'Inputs &amp; Guide'!$B$6</x:f>
        <x:v>70.42310728541682</x:v>
      </x:c>
      <x:c r="N926" s="103" t="n">
        <x:f>MAX(0,MIN(K926-L926,M926))</x:f>
        <x:v>70.42310728541682</x:v>
      </x:c>
      <x:c r="O926" s="103" t="n">
        <x:f>MAX(0,N926-'Inputs &amp; Guide'!$B$7)</x:f>
        <x:v>10.423107285416819</x:v>
      </x:c>
      <x:c r="P926" s="103" t="n">
        <x:f>N926-O926</x:f>
        <x:v>60</x:v>
      </x:c>
      <x:c r="Q926" s="103" t="n">
        <x:f>I926*'Inputs &amp; Guide'!$B$8</x:f>
        <x:v>2.3047562384318225</x:v>
      </x:c>
      <x:c r="R926" s="104" t="n">
        <x:f>IFERROR(P926/Q926,0)</x:f>
        <x:v>26.033121854493626</x:v>
      </x:c>
      <x:c r="S926" s="105" t="n">
        <x:f>ROUND(E926*XLOOKUP(C926,'Reference Tables'!$E$4:$E$12,'Reference Tables'!$G$4:$G$12,1),1)</x:f>
        <x:v>1.9</x:v>
      </x:c>
      <x:c r="T926" s="106" t="str">
        <x:f>IF(R926&gt;='Inputs &amp; Guide'!$B$9,"HIGH",IF(R926&gt;=0.45,"WATCH","NORMAL"))</x:f>
        <x:v>HIGH</x:v>
      </x:c>
    </x:row>
    <x:row r="927">
      <x:c r="A927" s="95" t="n">
        <x:v>7385</x:v>
      </x:c>
      <x:c r="B927" s="96" t="n">
        <x:v>45599.4375</x:v>
      </x:c>
      <x:c r="C927" s="97" t="str">
        <x:v>Earthquake</x:v>
      </x:c>
      <x:c r="D927" s="97" t="str">
        <x:v>Japan</x:v>
      </x:c>
      <x:c r="E927" s="98" t="n">
        <x:v>9.620220013911224</x:v>
      </x:c>
      <x:c r="F927" s="99" t="n">
        <x:v>557.2544908417577</x:v>
      </x:c>
      <x:c r="G927" s="100" t="str">
        <x:f>XLOOKUP(D927,'Reference Tables'!$A$4:$A$23,'Reference Tables'!$B$4:$B$23,"Other")</x:f>
        <x:v>Asia Pacific</x:v>
      </x:c>
      <x:c r="H927" s="100" t="str">
        <x:f>VLOOKUP(G927,'Reference Tables'!$I$4:$J$9,2,FALSE)</x:f>
        <x:v>High</x:v>
      </x:c>
      <x:c r="I927" s="101" t="n">
        <x:f>F927*'Inputs &amp; Guide'!$B$4*XLOOKUP(D927,'Reference Tables'!$A$4:$A$23,'Reference Tables'!$C$4:$C$23,0.75)</x:f>
        <x:v>105.20964787092386</x:v>
      </x:c>
      <x:c r="J927" s="102" t="n">
        <x:f>XLOOKUP(C927,'Reference Tables'!$E$4:$E$12,'Reference Tables'!$F$4:$F$12,0.05)</x:f>
        <x:v>0.14</x:v>
      </x:c>
      <x:c r="K927" s="103" t="n">
        <x:f>MIN(I927,F927*J927)</x:f>
        <x:v>78.01562871784608</x:v>
      </x:c>
      <x:c r="L927" s="103" t="n">
        <x:f>'Inputs &amp; Guide'!$B$5</x:f>
        <x:v>15</x:v>
      </x:c>
      <x:c r="M927" s="103" t="n">
        <x:f>I927*'Inputs &amp; Guide'!$B$6</x:f>
        <x:v>57.86530632900813</x:v>
      </x:c>
      <x:c r="N927" s="103" t="n">
        <x:f>MAX(0,MIN(K927-L927,M927))</x:f>
        <x:v>57.86530632900813</x:v>
      </x:c>
      <x:c r="O927" s="103" t="n">
        <x:f>MAX(0,N927-'Inputs &amp; Guide'!$B$7)</x:f>
        <x:v>0</x:v>
      </x:c>
      <x:c r="P927" s="103" t="n">
        <x:f>N927-O927</x:f>
        <x:v>57.86530632900813</x:v>
      </x:c>
      <x:c r="Q927" s="103" t="n">
        <x:f>I927*'Inputs &amp; Guide'!$B$8</x:f>
        <x:v>1.8937736616766294</x:v>
      </x:c>
      <x:c r="R927" s="104" t="n">
        <x:f>IFERROR(P927/Q927,0)</x:f>
        <x:v>30.55555555555556</x:v>
      </x:c>
      <x:c r="S927" s="105" t="n">
        <x:f>ROUND(E927*XLOOKUP(C927,'Reference Tables'!$E$4:$E$12,'Reference Tables'!$G$4:$G$12,1),1)</x:f>
        <x:v>14.4</x:v>
      </x:c>
      <x:c r="T927" s="106" t="str">
        <x:f>IF(R927&gt;='Inputs &amp; Guide'!$B$9,"HIGH",IF(R927&gt;=0.45,"WATCH","NORMAL"))</x:f>
        <x:v>HIGH</x:v>
      </x:c>
    </x:row>
    <x:row r="928">
      <x:c r="A928" s="95" t="n">
        <x:v>7393</x:v>
      </x:c>
      <x:c r="B928" s="96" t="n">
        <x:v>45600</x:v>
      </x:c>
      <x:c r="C928" s="97" t="str">
        <x:v>Tornado</x:v>
      </x:c>
      <x:c r="D928" s="97" t="str">
        <x:v>Japan</x:v>
      </x:c>
      <x:c r="E928" s="98" t="n">
        <x:v>8.719344849608206</x:v>
      </x:c>
      <x:c r="F928" s="99" t="n">
        <x:v>660.7336966803236</x:v>
      </x:c>
      <x:c r="G928" s="100" t="str">
        <x:f>XLOOKUP(D928,'Reference Tables'!$A$4:$A$23,'Reference Tables'!$B$4:$B$23,"Other")</x:f>
        <x:v>Asia Pacific</x:v>
      </x:c>
      <x:c r="H928" s="100" t="str">
        <x:f>VLOOKUP(G928,'Reference Tables'!$I$4:$J$9,2,FALSE)</x:f>
        <x:v>High</x:v>
      </x:c>
      <x:c r="I928" s="101" t="n">
        <x:f>F928*'Inputs &amp; Guide'!$B$4*XLOOKUP(D928,'Reference Tables'!$A$4:$A$23,'Reference Tables'!$C$4:$C$23,0.75)</x:f>
        <x:v>124.7465219332451</x:v>
      </x:c>
      <x:c r="J928" s="102" t="n">
        <x:f>XLOOKUP(C928,'Reference Tables'!$E$4:$E$12,'Reference Tables'!$F$4:$F$12,0.05)</x:f>
        <x:v>0.09</x:v>
      </x:c>
      <x:c r="K928" s="103" t="n">
        <x:f>MIN(I928,F928*J928)</x:f>
        <x:v>59.466032701229125</x:v>
      </x:c>
      <x:c r="L928" s="103" t="n">
        <x:f>'Inputs &amp; Guide'!$B$5</x:f>
        <x:v>15</x:v>
      </x:c>
      <x:c r="M928" s="103" t="n">
        <x:f>I928*'Inputs &amp; Guide'!$B$6</x:f>
        <x:v>68.61058706328481</x:v>
      </x:c>
      <x:c r="N928" s="103" t="n">
        <x:f>MAX(0,MIN(K928-L928,M928))</x:f>
        <x:v>44.466032701229125</x:v>
      </x:c>
      <x:c r="O928" s="103" t="n">
        <x:f>MAX(0,N928-'Inputs &amp; Guide'!$B$7)</x:f>
        <x:v>0</x:v>
      </x:c>
      <x:c r="P928" s="103" t="n">
        <x:f>N928-O928</x:f>
        <x:v>44.466032701229125</x:v>
      </x:c>
      <x:c r="Q928" s="103" t="n">
        <x:f>I928*'Inputs &amp; Guide'!$B$8</x:f>
        <x:v>2.2454373947984116</x:v>
      </x:c>
      <x:c r="R928" s="104" t="n">
        <x:f>IFERROR(P928/Q928,0)</x:f>
        <x:v>19.802837881045065</x:v>
      </x:c>
      <x:c r="S928" s="105" t="n">
        <x:f>ROUND(E928*XLOOKUP(C928,'Reference Tables'!$E$4:$E$12,'Reference Tables'!$G$4:$G$12,1),1)</x:f>
        <x:v>9.2</x:v>
      </x:c>
      <x:c r="T928" s="106" t="str">
        <x:f>IF(R928&gt;='Inputs &amp; Guide'!$B$9,"HIGH",IF(R928&gt;=0.45,"WATCH","NORMAL"))</x:f>
        <x:v>HIGH</x:v>
      </x:c>
    </x:row>
    <x:row r="929">
      <x:c r="A929" s="95" t="n">
        <x:v>7401</x:v>
      </x:c>
      <x:c r="B929" s="96" t="n">
        <x:v>45600.104166666664</x:v>
      </x:c>
      <x:c r="C929" s="97" t="str">
        <x:v>Earthquake</x:v>
      </x:c>
      <x:c r="D929" s="97" t="str">
        <x:v>Indonesia</x:v>
      </x:c>
      <x:c r="E929" s="98" t="n">
        <x:v>3.518016347183198</x:v>
      </x:c>
      <x:c r="F929" s="99" t="n">
        <x:v>413.3638584320834</x:v>
      </x:c>
      <x:c r="G929" s="100" t="str">
        <x:f>XLOOKUP(D929,'Reference Tables'!$A$4:$A$23,'Reference Tables'!$B$4:$B$23,"Other")</x:f>
        <x:v>Asia Pacific</x:v>
      </x:c>
      <x:c r="H929" s="100" t="str">
        <x:f>VLOOKUP(G929,'Reference Tables'!$I$4:$J$9,2,FALSE)</x:f>
        <x:v>High</x:v>
      </x:c>
      <x:c r="I929" s="101" t="n">
        <x:f>F929*'Inputs &amp; Guide'!$B$4*XLOOKUP(D929,'Reference Tables'!$A$4:$A$23,'Reference Tables'!$C$4:$C$23,0.75)</x:f>
        <x:v>68.12236386960734</x:v>
      </x:c>
      <x:c r="J929" s="102" t="n">
        <x:f>XLOOKUP(C929,'Reference Tables'!$E$4:$E$12,'Reference Tables'!$F$4:$F$12,0.05)</x:f>
        <x:v>0.14</x:v>
      </x:c>
      <x:c r="K929" s="103" t="n">
        <x:f>MIN(I929,F929*J929)</x:f>
        <x:v>57.87094018049169</x:v>
      </x:c>
      <x:c r="L929" s="103" t="n">
        <x:f>'Inputs &amp; Guide'!$B$5</x:f>
        <x:v>15</x:v>
      </x:c>
      <x:c r="M929" s="103" t="n">
        <x:f>I929*'Inputs &amp; Guide'!$B$6</x:f>
        <x:v>37.46730012828404</x:v>
      </x:c>
      <x:c r="N929" s="103" t="n">
        <x:f>MAX(0,MIN(K929-L929,M929))</x:f>
        <x:v>37.46730012828404</x:v>
      </x:c>
      <x:c r="O929" s="103" t="n">
        <x:f>MAX(0,N929-'Inputs &amp; Guide'!$B$7)</x:f>
        <x:v>0</x:v>
      </x:c>
      <x:c r="P929" s="103" t="n">
        <x:f>N929-O929</x:f>
        <x:v>37.46730012828404</x:v>
      </x:c>
      <x:c r="Q929" s="103" t="n">
        <x:f>I929*'Inputs &amp; Guide'!$B$8</x:f>
        <x:v>1.226202549652932</x:v>
      </x:c>
      <x:c r="R929" s="104" t="n">
        <x:f>IFERROR(P929/Q929,0)</x:f>
        <x:v>30.555555555555557</x:v>
      </x:c>
      <x:c r="S929" s="105" t="n">
        <x:f>ROUND(E929*XLOOKUP(C929,'Reference Tables'!$E$4:$E$12,'Reference Tables'!$G$4:$G$12,1),1)</x:f>
        <x:v>5.3</x:v>
      </x:c>
      <x:c r="T929" s="106" t="str">
        <x:f>IF(R929&gt;='Inputs &amp; Guide'!$B$9,"HIGH",IF(R929&gt;=0.45,"WATCH","NORMAL"))</x:f>
        <x:v>HIGH</x:v>
      </x:c>
    </x:row>
    <x:row r="930">
      <x:c r="A930" s="95" t="n">
        <x:v>7409</x:v>
      </x:c>
      <x:c r="B930" s="96" t="n">
        <x:v>45600.4375</x:v>
      </x:c>
      <x:c r="C930" s="97" t="str">
        <x:v>Flood</x:v>
      </x:c>
      <x:c r="D930" s="97" t="str">
        <x:v>China</x:v>
      </x:c>
      <x:c r="E930" s="98" t="n">
        <x:v>7.5698330974695995</x:v>
      </x:c>
      <x:c r="F930" s="99" t="n">
        <x:v>72.94424171662716</x:v>
      </x:c>
      <x:c r="G930" s="100" t="str">
        <x:f>XLOOKUP(D930,'Reference Tables'!$A$4:$A$23,'Reference Tables'!$B$4:$B$23,"Other")</x:f>
        <x:v>Asia Pacific</x:v>
      </x:c>
      <x:c r="H930" s="100" t="str">
        <x:f>VLOOKUP(G930,'Reference Tables'!$I$4:$J$9,2,FALSE)</x:f>
        <x:v>High</x:v>
      </x:c>
      <x:c r="I930" s="101" t="n">
        <x:f>F930*'Inputs &amp; Guide'!$B$4*XLOOKUP(D930,'Reference Tables'!$A$4:$A$23,'Reference Tables'!$C$4:$C$23,0.75)</x:f>
        <x:v>12.604764968633175</x:v>
      </x:c>
      <x:c r="J930" s="102" t="n">
        <x:f>XLOOKUP(C930,'Reference Tables'!$E$4:$E$12,'Reference Tables'!$F$4:$F$12,0.05)</x:f>
        <x:v>0.12</x:v>
      </x:c>
      <x:c r="K930" s="103" t="n">
        <x:f>MIN(I930,F930*J930)</x:f>
        <x:v>8.75330900599526</x:v>
      </x:c>
      <x:c r="L930" s="103" t="n">
        <x:f>'Inputs &amp; Guide'!$B$5</x:f>
        <x:v>15</x:v>
      </x:c>
      <x:c r="M930" s="103" t="n">
        <x:f>I930*'Inputs &amp; Guide'!$B$6</x:f>
        <x:v>6.932620732748247</x:v>
      </x:c>
      <x:c r="N930" s="103" t="n">
        <x:f>MAX(0,MIN(K930-L930,M930))</x:f>
        <x:v>0</x:v>
      </x:c>
      <x:c r="O930" s="103" t="n">
        <x:f>MAX(0,N930-'Inputs &amp; Guide'!$B$7)</x:f>
        <x:v>0</x:v>
      </x:c>
      <x:c r="P930" s="103" t="n">
        <x:f>N930-O930</x:f>
        <x:v>0</x:v>
      </x:c>
      <x:c r="Q930" s="103" t="n">
        <x:f>I930*'Inputs &amp; Guide'!$B$8</x:f>
        <x:v>0.22688576943539712</x:v>
      </x:c>
      <x:c r="R930" s="104" t="n">
        <x:f>IFERROR(P930/Q930,0)</x:f>
        <x:v>0</x:v>
      </x:c>
      <x:c r="S930" s="105" t="n">
        <x:f>ROUND(E930*XLOOKUP(C930,'Reference Tables'!$E$4:$E$12,'Reference Tables'!$G$4:$G$12,1),1)</x:f>
        <x:v>9.5</x:v>
      </x:c>
      <x:c r="T930" s="106" t="str">
        <x:f>IF(R930&gt;='Inputs &amp; Guide'!$B$9,"HIGH",IF(R930&gt;=0.45,"WATCH","NORMAL"))</x:f>
        <x:v>NORMAL</x:v>
      </x:c>
    </x:row>
    <x:row r="931">
      <x:c r="A931" s="95" t="n">
        <x:v>7417</x:v>
      </x:c>
      <x:c r="B931" s="96" t="n">
        <x:v>45601</x:v>
      </x:c>
      <x:c r="C931" s="97" t="str">
        <x:v>Hurricane</x:v>
      </x:c>
      <x:c r="D931" s="97" t="str">
        <x:v>USA</x:v>
      </x:c>
      <x:c r="E931" s="98" t="n">
        <x:v>4.289217775564504</x:v>
      </x:c>
      <x:c r="F931" s="99" t="n">
        <x:v>140.3519661575373</x:v>
      </x:c>
      <x:c r="G931" s="100" t="str">
        <x:f>XLOOKUP(D931,'Reference Tables'!$A$4:$A$23,'Reference Tables'!$B$4:$B$23,"Other")</x:f>
        <x:v>Other</x:v>
      </x:c>
      <x:c r="H931" s="100" t="str">
        <x:f>VLOOKUP(G931,'Reference Tables'!$I$4:$J$9,2,FALSE)</x:f>
        <x:v>Moderate</x:v>
      </x:c>
      <x:c r="I931" s="101" t="n">
        <x:f>F931*'Inputs &amp; Guide'!$B$4*XLOOKUP(D931,'Reference Tables'!$A$4:$A$23,'Reference Tables'!$C$4:$C$23,0.75)</x:f>
        <x:v>16.842235938904476</x:v>
      </x:c>
      <x:c r="J931" s="102" t="n">
        <x:f>XLOOKUP(C931,'Reference Tables'!$E$4:$E$12,'Reference Tables'!$F$4:$F$12,0.05)</x:f>
        <x:v>0.18</x:v>
      </x:c>
      <x:c r="K931" s="103" t="n">
        <x:f>MIN(I931,F931*J931)</x:f>
        <x:v>16.842235938904476</x:v>
      </x:c>
      <x:c r="L931" s="103" t="n">
        <x:f>'Inputs &amp; Guide'!$B$5</x:f>
        <x:v>15</x:v>
      </x:c>
      <x:c r="M931" s="103" t="n">
        <x:f>I931*'Inputs &amp; Guide'!$B$6</x:f>
        <x:v>9.263229766397464</x:v>
      </x:c>
      <x:c r="N931" s="103" t="n">
        <x:f>MAX(0,MIN(K931-L931,M931))</x:f>
        <x:v>1.8422359389044765</x:v>
      </x:c>
      <x:c r="O931" s="103" t="n">
        <x:f>MAX(0,N931-'Inputs &amp; Guide'!$B$7)</x:f>
        <x:v>0</x:v>
      </x:c>
      <x:c r="P931" s="103" t="n">
        <x:f>N931-O931</x:f>
        <x:v>1.8422359389044765</x:v>
      </x:c>
      <x:c r="Q931" s="103" t="n">
        <x:f>I931*'Inputs &amp; Guide'!$B$8</x:f>
        <x:v>0.30316024690028054</x:v>
      </x:c>
      <x:c r="R931" s="104" t="n">
        <x:f>IFERROR(P931/Q931,0)</x:f>
        <x:v>6.076772788453524</x:v>
      </x:c>
      <x:c r="S931" s="105" t="n">
        <x:f>ROUND(E931*XLOOKUP(C931,'Reference Tables'!$E$4:$E$12,'Reference Tables'!$G$4:$G$12,1),1)</x:f>
        <x:v>6</x:v>
      </x:c>
      <x:c r="T931" s="106" t="str">
        <x:f>IF(R931&gt;='Inputs &amp; Guide'!$B$9,"HIGH",IF(R931&gt;=0.45,"WATCH","NORMAL"))</x:f>
        <x:v>HIGH</x:v>
      </x:c>
    </x:row>
    <x:row r="932">
      <x:c r="A932" s="95" t="n">
        <x:v>7425</x:v>
      </x:c>
      <x:c r="B932" s="96" t="n">
        <x:v>45601.104166666664</x:v>
      </x:c>
      <x:c r="C932" s="97" t="str">
        <x:v>Earthquake</x:v>
      </x:c>
      <x:c r="D932" s="97" t="str">
        <x:v>Indonesia</x:v>
      </x:c>
      <x:c r="E932" s="98" t="n">
        <x:v>9.093786138103196</x:v>
      </x:c>
      <x:c r="F932" s="99" t="n">
        <x:v>389.4565038188614</x:v>
      </x:c>
      <x:c r="G932" s="100" t="str">
        <x:f>XLOOKUP(D932,'Reference Tables'!$A$4:$A$23,'Reference Tables'!$B$4:$B$23,"Other")</x:f>
        <x:v>Asia Pacific</x:v>
      </x:c>
      <x:c r="H932" s="100" t="str">
        <x:f>VLOOKUP(G932,'Reference Tables'!$I$4:$J$9,2,FALSE)</x:f>
        <x:v>High</x:v>
      </x:c>
      <x:c r="I932" s="101" t="n">
        <x:f>F932*'Inputs &amp; Guide'!$B$4*XLOOKUP(D932,'Reference Tables'!$A$4:$A$23,'Reference Tables'!$C$4:$C$23,0.75)</x:f>
        <x:v>64.18243182934836</x:v>
      </x:c>
      <x:c r="J932" s="102" t="n">
        <x:f>XLOOKUP(C932,'Reference Tables'!$E$4:$E$12,'Reference Tables'!$F$4:$F$12,0.05)</x:f>
        <x:v>0.14</x:v>
      </x:c>
      <x:c r="K932" s="103" t="n">
        <x:f>MIN(I932,F932*J932)</x:f>
        <x:v>54.5239105346406</x:v>
      </x:c>
      <x:c r="L932" s="103" t="n">
        <x:f>'Inputs &amp; Guide'!$B$5</x:f>
        <x:v>15</x:v>
      </x:c>
      <x:c r="M932" s="103" t="n">
        <x:f>I932*'Inputs &amp; Guide'!$B$6</x:f>
        <x:v>35.3003375061416</x:v>
      </x:c>
      <x:c r="N932" s="103" t="n">
        <x:f>MAX(0,MIN(K932-L932,M932))</x:f>
        <x:v>35.3003375061416</x:v>
      </x:c>
      <x:c r="O932" s="103" t="n">
        <x:f>MAX(0,N932-'Inputs &amp; Guide'!$B$7)</x:f>
        <x:v>0</x:v>
      </x:c>
      <x:c r="P932" s="103" t="n">
        <x:f>N932-O932</x:f>
        <x:v>35.3003375061416</x:v>
      </x:c>
      <x:c r="Q932" s="103" t="n">
        <x:f>I932*'Inputs &amp; Guide'!$B$8</x:f>
        <x:v>1.1552837729282703</x:v>
      </x:c>
      <x:c r="R932" s="104" t="n">
        <x:f>IFERROR(P932/Q932,0)</x:f>
        <x:v>30.555555555555564</x:v>
      </x:c>
      <x:c r="S932" s="105" t="n">
        <x:f>ROUND(E932*XLOOKUP(C932,'Reference Tables'!$E$4:$E$12,'Reference Tables'!$G$4:$G$12,1),1)</x:f>
        <x:v>13.6</x:v>
      </x:c>
      <x:c r="T932" s="106" t="str">
        <x:f>IF(R932&gt;='Inputs &amp; Guide'!$B$9,"HIGH",IF(R932&gt;=0.45,"WATCH","NORMAL"))</x:f>
        <x:v>HIGH</x:v>
      </x:c>
    </x:row>
    <x:row r="933">
      <x:c r="A933" s="95" t="n">
        <x:v>7433</x:v>
      </x:c>
      <x:c r="B933" s="96" t="n">
        <x:v>45601.4375</x:v>
      </x:c>
      <x:c r="C933" s="97" t="str">
        <x:v>Earthquake</x:v>
      </x:c>
      <x:c r="D933" s="97" t="str">
        <x:v>China</x:v>
      </x:c>
      <x:c r="E933" s="98" t="n">
        <x:v>4.103844335870745</x:v>
      </x:c>
      <x:c r="F933" s="99" t="n">
        <x:v>656.841154253215</x:v>
      </x:c>
      <x:c r="G933" s="100" t="str">
        <x:f>XLOOKUP(D933,'Reference Tables'!$A$4:$A$23,'Reference Tables'!$B$4:$B$23,"Other")</x:f>
        <x:v>Asia Pacific</x:v>
      </x:c>
      <x:c r="H933" s="100" t="str">
        <x:f>VLOOKUP(G933,'Reference Tables'!$I$4:$J$9,2,FALSE)</x:f>
        <x:v>High</x:v>
      </x:c>
      <x:c r="I933" s="101" t="n">
        <x:f>F933*'Inputs &amp; Guide'!$B$4*XLOOKUP(D933,'Reference Tables'!$A$4:$A$23,'Reference Tables'!$C$4:$C$23,0.75)</x:f>
        <x:v>113.50215145495557</x:v>
      </x:c>
      <x:c r="J933" s="102" t="n">
        <x:f>XLOOKUP(C933,'Reference Tables'!$E$4:$E$12,'Reference Tables'!$F$4:$F$12,0.05)</x:f>
        <x:v>0.14</x:v>
      </x:c>
      <x:c r="K933" s="103" t="n">
        <x:f>MIN(I933,F933*J933)</x:f>
        <x:v>91.95776159545011</x:v>
      </x:c>
      <x:c r="L933" s="103" t="n">
        <x:f>'Inputs &amp; Guide'!$B$5</x:f>
        <x:v>15</x:v>
      </x:c>
      <x:c r="M933" s="103" t="n">
        <x:f>I933*'Inputs &amp; Guide'!$B$6</x:f>
        <x:v>62.42618330022557</x:v>
      </x:c>
      <x:c r="N933" s="103" t="n">
        <x:f>MAX(0,MIN(K933-L933,M933))</x:f>
        <x:v>62.42618330022557</x:v>
      </x:c>
      <x:c r="O933" s="103" t="n">
        <x:f>MAX(0,N933-'Inputs &amp; Guide'!$B$7)</x:f>
        <x:v>2.426183300225567</x:v>
      </x:c>
      <x:c r="P933" s="103" t="n">
        <x:f>N933-O933</x:f>
        <x:v>60</x:v>
      </x:c>
      <x:c r="Q933" s="103" t="n">
        <x:f>I933*'Inputs &amp; Guide'!$B$8</x:f>
        <x:v>2.0430387261892</x:v>
      </x:c>
      <x:c r="R933" s="104" t="n">
        <x:f>IFERROR(P933/Q933,0)</x:f>
        <x:v>29.36801893712296</x:v>
      </x:c>
      <x:c r="S933" s="105" t="n">
        <x:f>ROUND(E933*XLOOKUP(C933,'Reference Tables'!$E$4:$E$12,'Reference Tables'!$G$4:$G$12,1),1)</x:f>
        <x:v>6.2</x:v>
      </x:c>
      <x:c r="T933" s="106" t="str">
        <x:f>IF(R933&gt;='Inputs &amp; Guide'!$B$9,"HIGH",IF(R933&gt;=0.45,"WATCH","NORMAL"))</x:f>
        <x:v>HIGH</x:v>
      </x:c>
    </x:row>
    <x:row r="934">
      <x:c r="A934" s="95" t="n">
        <x:v>7441</x:v>
      </x:c>
      <x:c r="B934" s="96" t="n">
        <x:v>45602</x:v>
      </x:c>
      <x:c r="C934" s="97" t="str">
        <x:v>Wildfire</x:v>
      </x:c>
      <x:c r="D934" s="97" t="str">
        <x:v>Indonesia</x:v>
      </x:c>
      <x:c r="E934" s="98" t="n">
        <x:v>3.5979718685283086</x:v>
      </x:c>
      <x:c r="F934" s="99" t="n">
        <x:v>950.2667215492412</x:v>
      </x:c>
      <x:c r="G934" s="100" t="str">
        <x:f>XLOOKUP(D934,'Reference Tables'!$A$4:$A$23,'Reference Tables'!$B$4:$B$23,"Other")</x:f>
        <x:v>Asia Pacific</x:v>
      </x:c>
      <x:c r="H934" s="100" t="str">
        <x:f>VLOOKUP(G934,'Reference Tables'!$I$4:$J$9,2,FALSE)</x:f>
        <x:v>High</x:v>
      </x:c>
      <x:c r="I934" s="101" t="n">
        <x:f>F934*'Inputs &amp; Guide'!$B$4*XLOOKUP(D934,'Reference Tables'!$A$4:$A$23,'Reference Tables'!$C$4:$C$23,0.75)</x:f>
        <x:v>156.60395571131497</x:v>
      </x:c>
      <x:c r="J934" s="102" t="n">
        <x:f>XLOOKUP(C934,'Reference Tables'!$E$4:$E$12,'Reference Tables'!$F$4:$F$12,0.05)</x:f>
        <x:v>0.1</x:v>
      </x:c>
      <x:c r="K934" s="103" t="n">
        <x:f>MIN(I934,F934*J934)</x:f>
        <x:v>95.02667215492413</x:v>
      </x:c>
      <x:c r="L934" s="103" t="n">
        <x:f>'Inputs &amp; Guide'!$B$5</x:f>
        <x:v>15</x:v>
      </x:c>
      <x:c r="M934" s="103" t="n">
        <x:f>I934*'Inputs &amp; Guide'!$B$6</x:f>
        <x:v>86.13217564122324</x:v>
      </x:c>
      <x:c r="N934" s="103" t="n">
        <x:f>MAX(0,MIN(K934-L934,M934))</x:f>
        <x:v>80.02667215492413</x:v>
      </x:c>
      <x:c r="O934" s="103" t="n">
        <x:f>MAX(0,N934-'Inputs &amp; Guide'!$B$7)</x:f>
        <x:v>20.026672154924128</x:v>
      </x:c>
      <x:c r="P934" s="103" t="n">
        <x:f>N934-O934</x:f>
        <x:v>60</x:v>
      </x:c>
      <x:c r="Q934" s="103" t="n">
        <x:f>I934*'Inputs &amp; Guide'!$B$8</x:f>
        <x:v>2.818871202803669</x:v>
      </x:c>
      <x:c r="R934" s="104" t="n">
        <x:f>IFERROR(P934/Q934,0)</x:f>
        <x:v>21.285115808172993</x:v>
      </x:c>
      <x:c r="S934" s="105" t="n">
        <x:f>ROUND(E934*XLOOKUP(C934,'Reference Tables'!$E$4:$E$12,'Reference Tables'!$G$4:$G$12,1),1)</x:f>
        <x:v>4.1</x:v>
      </x:c>
      <x:c r="T934" s="106" t="str">
        <x:f>IF(R934&gt;='Inputs &amp; Guide'!$B$9,"HIGH",IF(R934&gt;=0.45,"WATCH","NORMAL"))</x:f>
        <x:v>HIGH</x:v>
      </x:c>
    </x:row>
    <x:row r="935">
      <x:c r="A935" s="95" t="n">
        <x:v>7449</x:v>
      </x:c>
      <x:c r="B935" s="96" t="n">
        <x:v>45602.104166666664</x:v>
      </x:c>
      <x:c r="C935" s="97" t="str">
        <x:v>Flood</x:v>
      </x:c>
      <x:c r="D935" s="97" t="str">
        <x:v>Indonesia</x:v>
      </x:c>
      <x:c r="E935" s="98" t="n">
        <x:v>6.066409841359427</x:v>
      </x:c>
      <x:c r="F935" s="99" t="n">
        <x:v>70.57970004812879</x:v>
      </x:c>
      <x:c r="G935" s="100" t="str">
        <x:f>XLOOKUP(D935,'Reference Tables'!$A$4:$A$23,'Reference Tables'!$B$4:$B$23,"Other")</x:f>
        <x:v>Asia Pacific</x:v>
      </x:c>
      <x:c r="H935" s="100" t="str">
        <x:f>VLOOKUP(G935,'Reference Tables'!$I$4:$J$9,2,FALSE)</x:f>
        <x:v>High</x:v>
      </x:c>
      <x:c r="I935" s="101" t="n">
        <x:f>F935*'Inputs &amp; Guide'!$B$4*XLOOKUP(D935,'Reference Tables'!$A$4:$A$23,'Reference Tables'!$C$4:$C$23,0.75)</x:f>
        <x:v>11.631534567931626</x:v>
      </x:c>
      <x:c r="J935" s="102" t="n">
        <x:f>XLOOKUP(C935,'Reference Tables'!$E$4:$E$12,'Reference Tables'!$F$4:$F$12,0.05)</x:f>
        <x:v>0.12</x:v>
      </x:c>
      <x:c r="K935" s="103" t="n">
        <x:f>MIN(I935,F935*J935)</x:f>
        <x:v>8.469564005775453</x:v>
      </x:c>
      <x:c r="L935" s="103" t="n">
        <x:f>'Inputs &amp; Guide'!$B$5</x:f>
        <x:v>15</x:v>
      </x:c>
      <x:c r="M935" s="103" t="n">
        <x:f>I935*'Inputs &amp; Guide'!$B$6</x:f>
        <x:v>6.397344012362394</x:v>
      </x:c>
      <x:c r="N935" s="103" t="n">
        <x:f>MAX(0,MIN(K935-L935,M935))</x:f>
        <x:v>0</x:v>
      </x:c>
      <x:c r="O935" s="103" t="n">
        <x:f>MAX(0,N935-'Inputs &amp; Guide'!$B$7)</x:f>
        <x:v>0</x:v>
      </x:c>
      <x:c r="P935" s="103" t="n">
        <x:f>N935-O935</x:f>
        <x:v>0</x:v>
      </x:c>
      <x:c r="Q935" s="103" t="n">
        <x:f>I935*'Inputs &amp; Guide'!$B$8</x:f>
        <x:v>0.20936762222276925</x:v>
      </x:c>
      <x:c r="R935" s="104" t="n">
        <x:f>IFERROR(P935/Q935,0)</x:f>
        <x:v>0</x:v>
      </x:c>
      <x:c r="S935" s="105" t="n">
        <x:f>ROUND(E935*XLOOKUP(C935,'Reference Tables'!$E$4:$E$12,'Reference Tables'!$G$4:$G$12,1),1)</x:f>
        <x:v>7.6</x:v>
      </x:c>
      <x:c r="T935" s="106" t="str">
        <x:f>IF(R935&gt;='Inputs &amp; Guide'!$B$9,"HIGH",IF(R935&gt;=0.45,"WATCH","NORMAL"))</x:f>
        <x:v>NORMAL</x:v>
      </x:c>
    </x:row>
    <x:row r="936">
      <x:c r="A936" s="95" t="n">
        <x:v>7457</x:v>
      </x:c>
      <x:c r="B936" s="96" t="n">
        <x:v>45602.4375</x:v>
      </x:c>
      <x:c r="C936" s="97" t="str">
        <x:v>Wildfire</x:v>
      </x:c>
      <x:c r="D936" s="97" t="str">
        <x:v>Indonesia</x:v>
      </x:c>
      <x:c r="E936" s="98" t="n">
        <x:v>8.540046014365716</x:v>
      </x:c>
      <x:c r="F936" s="99" t="n">
        <x:v>647.8256812484536</x:v>
      </x:c>
      <x:c r="G936" s="100" t="str">
        <x:f>XLOOKUP(D936,'Reference Tables'!$A$4:$A$23,'Reference Tables'!$B$4:$B$23,"Other")</x:f>
        <x:v>Asia Pacific</x:v>
      </x:c>
      <x:c r="H936" s="100" t="str">
        <x:f>VLOOKUP(G936,'Reference Tables'!$I$4:$J$9,2,FALSE)</x:f>
        <x:v>High</x:v>
      </x:c>
      <x:c r="I936" s="101" t="n">
        <x:f>F936*'Inputs &amp; Guide'!$B$4*XLOOKUP(D936,'Reference Tables'!$A$4:$A$23,'Reference Tables'!$C$4:$C$23,0.75)</x:f>
        <x:v>106.76167226974516</x:v>
      </x:c>
      <x:c r="J936" s="102" t="n">
        <x:f>XLOOKUP(C936,'Reference Tables'!$E$4:$E$12,'Reference Tables'!$F$4:$F$12,0.05)</x:f>
        <x:v>0.1</x:v>
      </x:c>
      <x:c r="K936" s="103" t="n">
        <x:f>MIN(I936,F936*J936)</x:f>
        <x:v>64.78256812484537</x:v>
      </x:c>
      <x:c r="L936" s="103" t="n">
        <x:f>'Inputs &amp; Guide'!$B$5</x:f>
        <x:v>15</x:v>
      </x:c>
      <x:c r="M936" s="103" t="n">
        <x:f>I936*'Inputs &amp; Guide'!$B$6</x:f>
        <x:v>58.718919748359845</x:v>
      </x:c>
      <x:c r="N936" s="103" t="n">
        <x:f>MAX(0,MIN(K936-L936,M936))</x:f>
        <x:v>49.78256812484537</x:v>
      </x:c>
      <x:c r="O936" s="103" t="n">
        <x:f>MAX(0,N936-'Inputs &amp; Guide'!$B$7)</x:f>
        <x:v>0</x:v>
      </x:c>
      <x:c r="P936" s="103" t="n">
        <x:f>N936-O936</x:f>
        <x:v>49.78256812484537</x:v>
      </x:c>
      <x:c r="Q936" s="103" t="n">
        <x:f>I936*'Inputs &amp; Guide'!$B$8</x:f>
        <x:v>1.9217101008554127</x:v>
      </x:c>
      <x:c r="R936" s="104" t="n">
        <x:f>IFERROR(P936/Q936,0)</x:f>
        <x:v>25.905347587383552</x:v>
      </x:c>
      <x:c r="S936" s="105" t="n">
        <x:f>ROUND(E936*XLOOKUP(C936,'Reference Tables'!$E$4:$E$12,'Reference Tables'!$G$4:$G$12,1),1)</x:f>
        <x:v>9.8</x:v>
      </x:c>
      <x:c r="T936" s="106" t="str">
        <x:f>IF(R936&gt;='Inputs &amp; Guide'!$B$9,"HIGH",IF(R936&gt;=0.45,"WATCH","NORMAL"))</x:f>
        <x:v>HIGH</x:v>
      </x:c>
    </x:row>
    <x:row r="937">
      <x:c r="A937" s="95" t="n">
        <x:v>7465</x:v>
      </x:c>
      <x:c r="B937" s="96" t="n">
        <x:v>45603</x:v>
      </x:c>
      <x:c r="C937" s="97" t="str">
        <x:v>Hurricane</x:v>
      </x:c>
      <x:c r="D937" s="97" t="str">
        <x:v>Indonesia</x:v>
      </x:c>
      <x:c r="E937" s="98" t="n">
        <x:v>9.68108524433948</x:v>
      </x:c>
      <x:c r="F937" s="99" t="n">
        <x:v>880.3566145825073</x:v>
      </x:c>
      <x:c r="G937" s="100" t="str">
        <x:f>XLOOKUP(D937,'Reference Tables'!$A$4:$A$23,'Reference Tables'!$B$4:$B$23,"Other")</x:f>
        <x:v>Asia Pacific</x:v>
      </x:c>
      <x:c r="H937" s="100" t="str">
        <x:f>VLOOKUP(G937,'Reference Tables'!$I$4:$J$9,2,FALSE)</x:f>
        <x:v>High</x:v>
      </x:c>
      <x:c r="I937" s="101" t="n">
        <x:f>F937*'Inputs &amp; Guide'!$B$4*XLOOKUP(D937,'Reference Tables'!$A$4:$A$23,'Reference Tables'!$C$4:$C$23,0.75)</x:f>
        <x:v>145.0827700831972</x:v>
      </x:c>
      <x:c r="J937" s="102" t="n">
        <x:f>XLOOKUP(C937,'Reference Tables'!$E$4:$E$12,'Reference Tables'!$F$4:$F$12,0.05)</x:f>
        <x:v>0.18</x:v>
      </x:c>
      <x:c r="K937" s="103" t="n">
        <x:f>MIN(I937,F937*J937)</x:f>
        <x:v>145.0827700831972</x:v>
      </x:c>
      <x:c r="L937" s="103" t="n">
        <x:f>'Inputs &amp; Guide'!$B$5</x:f>
        <x:v>15</x:v>
      </x:c>
      <x:c r="M937" s="103" t="n">
        <x:f>I937*'Inputs &amp; Guide'!$B$6</x:f>
        <x:v>79.79552354575847</x:v>
      </x:c>
      <x:c r="N937" s="103" t="n">
        <x:f>MAX(0,MIN(K937-L937,M937))</x:f>
        <x:v>79.79552354575847</x:v>
      </x:c>
      <x:c r="O937" s="103" t="n">
        <x:f>MAX(0,N937-'Inputs &amp; Guide'!$B$7)</x:f>
        <x:v>19.79552354575847</x:v>
      </x:c>
      <x:c r="P937" s="103" t="n">
        <x:f>N937-O937</x:f>
        <x:v>60</x:v>
      </x:c>
      <x:c r="Q937" s="103" t="n">
        <x:f>I937*'Inputs &amp; Guide'!$B$8</x:f>
        <x:v>2.6114898614975495</x:v>
      </x:c>
      <x:c r="R937" s="104" t="n">
        <x:f>IFERROR(P937/Q937,0)</x:f>
        <x:v>22.975390747101432</x:v>
      </x:c>
      <x:c r="S937" s="105" t="n">
        <x:f>ROUND(E937*XLOOKUP(C937,'Reference Tables'!$E$4:$E$12,'Reference Tables'!$G$4:$G$12,1),1)</x:f>
        <x:v>13.6</x:v>
      </x:c>
      <x:c r="T937" s="106" t="str">
        <x:f>IF(R937&gt;='Inputs &amp; Guide'!$B$9,"HIGH",IF(R937&gt;=0.45,"WATCH","NORMAL"))</x:f>
        <x:v>HIGH</x:v>
      </x:c>
    </x:row>
    <x:row r="938">
      <x:c r="A938" s="95" t="n">
        <x:v>7473</x:v>
      </x:c>
      <x:c r="B938" s="96" t="n">
        <x:v>45603.104166666664</x:v>
      </x:c>
      <x:c r="C938" s="97" t="str">
        <x:v>Flood</x:v>
      </x:c>
      <x:c r="D938" s="97" t="str">
        <x:v>Japan</x:v>
      </x:c>
      <x:c r="E938" s="98" t="n">
        <x:v>1.0391302906389446</x:v>
      </x:c>
      <x:c r="F938" s="99" t="n">
        <x:v>252.14540274934916</x:v>
      </x:c>
      <x:c r="G938" s="100" t="str">
        <x:f>XLOOKUP(D938,'Reference Tables'!$A$4:$A$23,'Reference Tables'!$B$4:$B$23,"Other")</x:f>
        <x:v>Asia Pacific</x:v>
      </x:c>
      <x:c r="H938" s="100" t="str">
        <x:f>VLOOKUP(G938,'Reference Tables'!$I$4:$J$9,2,FALSE)</x:f>
        <x:v>High</x:v>
      </x:c>
      <x:c r="I938" s="101" t="n">
        <x:f>F938*'Inputs &amp; Guide'!$B$4*XLOOKUP(D938,'Reference Tables'!$A$4:$A$23,'Reference Tables'!$C$4:$C$23,0.75)</x:f>
        <x:v>47.60505203907712</x:v>
      </x:c>
      <x:c r="J938" s="102" t="n">
        <x:f>XLOOKUP(C938,'Reference Tables'!$E$4:$E$12,'Reference Tables'!$F$4:$F$12,0.05)</x:f>
        <x:v>0.12</x:v>
      </x:c>
      <x:c r="K938" s="103" t="n">
        <x:f>MIN(I938,F938*J938)</x:f>
        <x:v>30.2574483299219</x:v>
      </x:c>
      <x:c r="L938" s="103" t="n">
        <x:f>'Inputs &amp; Guide'!$B$5</x:f>
        <x:v>15</x:v>
      </x:c>
      <x:c r="M938" s="103" t="n">
        <x:f>I938*'Inputs &amp; Guide'!$B$6</x:f>
        <x:v>26.18277862149242</x:v>
      </x:c>
      <x:c r="N938" s="103" t="n">
        <x:f>MAX(0,MIN(K938-L938,M938))</x:f>
        <x:v>15.2574483299219</x:v>
      </x:c>
      <x:c r="O938" s="103" t="n">
        <x:f>MAX(0,N938-'Inputs &amp; Guide'!$B$7)</x:f>
        <x:v>0</x:v>
      </x:c>
      <x:c r="P938" s="103" t="n">
        <x:f>N938-O938</x:f>
        <x:v>15.2574483299219</x:v>
      </x:c>
      <x:c r="Q938" s="103" t="n">
        <x:f>I938*'Inputs &amp; Guide'!$B$8</x:f>
        <x:v>0.8568909367033881</x:v>
      </x:c>
      <x:c r="R938" s="104" t="n">
        <x:f>IFERROR(P938/Q938,0)</x:f>
        <x:v>17.80558957551823</x:v>
      </x:c>
      <x:c r="S938" s="105" t="n">
        <x:f>ROUND(E938*XLOOKUP(C938,'Reference Tables'!$E$4:$E$12,'Reference Tables'!$G$4:$G$12,1),1)</x:f>
        <x:v>1.3</x:v>
      </x:c>
      <x:c r="T938" s="106" t="str">
        <x:f>IF(R938&gt;='Inputs &amp; Guide'!$B$9,"HIGH",IF(R938&gt;=0.45,"WATCH","NORMAL"))</x:f>
        <x:v>HIGH</x:v>
      </x:c>
    </x:row>
    <x:row r="939">
      <x:c r="A939" s="95" t="n">
        <x:v>7481</x:v>
      </x:c>
      <x:c r="B939" s="96" t="n">
        <x:v>45603.4375</x:v>
      </x:c>
      <x:c r="C939" s="97" t="str">
        <x:v>Tornado</x:v>
      </x:c>
      <x:c r="D939" s="97" t="str">
        <x:v>Brazil</x:v>
      </x:c>
      <x:c r="E939" s="98" t="n">
        <x:v>6.635590552532334</x:v>
      </x:c>
      <x:c r="F939" s="99" t="n">
        <x:v>457.67825359948336</x:v>
      </x:c>
      <x:c r="G939" s="100" t="str">
        <x:f>XLOOKUP(D939,'Reference Tables'!$A$4:$A$23,'Reference Tables'!$B$4:$B$23,"Other")</x:f>
        <x:v>Latin America</x:v>
      </x:c>
      <x:c r="H939" s="100" t="str">
        <x:f>VLOOKUP(G939,'Reference Tables'!$I$4:$J$9,2,FALSE)</x:f>
        <x:v>Moderate</x:v>
      </x:c>
      <x:c r="I939" s="101" t="n">
        <x:f>F939*'Inputs &amp; Guide'!$B$4*XLOOKUP(D939,'Reference Tables'!$A$4:$A$23,'Reference Tables'!$C$4:$C$23,0.75)</x:f>
        <x:v>60.04738687225222</x:v>
      </x:c>
      <x:c r="J939" s="102" t="n">
        <x:f>XLOOKUP(C939,'Reference Tables'!$E$4:$E$12,'Reference Tables'!$F$4:$F$12,0.05)</x:f>
        <x:v>0.09</x:v>
      </x:c>
      <x:c r="K939" s="103" t="n">
        <x:f>MIN(I939,F939*J939)</x:f>
        <x:v>41.1910428239535</x:v>
      </x:c>
      <x:c r="L939" s="103" t="n">
        <x:f>'Inputs &amp; Guide'!$B$5</x:f>
        <x:v>15</x:v>
      </x:c>
      <x:c r="M939" s="103" t="n">
        <x:f>I939*'Inputs &amp; Guide'!$B$6</x:f>
        <x:v>33.02606277973872</x:v>
      </x:c>
      <x:c r="N939" s="103" t="n">
        <x:f>MAX(0,MIN(K939-L939,M939))</x:f>
        <x:v>26.191042823953502</x:v>
      </x:c>
      <x:c r="O939" s="103" t="n">
        <x:f>MAX(0,N939-'Inputs &amp; Guide'!$B$7)</x:f>
        <x:v>0</x:v>
      </x:c>
      <x:c r="P939" s="103" t="n">
        <x:f>N939-O939</x:f>
        <x:v>26.191042823953502</x:v>
      </x:c>
      <x:c r="Q939" s="103" t="n">
        <x:f>I939*'Inputs &amp; Guide'!$B$8</x:f>
        <x:v>1.08085296370054</x:v>
      </x:c>
      <x:c r="R939" s="104" t="n">
        <x:f>IFERROR(P939/Q939,0)</x:f>
        <x:v>24.23182773564561</x:v>
      </x:c>
      <x:c r="S939" s="105" t="n">
        <x:f>ROUND(E939*XLOOKUP(C939,'Reference Tables'!$E$4:$E$12,'Reference Tables'!$G$4:$G$12,1),1)</x:f>
        <x:v>7</x:v>
      </x:c>
      <x:c r="T939" s="106" t="str">
        <x:f>IF(R939&gt;='Inputs &amp; Guide'!$B$9,"HIGH",IF(R939&gt;=0.45,"WATCH","NORMAL"))</x:f>
        <x:v>HIGH</x:v>
      </x:c>
    </x:row>
    <x:row r="940">
      <x:c r="A940" s="95" t="n">
        <x:v>7489</x:v>
      </x:c>
      <x:c r="B940" s="96" t="n">
        <x:v>45604</x:v>
      </x:c>
      <x:c r="C940" s="97" t="str">
        <x:v>Earthquake</x:v>
      </x:c>
      <x:c r="D940" s="97" t="str">
        <x:v>Brazil</x:v>
      </x:c>
      <x:c r="E940" s="98" t="n">
        <x:v>6.761556017935156</x:v>
      </x:c>
      <x:c r="F940" s="99" t="n">
        <x:v>19.407799656805587</x:v>
      </x:c>
      <x:c r="G940" s="100" t="str">
        <x:f>XLOOKUP(D940,'Reference Tables'!$A$4:$A$23,'Reference Tables'!$B$4:$B$23,"Other")</x:f>
        <x:v>Latin America</x:v>
      </x:c>
      <x:c r="H940" s="100" t="str">
        <x:f>VLOOKUP(G940,'Reference Tables'!$I$4:$J$9,2,FALSE)</x:f>
        <x:v>Moderate</x:v>
      </x:c>
      <x:c r="I940" s="101" t="n">
        <x:f>F940*'Inputs &amp; Guide'!$B$4*XLOOKUP(D940,'Reference Tables'!$A$4:$A$23,'Reference Tables'!$C$4:$C$23,0.75)</x:f>
        <x:v>2.546303314972893</x:v>
      </x:c>
      <x:c r="J940" s="102" t="n">
        <x:f>XLOOKUP(C940,'Reference Tables'!$E$4:$E$12,'Reference Tables'!$F$4:$F$12,0.05)</x:f>
        <x:v>0.14</x:v>
      </x:c>
      <x:c r="K940" s="103" t="n">
        <x:f>MIN(I940,F940*J940)</x:f>
        <x:v>2.546303314972893</x:v>
      </x:c>
      <x:c r="L940" s="103" t="n">
        <x:f>'Inputs &amp; Guide'!$B$5</x:f>
        <x:v>15</x:v>
      </x:c>
      <x:c r="M940" s="103" t="n">
        <x:f>I940*'Inputs &amp; Guide'!$B$6</x:f>
        <x:v>1.4004668232350914</x:v>
      </x:c>
      <x:c r="N940" s="103" t="n">
        <x:f>MAX(0,MIN(K940-L940,M940))</x:f>
        <x:v>0</x:v>
      </x:c>
      <x:c r="O940" s="103" t="n">
        <x:f>MAX(0,N940-'Inputs &amp; Guide'!$B$7)</x:f>
        <x:v>0</x:v>
      </x:c>
      <x:c r="P940" s="103" t="n">
        <x:f>N940-O940</x:f>
        <x:v>0</x:v>
      </x:c>
      <x:c r="Q940" s="103" t="n">
        <x:f>I940*'Inputs &amp; Guide'!$B$8</x:f>
        <x:v>0.04583345966951207</x:v>
      </x:c>
      <x:c r="R940" s="104" t="n">
        <x:f>IFERROR(P940/Q940,0)</x:f>
        <x:v>0</x:v>
      </x:c>
      <x:c r="S940" s="105" t="n">
        <x:f>ROUND(E940*XLOOKUP(C940,'Reference Tables'!$E$4:$E$12,'Reference Tables'!$G$4:$G$12,1),1)</x:f>
        <x:v>10.1</x:v>
      </x:c>
      <x:c r="T940" s="106" t="str">
        <x:f>IF(R940&gt;='Inputs &amp; Guide'!$B$9,"HIGH",IF(R940&gt;=0.45,"WATCH","NORMAL"))</x:f>
        <x:v>NORMAL</x:v>
      </x:c>
    </x:row>
    <x:row r="941">
      <x:c r="A941" s="95" t="n">
        <x:v>7497</x:v>
      </x:c>
      <x:c r="B941" s="96" t="n">
        <x:v>45604.104166666664</x:v>
      </x:c>
      <x:c r="C941" s="97" t="str">
        <x:v>Tornado</x:v>
      </x:c>
      <x:c r="D941" s="97" t="str">
        <x:v>Japan</x:v>
      </x:c>
      <x:c r="E941" s="98" t="n">
        <x:v>7.680883115465011</x:v>
      </x:c>
      <x:c r="F941" s="99" t="n">
        <x:v>298.1998478082711</x:v>
      </x:c>
      <x:c r="G941" s="100" t="str">
        <x:f>XLOOKUP(D941,'Reference Tables'!$A$4:$A$23,'Reference Tables'!$B$4:$B$23,"Other")</x:f>
        <x:v>Asia Pacific</x:v>
      </x:c>
      <x:c r="H941" s="100" t="str">
        <x:f>VLOOKUP(G941,'Reference Tables'!$I$4:$J$9,2,FALSE)</x:f>
        <x:v>High</x:v>
      </x:c>
      <x:c r="I941" s="101" t="n">
        <x:f>F941*'Inputs &amp; Guide'!$B$4*XLOOKUP(D941,'Reference Tables'!$A$4:$A$23,'Reference Tables'!$C$4:$C$23,0.75)</x:f>
        <x:v>56.30013126620158</x:v>
      </x:c>
      <x:c r="J941" s="102" t="n">
        <x:f>XLOOKUP(C941,'Reference Tables'!$E$4:$E$12,'Reference Tables'!$F$4:$F$12,0.05)</x:f>
        <x:v>0.09</x:v>
      </x:c>
      <x:c r="K941" s="103" t="n">
        <x:f>MIN(I941,F941*J941)</x:f>
        <x:v>26.837986302744397</x:v>
      </x:c>
      <x:c r="L941" s="103" t="n">
        <x:f>'Inputs &amp; Guide'!$B$5</x:f>
        <x:v>15</x:v>
      </x:c>
      <x:c r="M941" s="103" t="n">
        <x:f>I941*'Inputs &amp; Guide'!$B$6</x:f>
        <x:v>30.965072196410873</x:v>
      </x:c>
      <x:c r="N941" s="103" t="n">
        <x:f>MAX(0,MIN(K941-L941,M941))</x:f>
        <x:v>11.837986302744397</x:v>
      </x:c>
      <x:c r="O941" s="103" t="n">
        <x:f>MAX(0,N941-'Inputs &amp; Guide'!$B$7)</x:f>
        <x:v>0</x:v>
      </x:c>
      <x:c r="P941" s="103" t="n">
        <x:f>N941-O941</x:f>
        <x:v>11.837986302744397</x:v>
      </x:c>
      <x:c r="Q941" s="103" t="n">
        <x:f>I941*'Inputs &amp; Guide'!$B$8</x:f>
        <x:v>1.0134023627916284</x:v>
      </x:c>
      <x:c r="R941" s="104" t="n">
        <x:f>IFERROR(P941/Q941,0)</x:f>
        <x:v>11.681427572493705</x:v>
      </x:c>
      <x:c r="S941" s="105" t="n">
        <x:f>ROUND(E941*XLOOKUP(C941,'Reference Tables'!$E$4:$E$12,'Reference Tables'!$G$4:$G$12,1),1)</x:f>
        <x:v>8.1</x:v>
      </x:c>
      <x:c r="T941" s="106" t="str">
        <x:f>IF(R941&gt;='Inputs &amp; Guide'!$B$9,"HIGH",IF(R941&gt;=0.45,"WATCH","NORMAL"))</x:f>
        <x:v>HIGH</x:v>
      </x:c>
    </x:row>
    <x:row r="942">
      <x:c r="A942" s="95" t="n">
        <x:v>7505</x:v>
      </x:c>
      <x:c r="B942" s="96" t="n">
        <x:v>45604.4375</x:v>
      </x:c>
      <x:c r="C942" s="97" t="str">
        <x:v>Hurricane</x:v>
      </x:c>
      <x:c r="D942" s="97" t="str">
        <x:v>Japan</x:v>
      </x:c>
      <x:c r="E942" s="98" t="n">
        <x:v>4.796953493200201</x:v>
      </x:c>
      <x:c r="F942" s="99" t="n">
        <x:v>1.1595477008350936</x:v>
      </x:c>
      <x:c r="G942" s="100" t="str">
        <x:f>XLOOKUP(D942,'Reference Tables'!$A$4:$A$23,'Reference Tables'!$B$4:$B$23,"Other")</x:f>
        <x:v>Asia Pacific</x:v>
      </x:c>
      <x:c r="H942" s="100" t="str">
        <x:f>VLOOKUP(G942,'Reference Tables'!$I$4:$J$9,2,FALSE)</x:f>
        <x:v>High</x:v>
      </x:c>
      <x:c r="I942" s="101" t="n">
        <x:f>F942*'Inputs &amp; Guide'!$B$4*XLOOKUP(D942,'Reference Tables'!$A$4:$A$23,'Reference Tables'!$C$4:$C$23,0.75)</x:f>
        <x:v>0.21892260591766566</x:v>
      </x:c>
      <x:c r="J942" s="102" t="n">
        <x:f>XLOOKUP(C942,'Reference Tables'!$E$4:$E$12,'Reference Tables'!$F$4:$F$12,0.05)</x:f>
        <x:v>0.18</x:v>
      </x:c>
      <x:c r="K942" s="103" t="n">
        <x:f>MIN(I942,F942*J942)</x:f>
        <x:v>0.20871858615031685</x:v>
      </x:c>
      <x:c r="L942" s="103" t="n">
        <x:f>'Inputs &amp; Guide'!$B$5</x:f>
        <x:v>15</x:v>
      </x:c>
      <x:c r="M942" s="103" t="n">
        <x:f>I942*'Inputs &amp; Guide'!$B$6</x:f>
        <x:v>0.12040743325471612</x:v>
      </x:c>
      <x:c r="N942" s="103" t="n">
        <x:f>MAX(0,MIN(K942-L942,M942))</x:f>
        <x:v>0</x:v>
      </x:c>
      <x:c r="O942" s="103" t="n">
        <x:f>MAX(0,N942-'Inputs &amp; Guide'!$B$7)</x:f>
        <x:v>0</x:v>
      </x:c>
      <x:c r="P942" s="103" t="n">
        <x:f>N942-O942</x:f>
        <x:v>0</x:v>
      </x:c>
      <x:c r="Q942" s="103" t="n">
        <x:f>I942*'Inputs &amp; Guide'!$B$8</x:f>
        <x:v>0.0039406069065179815</x:v>
      </x:c>
      <x:c r="R942" s="104" t="n">
        <x:f>IFERROR(P942/Q942,0)</x:f>
        <x:v>0</x:v>
      </x:c>
      <x:c r="S942" s="105" t="n">
        <x:f>ROUND(E942*XLOOKUP(C942,'Reference Tables'!$E$4:$E$12,'Reference Tables'!$G$4:$G$12,1),1)</x:f>
        <x:v>6.7</x:v>
      </x:c>
      <x:c r="T942" s="106" t="str">
        <x:f>IF(R942&gt;='Inputs &amp; Guide'!$B$9,"HIGH",IF(R942&gt;=0.45,"WATCH","NORMAL"))</x:f>
        <x:v>NORMAL</x:v>
      </x:c>
    </x:row>
    <x:row r="943">
      <x:c r="A943" s="95" t="n">
        <x:v>7513</x:v>
      </x:c>
      <x:c r="B943" s="96" t="n">
        <x:v>45605</x:v>
      </x:c>
      <x:c r="C943" s="97" t="str">
        <x:v>Flood</x:v>
      </x:c>
      <x:c r="D943" s="97" t="str">
        <x:v>USA</x:v>
      </x:c>
      <x:c r="E943" s="98" t="n">
        <x:v>1.9305200737189567</x:v>
      </x:c>
      <x:c r="F943" s="99" t="n">
        <x:v>623.5648665267112</x:v>
      </x:c>
      <x:c r="G943" s="100" t="str">
        <x:f>XLOOKUP(D943,'Reference Tables'!$A$4:$A$23,'Reference Tables'!$B$4:$B$23,"Other")</x:f>
        <x:v>Other</x:v>
      </x:c>
      <x:c r="H943" s="100" t="str">
        <x:f>VLOOKUP(G943,'Reference Tables'!$I$4:$J$9,2,FALSE)</x:f>
        <x:v>Moderate</x:v>
      </x:c>
      <x:c r="I943" s="101" t="n">
        <x:f>F943*'Inputs &amp; Guide'!$B$4*XLOOKUP(D943,'Reference Tables'!$A$4:$A$23,'Reference Tables'!$C$4:$C$23,0.75)</x:f>
        <x:v>74.82778398320534</x:v>
      </x:c>
      <x:c r="J943" s="102" t="n">
        <x:f>XLOOKUP(C943,'Reference Tables'!$E$4:$E$12,'Reference Tables'!$F$4:$F$12,0.05)</x:f>
        <x:v>0.12</x:v>
      </x:c>
      <x:c r="K943" s="103" t="n">
        <x:f>MIN(I943,F943*J943)</x:f>
        <x:v>74.82778398320534</x:v>
      </x:c>
      <x:c r="L943" s="103" t="n">
        <x:f>'Inputs &amp; Guide'!$B$5</x:f>
        <x:v>15</x:v>
      </x:c>
      <x:c r="M943" s="103" t="n">
        <x:f>I943*'Inputs &amp; Guide'!$B$6</x:f>
        <x:v>41.155281190762935</x:v>
      </x:c>
      <x:c r="N943" s="103" t="n">
        <x:f>MAX(0,MIN(K943-L943,M943))</x:f>
        <x:v>41.155281190762935</x:v>
      </x:c>
      <x:c r="O943" s="103" t="n">
        <x:f>MAX(0,N943-'Inputs &amp; Guide'!$B$7)</x:f>
        <x:v>0</x:v>
      </x:c>
      <x:c r="P943" s="103" t="n">
        <x:f>N943-O943</x:f>
        <x:v>41.155281190762935</x:v>
      </x:c>
      <x:c r="Q943" s="103" t="n">
        <x:f>I943*'Inputs &amp; Guide'!$B$8</x:f>
        <x:v>1.346900111697696</x:v>
      </x:c>
      <x:c r="R943" s="104" t="n">
        <x:f>IFERROR(P943/Q943,0)</x:f>
        <x:v>30.555555555555557</x:v>
      </x:c>
      <x:c r="S943" s="105" t="n">
        <x:f>ROUND(E943*XLOOKUP(C943,'Reference Tables'!$E$4:$E$12,'Reference Tables'!$G$4:$G$12,1),1)</x:f>
        <x:v>2.4</x:v>
      </x:c>
      <x:c r="T943" s="106" t="str">
        <x:f>IF(R943&gt;='Inputs &amp; Guide'!$B$9,"HIGH",IF(R943&gt;=0.45,"WATCH","NORMAL"))</x:f>
        <x:v>HIGH</x:v>
      </x:c>
    </x:row>
    <x:row r="944">
      <x:c r="A944" s="95" t="n">
        <x:v>7521</x:v>
      </x:c>
      <x:c r="B944" s="96" t="n">
        <x:v>45605.104166666664</x:v>
      </x:c>
      <x:c r="C944" s="97" t="str">
        <x:v>Earthquake</x:v>
      </x:c>
      <x:c r="D944" s="97" t="str">
        <x:v>Japan</x:v>
      </x:c>
      <x:c r="E944" s="98" t="n">
        <x:v>8.063617916916883</x:v>
      </x:c>
      <x:c r="F944" s="99" t="n">
        <x:v>93.14748058963825</x:v>
      </x:c>
      <x:c r="G944" s="100" t="str">
        <x:f>XLOOKUP(D944,'Reference Tables'!$A$4:$A$23,'Reference Tables'!$B$4:$B$23,"Other")</x:f>
        <x:v>Asia Pacific</x:v>
      </x:c>
      <x:c r="H944" s="100" t="str">
        <x:f>VLOOKUP(G944,'Reference Tables'!$I$4:$J$9,2,FALSE)</x:f>
        <x:v>High</x:v>
      </x:c>
      <x:c r="I944" s="101" t="n">
        <x:f>F944*'Inputs &amp; Guide'!$B$4*XLOOKUP(D944,'Reference Tables'!$A$4:$A$23,'Reference Tables'!$C$4:$C$23,0.75)</x:f>
        <x:v>17.586244335323702</x:v>
      </x:c>
      <x:c r="J944" s="102" t="n">
        <x:f>XLOOKUP(C944,'Reference Tables'!$E$4:$E$12,'Reference Tables'!$F$4:$F$12,0.05)</x:f>
        <x:v>0.14</x:v>
      </x:c>
      <x:c r="K944" s="103" t="n">
        <x:f>MIN(I944,F944*J944)</x:f>
        <x:v>13.040647282549356</x:v>
      </x:c>
      <x:c r="L944" s="103" t="n">
        <x:f>'Inputs &amp; Guide'!$B$5</x:f>
        <x:v>15</x:v>
      </x:c>
      <x:c r="M944" s="103" t="n">
        <x:f>I944*'Inputs &amp; Guide'!$B$6</x:f>
        <x:v>9.672434384428037</x:v>
      </x:c>
      <x:c r="N944" s="103" t="n">
        <x:f>MAX(0,MIN(K944-L944,M944))</x:f>
        <x:v>0</x:v>
      </x:c>
      <x:c r="O944" s="103" t="n">
        <x:f>MAX(0,N944-'Inputs &amp; Guide'!$B$7)</x:f>
        <x:v>0</x:v>
      </x:c>
      <x:c r="P944" s="103" t="n">
        <x:f>N944-O944</x:f>
        <x:v>0</x:v>
      </x:c>
      <x:c r="Q944" s="103" t="n">
        <x:f>I944*'Inputs &amp; Guide'!$B$8</x:f>
        <x:v>0.31655239803582663</x:v>
      </x:c>
      <x:c r="R944" s="104" t="n">
        <x:f>IFERROR(P944/Q944,0)</x:f>
        <x:v>0</x:v>
      </x:c>
      <x:c r="S944" s="105" t="n">
        <x:f>ROUND(E944*XLOOKUP(C944,'Reference Tables'!$E$4:$E$12,'Reference Tables'!$G$4:$G$12,1),1)</x:f>
        <x:v>12.1</x:v>
      </x:c>
      <x:c r="T944" s="106" t="str">
        <x:f>IF(R944&gt;='Inputs &amp; Guide'!$B$9,"HIGH",IF(R944&gt;=0.45,"WATCH","NORMAL"))</x:f>
        <x:v>NORMAL</x:v>
      </x:c>
    </x:row>
    <x:row r="945">
      <x:c r="A945" s="95" t="n">
        <x:v>7529</x:v>
      </x:c>
      <x:c r="B945" s="96" t="n">
        <x:v>45605.4375</x:v>
      </x:c>
      <x:c r="C945" s="97" t="str">
        <x:v>Earthquake</x:v>
      </x:c>
      <x:c r="D945" s="97" t="str">
        <x:v>USA</x:v>
      </x:c>
      <x:c r="E945" s="98" t="n">
        <x:v>3.047199792320315</x:v>
      </x:c>
      <x:c r="F945" s="99" t="n">
        <x:v>828.3047333144226</x:v>
      </x:c>
      <x:c r="G945" s="100" t="str">
        <x:f>XLOOKUP(D945,'Reference Tables'!$A$4:$A$23,'Reference Tables'!$B$4:$B$23,"Other")</x:f>
        <x:v>Other</x:v>
      </x:c>
      <x:c r="H945" s="100" t="str">
        <x:f>VLOOKUP(G945,'Reference Tables'!$I$4:$J$9,2,FALSE)</x:f>
        <x:v>Moderate</x:v>
      </x:c>
      <x:c r="I945" s="101" t="n">
        <x:f>F945*'Inputs &amp; Guide'!$B$4*XLOOKUP(D945,'Reference Tables'!$A$4:$A$23,'Reference Tables'!$C$4:$C$23,0.75)</x:f>
        <x:v>99.39656799773073</x:v>
      </x:c>
      <x:c r="J945" s="102" t="n">
        <x:f>XLOOKUP(C945,'Reference Tables'!$E$4:$E$12,'Reference Tables'!$F$4:$F$12,0.05)</x:f>
        <x:v>0.14</x:v>
      </x:c>
      <x:c r="K945" s="103" t="n">
        <x:f>MIN(I945,F945*J945)</x:f>
        <x:v>99.39656799773073</x:v>
      </x:c>
      <x:c r="L945" s="103" t="n">
        <x:f>'Inputs &amp; Guide'!$B$5</x:f>
        <x:v>15</x:v>
      </x:c>
      <x:c r="M945" s="103" t="n">
        <x:f>I945*'Inputs &amp; Guide'!$B$6</x:f>
        <x:v>54.6681123987519</x:v>
      </x:c>
      <x:c r="N945" s="103" t="n">
        <x:f>MAX(0,MIN(K945-L945,M945))</x:f>
        <x:v>54.6681123987519</x:v>
      </x:c>
      <x:c r="O945" s="103" t="n">
        <x:f>MAX(0,N945-'Inputs &amp; Guide'!$B$7)</x:f>
        <x:v>0</x:v>
      </x:c>
      <x:c r="P945" s="103" t="n">
        <x:f>N945-O945</x:f>
        <x:v>54.6681123987519</x:v>
      </x:c>
      <x:c r="Q945" s="103" t="n">
        <x:f>I945*'Inputs &amp; Guide'!$B$8</x:f>
        <x:v>1.789138223959153</x:v>
      </x:c>
      <x:c r="R945" s="104" t="n">
        <x:f>IFERROR(P945/Q945,0)</x:f>
        <x:v>30.55555555555556</x:v>
      </x:c>
      <x:c r="S945" s="105" t="n">
        <x:f>ROUND(E945*XLOOKUP(C945,'Reference Tables'!$E$4:$E$12,'Reference Tables'!$G$4:$G$12,1),1)</x:f>
        <x:v>4.6</x:v>
      </x:c>
      <x:c r="T945" s="106" t="str">
        <x:f>IF(R945&gt;='Inputs &amp; Guide'!$B$9,"HIGH",IF(R945&gt;=0.45,"WATCH","NORMAL"))</x:f>
        <x:v>HIGH</x:v>
      </x:c>
    </x:row>
    <x:row r="946">
      <x:c r="A946" s="95" t="n">
        <x:v>7537</x:v>
      </x:c>
      <x:c r="B946" s="96" t="n">
        <x:v>45606</x:v>
      </x:c>
      <x:c r="C946" s="97" t="str">
        <x:v>Wildfire</x:v>
      </x:c>
      <x:c r="D946" s="97" t="str">
        <x:v>India</x:v>
      </x:c>
      <x:c r="E946" s="98" t="n">
        <x:v>4.571165202354949</x:v>
      </x:c>
      <x:c r="F946" s="99" t="n">
        <x:v>971.9325903106721</x:v>
      </x:c>
      <x:c r="G946" s="100" t="str">
        <x:f>XLOOKUP(D946,'Reference Tables'!$A$4:$A$23,'Reference Tables'!$B$4:$B$23,"Other")</x:f>
        <x:v>Asia Pacific</x:v>
      </x:c>
      <x:c r="H946" s="100" t="str">
        <x:f>VLOOKUP(G946,'Reference Tables'!$I$4:$J$9,2,FALSE)</x:f>
        <x:v>High</x:v>
      </x:c>
      <x:c r="I946" s="101" t="n">
        <x:f>F946*'Inputs &amp; Guide'!$B$4*XLOOKUP(D946,'Reference Tables'!$A$4:$A$23,'Reference Tables'!$C$4:$C$23,0.75)</x:f>
        <x:v>141.51338514923387</x:v>
      </x:c>
      <x:c r="J946" s="102" t="n">
        <x:f>XLOOKUP(C946,'Reference Tables'!$E$4:$E$12,'Reference Tables'!$F$4:$F$12,0.05)</x:f>
        <x:v>0.1</x:v>
      </x:c>
      <x:c r="K946" s="103" t="n">
        <x:f>MIN(I946,F946*J946)</x:f>
        <x:v>97.19325903106721</x:v>
      </x:c>
      <x:c r="L946" s="103" t="n">
        <x:f>'Inputs &amp; Guide'!$B$5</x:f>
        <x:v>15</x:v>
      </x:c>
      <x:c r="M946" s="103" t="n">
        <x:f>I946*'Inputs &amp; Guide'!$B$6</x:f>
        <x:v>77.83236183207863</x:v>
      </x:c>
      <x:c r="N946" s="103" t="n">
        <x:f>MAX(0,MIN(K946-L946,M946))</x:f>
        <x:v>77.83236183207863</x:v>
      </x:c>
      <x:c r="O946" s="103" t="n">
        <x:f>MAX(0,N946-'Inputs &amp; Guide'!$B$7)</x:f>
        <x:v>17.832361832078632</x:v>
      </x:c>
      <x:c r="P946" s="103" t="n">
        <x:f>N946-O946</x:f>
        <x:v>60</x:v>
      </x:c>
      <x:c r="Q946" s="103" t="n">
        <x:f>I946*'Inputs &amp; Guide'!$B$8</x:f>
        <x:v>2.5472409326862095</x:v>
      </x:c>
      <x:c r="R946" s="104" t="n">
        <x:f>IFERROR(P946/Q946,0)</x:f>
        <x:v>23.55489786226331</x:v>
      </x:c>
      <x:c r="S946" s="105" t="n">
        <x:f>ROUND(E946*XLOOKUP(C946,'Reference Tables'!$E$4:$E$12,'Reference Tables'!$G$4:$G$12,1),1)</x:f>
        <x:v>5.3</x:v>
      </x:c>
      <x:c r="T946" s="106" t="str">
        <x:f>IF(R946&gt;='Inputs &amp; Guide'!$B$9,"HIGH",IF(R946&gt;=0.45,"WATCH","NORMAL"))</x:f>
        <x:v>HIGH</x:v>
      </x:c>
    </x:row>
    <x:row r="947">
      <x:c r="A947" s="95" t="n">
        <x:v>7545</x:v>
      </x:c>
      <x:c r="B947" s="96" t="n">
        <x:v>45606.104166666664</x:v>
      </x:c>
      <x:c r="C947" s="97" t="str">
        <x:v>Wildfire</x:v>
      </x:c>
      <x:c r="D947" s="97" t="str">
        <x:v>Brazil</x:v>
      </x:c>
      <x:c r="E947" s="98" t="n">
        <x:v>3.4394476656077866</x:v>
      </x:c>
      <x:c r="F947" s="99" t="n">
        <x:v>707.1212326047205</x:v>
      </x:c>
      <x:c r="G947" s="100" t="str">
        <x:f>XLOOKUP(D947,'Reference Tables'!$A$4:$A$23,'Reference Tables'!$B$4:$B$23,"Other")</x:f>
        <x:v>Latin America</x:v>
      </x:c>
      <x:c r="H947" s="100" t="str">
        <x:f>VLOOKUP(G947,'Reference Tables'!$I$4:$J$9,2,FALSE)</x:f>
        <x:v>Moderate</x:v>
      </x:c>
      <x:c r="I947" s="101" t="n">
        <x:f>F947*'Inputs &amp; Guide'!$B$4*XLOOKUP(D947,'Reference Tables'!$A$4:$A$23,'Reference Tables'!$C$4:$C$23,0.75)</x:f>
        <x:v>92.77430571773932</x:v>
      </x:c>
      <x:c r="J947" s="102" t="n">
        <x:f>XLOOKUP(C947,'Reference Tables'!$E$4:$E$12,'Reference Tables'!$F$4:$F$12,0.05)</x:f>
        <x:v>0.1</x:v>
      </x:c>
      <x:c r="K947" s="103" t="n">
        <x:f>MIN(I947,F947*J947)</x:f>
        <x:v>70.71212326047205</x:v>
      </x:c>
      <x:c r="L947" s="103" t="n">
        <x:f>'Inputs &amp; Guide'!$B$5</x:f>
        <x:v>15</x:v>
      </x:c>
      <x:c r="M947" s="103" t="n">
        <x:f>I947*'Inputs &amp; Guide'!$B$6</x:f>
        <x:v>51.02586814475663</x:v>
      </x:c>
      <x:c r="N947" s="103" t="n">
        <x:f>MAX(0,MIN(K947-L947,M947))</x:f>
        <x:v>51.02586814475663</x:v>
      </x:c>
      <x:c r="O947" s="103" t="n">
        <x:f>MAX(0,N947-'Inputs &amp; Guide'!$B$7)</x:f>
        <x:v>0</x:v>
      </x:c>
      <x:c r="P947" s="103" t="n">
        <x:f>N947-O947</x:f>
        <x:v>51.02586814475663</x:v>
      </x:c>
      <x:c r="Q947" s="103" t="n">
        <x:f>I947*'Inputs &amp; Guide'!$B$8</x:f>
        <x:v>1.6699375029193078</x:v>
      </x:c>
      <x:c r="R947" s="104" t="n">
        <x:f>IFERROR(P947/Q947,0)</x:f>
        <x:v>30.555555555555557</x:v>
      </x:c>
      <x:c r="S947" s="105" t="n">
        <x:f>ROUND(E947*XLOOKUP(C947,'Reference Tables'!$E$4:$E$12,'Reference Tables'!$G$4:$G$12,1),1)</x:f>
        <x:v>4</x:v>
      </x:c>
      <x:c r="T947" s="106" t="str">
        <x:f>IF(R947&gt;='Inputs &amp; Guide'!$B$9,"HIGH",IF(R947&gt;=0.45,"WATCH","NORMAL"))</x:f>
        <x:v>HIGH</x:v>
      </x:c>
    </x:row>
    <x:row r="948">
      <x:c r="A948" s="95" t="n">
        <x:v>7553</x:v>
      </x:c>
      <x:c r="B948" s="96" t="n">
        <x:v>45606.4375</x:v>
      </x:c>
      <x:c r="C948" s="97" t="str">
        <x:v>Wildfire</x:v>
      </x:c>
      <x:c r="D948" s="97" t="str">
        <x:v>USA</x:v>
      </x:c>
      <x:c r="E948" s="98" t="n">
        <x:v>9.197910197447806</x:v>
      </x:c>
      <x:c r="F948" s="99" t="n">
        <x:v>799.1929363631739</x:v>
      </x:c>
      <x:c r="G948" s="100" t="str">
        <x:f>XLOOKUP(D948,'Reference Tables'!$A$4:$A$23,'Reference Tables'!$B$4:$B$23,"Other")</x:f>
        <x:v>Other</x:v>
      </x:c>
      <x:c r="H948" s="100" t="str">
        <x:f>VLOOKUP(G948,'Reference Tables'!$I$4:$J$9,2,FALSE)</x:f>
        <x:v>Moderate</x:v>
      </x:c>
      <x:c r="I948" s="101" t="n">
        <x:f>F948*'Inputs &amp; Guide'!$B$4*XLOOKUP(D948,'Reference Tables'!$A$4:$A$23,'Reference Tables'!$C$4:$C$23,0.75)</x:f>
        <x:v>95.90315236358086</x:v>
      </x:c>
      <x:c r="J948" s="102" t="n">
        <x:f>XLOOKUP(C948,'Reference Tables'!$E$4:$E$12,'Reference Tables'!$F$4:$F$12,0.05)</x:f>
        <x:v>0.1</x:v>
      </x:c>
      <x:c r="K948" s="103" t="n">
        <x:f>MIN(I948,F948*J948)</x:f>
        <x:v>79.91929363631739</x:v>
      </x:c>
      <x:c r="L948" s="103" t="n">
        <x:f>'Inputs &amp; Guide'!$B$5</x:f>
        <x:v>15</x:v>
      </x:c>
      <x:c r="M948" s="103" t="n">
        <x:f>I948*'Inputs &amp; Guide'!$B$6</x:f>
        <x:v>52.746733799969476</x:v>
      </x:c>
      <x:c r="N948" s="103" t="n">
        <x:f>MAX(0,MIN(K948-L948,M948))</x:f>
        <x:v>52.746733799969476</x:v>
      </x:c>
      <x:c r="O948" s="103" t="n">
        <x:f>MAX(0,N948-'Inputs &amp; Guide'!$B$7)</x:f>
        <x:v>0</x:v>
      </x:c>
      <x:c r="P948" s="103" t="n">
        <x:f>N948-O948</x:f>
        <x:v>52.746733799969476</x:v>
      </x:c>
      <x:c r="Q948" s="103" t="n">
        <x:f>I948*'Inputs &amp; Guide'!$B$8</x:f>
        <x:v>1.7262567425444553</x:v>
      </x:c>
      <x:c r="R948" s="104" t="n">
        <x:f>IFERROR(P948/Q948,0)</x:f>
        <x:v>30.55555555555556</x:v>
      </x:c>
      <x:c r="S948" s="105" t="n">
        <x:f>ROUND(E948*XLOOKUP(C948,'Reference Tables'!$E$4:$E$12,'Reference Tables'!$G$4:$G$12,1),1)</x:f>
        <x:v>10.6</x:v>
      </x:c>
      <x:c r="T948" s="106" t="str">
        <x:f>IF(R948&gt;='Inputs &amp; Guide'!$B$9,"HIGH",IF(R948&gt;=0.45,"WATCH","NORMAL"))</x:f>
        <x:v>HIGH</x:v>
      </x:c>
    </x:row>
    <x:row r="949">
      <x:c r="A949" s="95" t="n">
        <x:v>7561</x:v>
      </x:c>
      <x:c r="B949" s="96" t="n">
        <x:v>45607</x:v>
      </x:c>
      <x:c r="C949" s="97" t="str">
        <x:v>Hurricane</x:v>
      </x:c>
      <x:c r="D949" s="97" t="str">
        <x:v>Indonesia</x:v>
      </x:c>
      <x:c r="E949" s="98" t="n">
        <x:v>5.16155777621274</x:v>
      </x:c>
      <x:c r="F949" s="99" t="n">
        <x:v>907.9675230188449</x:v>
      </x:c>
      <x:c r="G949" s="100" t="str">
        <x:f>XLOOKUP(D949,'Reference Tables'!$A$4:$A$23,'Reference Tables'!$B$4:$B$23,"Other")</x:f>
        <x:v>Asia Pacific</x:v>
      </x:c>
      <x:c r="H949" s="100" t="str">
        <x:f>VLOOKUP(G949,'Reference Tables'!$I$4:$J$9,2,FALSE)</x:f>
        <x:v>High</x:v>
      </x:c>
      <x:c r="I949" s="101" t="n">
        <x:f>F949*'Inputs &amp; Guide'!$B$4*XLOOKUP(D949,'Reference Tables'!$A$4:$A$23,'Reference Tables'!$C$4:$C$23,0.75)</x:f>
        <x:v>149.63304779350565</x:v>
      </x:c>
      <x:c r="J949" s="102" t="n">
        <x:f>XLOOKUP(C949,'Reference Tables'!$E$4:$E$12,'Reference Tables'!$F$4:$F$12,0.05)</x:f>
        <x:v>0.18</x:v>
      </x:c>
      <x:c r="K949" s="103" t="n">
        <x:f>MIN(I949,F949*J949)</x:f>
        <x:v>149.63304779350565</x:v>
      </x:c>
      <x:c r="L949" s="103" t="n">
        <x:f>'Inputs &amp; Guide'!$B$5</x:f>
        <x:v>15</x:v>
      </x:c>
      <x:c r="M949" s="103" t="n">
        <x:f>I949*'Inputs &amp; Guide'!$B$6</x:f>
        <x:v>82.29817628642812</x:v>
      </x:c>
      <x:c r="N949" s="103" t="n">
        <x:f>MAX(0,MIN(K949-L949,M949))</x:f>
        <x:v>82.29817628642812</x:v>
      </x:c>
      <x:c r="O949" s="103" t="n">
        <x:f>MAX(0,N949-'Inputs &amp; Guide'!$B$7)</x:f>
        <x:v>22.298176286428117</x:v>
      </x:c>
      <x:c r="P949" s="103" t="n">
        <x:f>N949-O949</x:f>
        <x:v>60</x:v>
      </x:c>
      <x:c r="Q949" s="103" t="n">
        <x:f>I949*'Inputs &amp; Guide'!$B$8</x:f>
        <x:v>2.6933948602831017</x:v>
      </x:c>
      <x:c r="R949" s="104" t="n">
        <x:f>IFERROR(P949/Q949,0)</x:f>
        <x:v>22.27671882974241</x:v>
      </x:c>
      <x:c r="S949" s="105" t="n">
        <x:f>ROUND(E949*XLOOKUP(C949,'Reference Tables'!$E$4:$E$12,'Reference Tables'!$G$4:$G$12,1),1)</x:f>
        <x:v>7.2</x:v>
      </x:c>
      <x:c r="T949" s="106" t="str">
        <x:f>IF(R949&gt;='Inputs &amp; Guide'!$B$9,"HIGH",IF(R949&gt;=0.45,"WATCH","NORMAL"))</x:f>
        <x:v>HIGH</x:v>
      </x:c>
    </x:row>
    <x:row r="950">
      <x:c r="A950" s="95" t="n">
        <x:v>7569</x:v>
      </x:c>
      <x:c r="B950" s="96" t="n">
        <x:v>45607.104166666664</x:v>
      </x:c>
      <x:c r="C950" s="97" t="str">
        <x:v>Earthquake</x:v>
      </x:c>
      <x:c r="D950" s="97" t="str">
        <x:v>USA</x:v>
      </x:c>
      <x:c r="E950" s="98" t="n">
        <x:v>6.075414863654295</x:v>
      </x:c>
      <x:c r="F950" s="99" t="n">
        <x:v>353.8357508013854</x:v>
      </x:c>
      <x:c r="G950" s="100" t="str">
        <x:f>XLOOKUP(D950,'Reference Tables'!$A$4:$A$23,'Reference Tables'!$B$4:$B$23,"Other")</x:f>
        <x:v>Other</x:v>
      </x:c>
      <x:c r="H950" s="100" t="str">
        <x:f>VLOOKUP(G950,'Reference Tables'!$I$4:$J$9,2,FALSE)</x:f>
        <x:v>Moderate</x:v>
      </x:c>
      <x:c r="I950" s="101" t="n">
        <x:f>F950*'Inputs &amp; Guide'!$B$4*XLOOKUP(D950,'Reference Tables'!$A$4:$A$23,'Reference Tables'!$C$4:$C$23,0.75)</x:f>
        <x:v>42.46029009616625</x:v>
      </x:c>
      <x:c r="J950" s="102" t="n">
        <x:f>XLOOKUP(C950,'Reference Tables'!$E$4:$E$12,'Reference Tables'!$F$4:$F$12,0.05)</x:f>
        <x:v>0.14</x:v>
      </x:c>
      <x:c r="K950" s="103" t="n">
        <x:f>MIN(I950,F950*J950)</x:f>
        <x:v>42.46029009616625</x:v>
      </x:c>
      <x:c r="L950" s="103" t="n">
        <x:f>'Inputs &amp; Guide'!$B$5</x:f>
        <x:v>15</x:v>
      </x:c>
      <x:c r="M950" s="103" t="n">
        <x:f>I950*'Inputs &amp; Guide'!$B$6</x:f>
        <x:v>23.353159552891437</x:v>
      </x:c>
      <x:c r="N950" s="103" t="n">
        <x:f>MAX(0,MIN(K950-L950,M950))</x:f>
        <x:v>23.353159552891437</x:v>
      </x:c>
      <x:c r="O950" s="103" t="n">
        <x:f>MAX(0,N950-'Inputs &amp; Guide'!$B$7)</x:f>
        <x:v>0</x:v>
      </x:c>
      <x:c r="P950" s="103" t="n">
        <x:f>N950-O950</x:f>
        <x:v>23.353159552891437</x:v>
      </x:c>
      <x:c r="Q950" s="103" t="n">
        <x:f>I950*'Inputs &amp; Guide'!$B$8</x:f>
        <x:v>0.7642852217309923</x:v>
      </x:c>
      <x:c r="R950" s="104" t="n">
        <x:f>IFERROR(P950/Q950,0)</x:f>
        <x:v>30.55555555555556</x:v>
      </x:c>
      <x:c r="S950" s="105" t="n">
        <x:f>ROUND(E950*XLOOKUP(C950,'Reference Tables'!$E$4:$E$12,'Reference Tables'!$G$4:$G$12,1),1)</x:f>
        <x:v>9.1</x:v>
      </x:c>
      <x:c r="T950" s="106" t="str">
        <x:f>IF(R950&gt;='Inputs &amp; Guide'!$B$9,"HIGH",IF(R950&gt;=0.45,"WATCH","NORMAL"))</x:f>
        <x:v>HIGH</x:v>
      </x:c>
    </x:row>
    <x:row r="951">
      <x:c r="A951" s="95" t="n">
        <x:v>7577</x:v>
      </x:c>
      <x:c r="B951" s="96" t="n">
        <x:v>45607.4375</x:v>
      </x:c>
      <x:c r="C951" s="97" t="str">
        <x:v>Wildfire</x:v>
      </x:c>
      <x:c r="D951" s="97" t="str">
        <x:v>India</x:v>
      </x:c>
      <x:c r="E951" s="98" t="n">
        <x:v>1.0249040148128685</x:v>
      </x:c>
      <x:c r="F951" s="99" t="n">
        <x:v>453.1123848128254</x:v>
      </x:c>
      <x:c r="G951" s="100" t="str">
        <x:f>XLOOKUP(D951,'Reference Tables'!$A$4:$A$23,'Reference Tables'!$B$4:$B$23,"Other")</x:f>
        <x:v>Asia Pacific</x:v>
      </x:c>
      <x:c r="H951" s="100" t="str">
        <x:f>VLOOKUP(G951,'Reference Tables'!$I$4:$J$9,2,FALSE)</x:f>
        <x:v>High</x:v>
      </x:c>
      <x:c r="I951" s="101" t="n">
        <x:f>F951*'Inputs &amp; Guide'!$B$4*XLOOKUP(D951,'Reference Tables'!$A$4:$A$23,'Reference Tables'!$C$4:$C$23,0.75)</x:f>
        <x:v>65.97316322874738</x:v>
      </x:c>
      <x:c r="J951" s="102" t="n">
        <x:f>XLOOKUP(C951,'Reference Tables'!$E$4:$E$12,'Reference Tables'!$F$4:$F$12,0.05)</x:f>
        <x:v>0.1</x:v>
      </x:c>
      <x:c r="K951" s="103" t="n">
        <x:f>MIN(I951,F951*J951)</x:f>
        <x:v>45.311238481282544</x:v>
      </x:c>
      <x:c r="L951" s="103" t="n">
        <x:f>'Inputs &amp; Guide'!$B$5</x:f>
        <x:v>15</x:v>
      </x:c>
      <x:c r="M951" s="103" t="n">
        <x:f>I951*'Inputs &amp; Guide'!$B$6</x:f>
        <x:v>36.285239775811064</x:v>
      </x:c>
      <x:c r="N951" s="103" t="n">
        <x:f>MAX(0,MIN(K951-L951,M951))</x:f>
        <x:v>30.311238481282544</x:v>
      </x:c>
      <x:c r="O951" s="103" t="n">
        <x:f>MAX(0,N951-'Inputs &amp; Guide'!$B$7)</x:f>
        <x:v>0</x:v>
      </x:c>
      <x:c r="P951" s="103" t="n">
        <x:f>N951-O951</x:f>
        <x:v>30.311238481282544</x:v>
      </x:c>
      <x:c r="Q951" s="103" t="n">
        <x:f>I951*'Inputs &amp; Guide'!$B$8</x:f>
        <x:v>1.1875169381174528</x:v>
      </x:c>
      <x:c r="R951" s="104" t="n">
        <x:f>IFERROR(P951/Q951,0)</x:f>
        <x:v>25.524889379122754</x:v>
      </x:c>
      <x:c r="S951" s="105" t="n">
        <x:f>ROUND(E951*XLOOKUP(C951,'Reference Tables'!$E$4:$E$12,'Reference Tables'!$G$4:$G$12,1),1)</x:f>
        <x:v>1.2</x:v>
      </x:c>
      <x:c r="T951" s="106" t="str">
        <x:f>IF(R951&gt;='Inputs &amp; Guide'!$B$9,"HIGH",IF(R951&gt;=0.45,"WATCH","NORMAL"))</x:f>
        <x:v>HIGH</x:v>
      </x:c>
    </x:row>
    <x:row r="952">
      <x:c r="A952" s="95" t="n">
        <x:v>7585</x:v>
      </x:c>
      <x:c r="B952" s="96" t="n">
        <x:v>45608</x:v>
      </x:c>
      <x:c r="C952" s="97" t="str">
        <x:v>Tornado</x:v>
      </x:c>
      <x:c r="D952" s="97" t="str">
        <x:v>India</x:v>
      </x:c>
      <x:c r="E952" s="98" t="n">
        <x:v>9.875626190835357</x:v>
      </x:c>
      <x:c r="F952" s="99" t="n">
        <x:v>218.1232423451031</x:v>
      </x:c>
      <x:c r="G952" s="100" t="str">
        <x:f>XLOOKUP(D952,'Reference Tables'!$A$4:$A$23,'Reference Tables'!$B$4:$B$23,"Other")</x:f>
        <x:v>Asia Pacific</x:v>
      </x:c>
      <x:c r="H952" s="100" t="str">
        <x:f>VLOOKUP(G952,'Reference Tables'!$I$4:$J$9,2,FALSE)</x:f>
        <x:v>High</x:v>
      </x:c>
      <x:c r="I952" s="101" t="n">
        <x:f>F952*'Inputs &amp; Guide'!$B$4*XLOOKUP(D952,'Reference Tables'!$A$4:$A$23,'Reference Tables'!$C$4:$C$23,0.75)</x:f>
        <x:v>31.758744085447017</x:v>
      </x:c>
      <x:c r="J952" s="102" t="n">
        <x:f>XLOOKUP(C952,'Reference Tables'!$E$4:$E$12,'Reference Tables'!$F$4:$F$12,0.05)</x:f>
        <x:v>0.09</x:v>
      </x:c>
      <x:c r="K952" s="103" t="n">
        <x:f>MIN(I952,F952*J952)</x:f>
        <x:v>19.631091811059278</x:v>
      </x:c>
      <x:c r="L952" s="103" t="n">
        <x:f>'Inputs &amp; Guide'!$B$5</x:f>
        <x:v>15</x:v>
      </x:c>
      <x:c r="M952" s="103" t="n">
        <x:f>I952*'Inputs &amp; Guide'!$B$6</x:f>
        <x:v>17.46730924699586</x:v>
      </x:c>
      <x:c r="N952" s="103" t="n">
        <x:f>MAX(0,MIN(K952-L952,M952))</x:f>
        <x:v>4.631091811059278</x:v>
      </x:c>
      <x:c r="O952" s="103" t="n">
        <x:f>MAX(0,N952-'Inputs &amp; Guide'!$B$7)</x:f>
        <x:v>0</x:v>
      </x:c>
      <x:c r="P952" s="103" t="n">
        <x:f>N952-O952</x:f>
        <x:v>4.631091811059278</x:v>
      </x:c>
      <x:c r="Q952" s="103" t="n">
        <x:f>I952*'Inputs &amp; Guide'!$B$8</x:f>
        <x:v>0.5716573935380462</x:v>
      </x:c>
      <x:c r="R952" s="104" t="n">
        <x:f>IFERROR(P952/Q952,0)</x:f>
        <x:v>8.10116664878062</x:v>
      </x:c>
      <x:c r="S952" s="105" t="n">
        <x:f>ROUND(E952*XLOOKUP(C952,'Reference Tables'!$E$4:$E$12,'Reference Tables'!$G$4:$G$12,1),1)</x:f>
        <x:v>10.4</x:v>
      </x:c>
      <x:c r="T952" s="106" t="str">
        <x:f>IF(R952&gt;='Inputs &amp; Guide'!$B$9,"HIGH",IF(R952&gt;=0.45,"WATCH","NORMAL"))</x:f>
        <x:v>HIGH</x:v>
      </x:c>
    </x:row>
    <x:row r="953">
      <x:c r="A953" s="95" t="n">
        <x:v>7593</x:v>
      </x:c>
      <x:c r="B953" s="96" t="n">
        <x:v>45608.104166666664</x:v>
      </x:c>
      <x:c r="C953" s="97" t="str">
        <x:v>Hurricane</x:v>
      </x:c>
      <x:c r="D953" s="97" t="str">
        <x:v>Japan</x:v>
      </x:c>
      <x:c r="E953" s="98" t="n">
        <x:v>7.0746299808302755</x:v>
      </x:c>
      <x:c r="F953" s="99" t="n">
        <x:v>930.1683686349171</x:v>
      </x:c>
      <x:c r="G953" s="100" t="str">
        <x:f>XLOOKUP(D953,'Reference Tables'!$A$4:$A$23,'Reference Tables'!$B$4:$B$23,"Other")</x:f>
        <x:v>Asia Pacific</x:v>
      </x:c>
      <x:c r="H953" s="100" t="str">
        <x:f>VLOOKUP(G953,'Reference Tables'!$I$4:$J$9,2,FALSE)</x:f>
        <x:v>High</x:v>
      </x:c>
      <x:c r="I953" s="101" t="n">
        <x:f>F953*'Inputs &amp; Guide'!$B$4*XLOOKUP(D953,'Reference Tables'!$A$4:$A$23,'Reference Tables'!$C$4:$C$23,0.75)</x:f>
        <x:v>175.61578799827237</x:v>
      </x:c>
      <x:c r="J953" s="102" t="n">
        <x:f>XLOOKUP(C953,'Reference Tables'!$E$4:$E$12,'Reference Tables'!$F$4:$F$12,0.05)</x:f>
        <x:v>0.18</x:v>
      </x:c>
      <x:c r="K953" s="103" t="n">
        <x:f>MIN(I953,F953*J953)</x:f>
        <x:v>167.43030635428508</x:v>
      </x:c>
      <x:c r="L953" s="103" t="n">
        <x:f>'Inputs &amp; Guide'!$B$5</x:f>
        <x:v>15</x:v>
      </x:c>
      <x:c r="M953" s="103" t="n">
        <x:f>I953*'Inputs &amp; Guide'!$B$6</x:f>
        <x:v>96.58868339904981</x:v>
      </x:c>
      <x:c r="N953" s="103" t="n">
        <x:f>MAX(0,MIN(K953-L953,M953))</x:f>
        <x:v>96.58868339904981</x:v>
      </x:c>
      <x:c r="O953" s="103" t="n">
        <x:f>MAX(0,N953-'Inputs &amp; Guide'!$B$7)</x:f>
        <x:v>36.58868339904981</x:v>
      </x:c>
      <x:c r="P953" s="103" t="n">
        <x:f>N953-O953</x:f>
        <x:v>60</x:v>
      </x:c>
      <x:c r="Q953" s="103" t="n">
        <x:f>I953*'Inputs &amp; Guide'!$B$8</x:f>
        <x:v>3.1610841839689026</x:v>
      </x:c>
      <x:c r="R953" s="104" t="n">
        <x:f>IFERROR(P953/Q953,0)</x:f>
        <x:v>18.980829521808854</x:v>
      </x:c>
      <x:c r="S953" s="105" t="n">
        <x:f>ROUND(E953*XLOOKUP(C953,'Reference Tables'!$E$4:$E$12,'Reference Tables'!$G$4:$G$12,1),1)</x:f>
        <x:v>9.9</x:v>
      </x:c>
      <x:c r="T953" s="106" t="str">
        <x:f>IF(R953&gt;='Inputs &amp; Guide'!$B$9,"HIGH",IF(R953&gt;=0.45,"WATCH","NORMAL"))</x:f>
        <x:v>HIGH</x:v>
      </x:c>
    </x:row>
    <x:row r="954">
      <x:c r="A954" s="95" t="n">
        <x:v>7601</x:v>
      </x:c>
      <x:c r="B954" s="96" t="n">
        <x:v>45608.4375</x:v>
      </x:c>
      <x:c r="C954" s="97" t="str">
        <x:v>Tornado</x:v>
      </x:c>
      <x:c r="D954" s="97" t="str">
        <x:v>China</x:v>
      </x:c>
      <x:c r="E954" s="98" t="n">
        <x:v>1.9921009969160084</x:v>
      </x:c>
      <x:c r="F954" s="99" t="n">
        <x:v>982.8258916257557</x:v>
      </x:c>
      <x:c r="G954" s="100" t="str">
        <x:f>XLOOKUP(D954,'Reference Tables'!$A$4:$A$23,'Reference Tables'!$B$4:$B$23,"Other")</x:f>
        <x:v>Asia Pacific</x:v>
      </x:c>
      <x:c r="H954" s="100" t="str">
        <x:f>VLOOKUP(G954,'Reference Tables'!$I$4:$J$9,2,FALSE)</x:f>
        <x:v>High</x:v>
      </x:c>
      <x:c r="I954" s="101" t="n">
        <x:f>F954*'Inputs &amp; Guide'!$B$4*XLOOKUP(D954,'Reference Tables'!$A$4:$A$23,'Reference Tables'!$C$4:$C$23,0.75)</x:f>
        <x:v>169.8323140729306</x:v>
      </x:c>
      <x:c r="J954" s="102" t="n">
        <x:f>XLOOKUP(C954,'Reference Tables'!$E$4:$E$12,'Reference Tables'!$F$4:$F$12,0.05)</x:f>
        <x:v>0.09</x:v>
      </x:c>
      <x:c r="K954" s="103" t="n">
        <x:f>MIN(I954,F954*J954)</x:f>
        <x:v>88.45433024631801</x:v>
      </x:c>
      <x:c r="L954" s="103" t="n">
        <x:f>'Inputs &amp; Guide'!$B$5</x:f>
        <x:v>15</x:v>
      </x:c>
      <x:c r="M954" s="103" t="n">
        <x:f>I954*'Inputs &amp; Guide'!$B$6</x:f>
        <x:v>93.40777274011182</x:v>
      </x:c>
      <x:c r="N954" s="103" t="n">
        <x:f>MAX(0,MIN(K954-L954,M954))</x:f>
        <x:v>73.45433024631801</x:v>
      </x:c>
      <x:c r="O954" s="103" t="n">
        <x:f>MAX(0,N954-'Inputs &amp; Guide'!$B$7)</x:f>
        <x:v>13.454330246318008</x:v>
      </x:c>
      <x:c r="P954" s="103" t="n">
        <x:f>N954-O954</x:f>
        <x:v>60</x:v>
      </x:c>
      <x:c r="Q954" s="103" t="n">
        <x:f>I954*'Inputs &amp; Guide'!$B$8</x:f>
        <x:v>3.0569816533127505</x:v>
      </x:c>
      <x:c r="R954" s="104" t="n">
        <x:f>IFERROR(P954/Q954,0)</x:f>
        <x:v>19.6272031711345</x:v>
      </x:c>
      <x:c r="S954" s="105" t="n">
        <x:f>ROUND(E954*XLOOKUP(C954,'Reference Tables'!$E$4:$E$12,'Reference Tables'!$G$4:$G$12,1),1)</x:f>
        <x:v>2.1</x:v>
      </x:c>
      <x:c r="T954" s="106" t="str">
        <x:f>IF(R954&gt;='Inputs &amp; Guide'!$B$9,"HIGH",IF(R954&gt;=0.45,"WATCH","NORMAL"))</x:f>
        <x:v>HIGH</x:v>
      </x:c>
    </x:row>
    <x:row r="955">
      <x:c r="A955" s="95" t="n">
        <x:v>7609</x:v>
      </x:c>
      <x:c r="B955" s="96" t="n">
        <x:v>45609</x:v>
      </x:c>
      <x:c r="C955" s="97" t="str">
        <x:v>Flood</x:v>
      </x:c>
      <x:c r="D955" s="97" t="str">
        <x:v>Indonesia</x:v>
      </x:c>
      <x:c r="E955" s="98" t="n">
        <x:v>9.294026478778605</x:v>
      </x:c>
      <x:c r="F955" s="99" t="n">
        <x:v>512.874219237214</x:v>
      </x:c>
      <x:c r="G955" s="100" t="str">
        <x:f>XLOOKUP(D955,'Reference Tables'!$A$4:$A$23,'Reference Tables'!$B$4:$B$23,"Other")</x:f>
        <x:v>Asia Pacific</x:v>
      </x:c>
      <x:c r="H955" s="100" t="str">
        <x:f>VLOOKUP(G955,'Reference Tables'!$I$4:$J$9,2,FALSE)</x:f>
        <x:v>High</x:v>
      </x:c>
      <x:c r="I955" s="101" t="n">
        <x:f>F955*'Inputs &amp; Guide'!$B$4*XLOOKUP(D955,'Reference Tables'!$A$4:$A$23,'Reference Tables'!$C$4:$C$23,0.75)</x:f>
        <x:v>84.52167133029288</x:v>
      </x:c>
      <x:c r="J955" s="102" t="n">
        <x:f>XLOOKUP(C955,'Reference Tables'!$E$4:$E$12,'Reference Tables'!$F$4:$F$12,0.05)</x:f>
        <x:v>0.12</x:v>
      </x:c>
      <x:c r="K955" s="103" t="n">
        <x:f>MIN(I955,F955*J955)</x:f>
        <x:v>61.54490630846568</x:v>
      </x:c>
      <x:c r="L955" s="103" t="n">
        <x:f>'Inputs &amp; Guide'!$B$5</x:f>
        <x:v>15</x:v>
      </x:c>
      <x:c r="M955" s="103" t="n">
        <x:f>I955*'Inputs &amp; Guide'!$B$6</x:f>
        <x:v>46.48691923166108</x:v>
      </x:c>
      <x:c r="N955" s="103" t="n">
        <x:f>MAX(0,MIN(K955-L955,M955))</x:f>
        <x:v>46.48691923166108</x:v>
      </x:c>
      <x:c r="O955" s="103" t="n">
        <x:f>MAX(0,N955-'Inputs &amp; Guide'!$B$7)</x:f>
        <x:v>0</x:v>
      </x:c>
      <x:c r="P955" s="103" t="n">
        <x:f>N955-O955</x:f>
        <x:v>46.48691923166108</x:v>
      </x:c>
      <x:c r="Q955" s="103" t="n">
        <x:f>I955*'Inputs &amp; Guide'!$B$8</x:f>
        <x:v>1.5213900839452716</x:v>
      </x:c>
      <x:c r="R955" s="104" t="n">
        <x:f>IFERROR(P955/Q955,0)</x:f>
        <x:v>30.55555555555556</x:v>
      </x:c>
      <x:c r="S955" s="105" t="n">
        <x:f>ROUND(E955*XLOOKUP(C955,'Reference Tables'!$E$4:$E$12,'Reference Tables'!$G$4:$G$12,1),1)</x:f>
        <x:v>11.6</x:v>
      </x:c>
      <x:c r="T955" s="106" t="str">
        <x:f>IF(R955&gt;='Inputs &amp; Guide'!$B$9,"HIGH",IF(R955&gt;=0.45,"WATCH","NORMAL"))</x:f>
        <x:v>HIGH</x:v>
      </x:c>
    </x:row>
    <x:row r="956">
      <x:c r="A956" s="95" t="n">
        <x:v>7617</x:v>
      </x:c>
      <x:c r="B956" s="96" t="n">
        <x:v>45609.104166666664</x:v>
      </x:c>
      <x:c r="C956" s="97" t="str">
        <x:v>Hurricane</x:v>
      </x:c>
      <x:c r="D956" s="97" t="str">
        <x:v>China</x:v>
      </x:c>
      <x:c r="E956" s="98" t="n">
        <x:v>9.700452665662468</x:v>
      </x:c>
      <x:c r="F956" s="99" t="n">
        <x:v>206.3055444881717</x:v>
      </x:c>
      <x:c r="G956" s="100" t="str">
        <x:f>XLOOKUP(D956,'Reference Tables'!$A$4:$A$23,'Reference Tables'!$B$4:$B$23,"Other")</x:f>
        <x:v>Asia Pacific</x:v>
      </x:c>
      <x:c r="H956" s="100" t="str">
        <x:f>VLOOKUP(G956,'Reference Tables'!$I$4:$J$9,2,FALSE)</x:f>
        <x:v>High</x:v>
      </x:c>
      <x:c r="I956" s="101" t="n">
        <x:f>F956*'Inputs &amp; Guide'!$B$4*XLOOKUP(D956,'Reference Tables'!$A$4:$A$23,'Reference Tables'!$C$4:$C$23,0.75)</x:f>
        <x:v>35.64959808755607</x:v>
      </x:c>
      <x:c r="J956" s="102" t="n">
        <x:f>XLOOKUP(C956,'Reference Tables'!$E$4:$E$12,'Reference Tables'!$F$4:$F$12,0.05)</x:f>
        <x:v>0.18</x:v>
      </x:c>
      <x:c r="K956" s="103" t="n">
        <x:f>MIN(I956,F956*J956)</x:f>
        <x:v>35.64959808755607</x:v>
      </x:c>
      <x:c r="L956" s="103" t="n">
        <x:f>'Inputs &amp; Guide'!$B$5</x:f>
        <x:v>15</x:v>
      </x:c>
      <x:c r="M956" s="103" t="n">
        <x:f>I956*'Inputs &amp; Guide'!$B$6</x:f>
        <x:v>19.60727894815584</x:v>
      </x:c>
      <x:c r="N956" s="103" t="n">
        <x:f>MAX(0,MIN(K956-L956,M956))</x:f>
        <x:v>19.60727894815584</x:v>
      </x:c>
      <x:c r="O956" s="103" t="n">
        <x:f>MAX(0,N956-'Inputs &amp; Guide'!$B$7)</x:f>
        <x:v>0</x:v>
      </x:c>
      <x:c r="P956" s="103" t="n">
        <x:f>N956-O956</x:f>
        <x:v>19.60727894815584</x:v>
      </x:c>
      <x:c r="Q956" s="103" t="n">
        <x:f>I956*'Inputs &amp; Guide'!$B$8</x:f>
        <x:v>0.6416927655760093</x:v>
      </x:c>
      <x:c r="R956" s="104" t="n">
        <x:f>IFERROR(P956/Q956,0)</x:f>
        <x:v>30.555555555555557</x:v>
      </x:c>
      <x:c r="S956" s="105" t="n">
        <x:f>ROUND(E956*XLOOKUP(C956,'Reference Tables'!$E$4:$E$12,'Reference Tables'!$G$4:$G$12,1),1)</x:f>
        <x:v>13.6</x:v>
      </x:c>
      <x:c r="T956" s="106" t="str">
        <x:f>IF(R956&gt;='Inputs &amp; Guide'!$B$9,"HIGH",IF(R956&gt;=0.45,"WATCH","NORMAL"))</x:f>
        <x:v>HIGH</x:v>
      </x:c>
    </x:row>
    <x:row r="957">
      <x:c r="A957" s="95" t="n">
        <x:v>7625</x:v>
      </x:c>
      <x:c r="B957" s="96" t="n">
        <x:v>45609.4375</x:v>
      </x:c>
      <x:c r="C957" s="97" t="str">
        <x:v>Tornado</x:v>
      </x:c>
      <x:c r="D957" s="97" t="str">
        <x:v>India</x:v>
      </x:c>
      <x:c r="E957" s="98" t="n">
        <x:v>8.743015279699707</x:v>
      </x:c>
      <x:c r="F957" s="99" t="n">
        <x:v>15.94780069764293</x:v>
      </x:c>
      <x:c r="G957" s="100" t="str">
        <x:f>XLOOKUP(D957,'Reference Tables'!$A$4:$A$23,'Reference Tables'!$B$4:$B$23,"Other")</x:f>
        <x:v>Asia Pacific</x:v>
      </x:c>
      <x:c r="H957" s="100" t="str">
        <x:f>VLOOKUP(G957,'Reference Tables'!$I$4:$J$9,2,FALSE)</x:f>
        <x:v>High</x:v>
      </x:c>
      <x:c r="I957" s="101" t="n">
        <x:f>F957*'Inputs &amp; Guide'!$B$4*XLOOKUP(D957,'Reference Tables'!$A$4:$A$23,'Reference Tables'!$C$4:$C$23,0.75)</x:f>
        <x:v>2.3219997815768108</x:v>
      </x:c>
      <x:c r="J957" s="102" t="n">
        <x:f>XLOOKUP(C957,'Reference Tables'!$E$4:$E$12,'Reference Tables'!$F$4:$F$12,0.05)</x:f>
        <x:v>0.09</x:v>
      </x:c>
      <x:c r="K957" s="103" t="n">
        <x:f>MIN(I957,F957*J957)</x:f>
        <x:v>1.4353020627878637</x:v>
      </x:c>
      <x:c r="L957" s="103" t="n">
        <x:f>'Inputs &amp; Guide'!$B$5</x:f>
        <x:v>15</x:v>
      </x:c>
      <x:c r="M957" s="103" t="n">
        <x:f>I957*'Inputs &amp; Guide'!$B$6</x:f>
        <x:v>1.277099879867246</x:v>
      </x:c>
      <x:c r="N957" s="103" t="n">
        <x:f>MAX(0,MIN(K957-L957,M957))</x:f>
        <x:v>0</x:v>
      </x:c>
      <x:c r="O957" s="103" t="n">
        <x:f>MAX(0,N957-'Inputs &amp; Guide'!$B$7)</x:f>
        <x:v>0</x:v>
      </x:c>
      <x:c r="P957" s="103" t="n">
        <x:f>N957-O957</x:f>
        <x:v>0</x:v>
      </x:c>
      <x:c r="Q957" s="103" t="n">
        <x:f>I957*'Inputs &amp; Guide'!$B$8</x:f>
        <x:v>0.04179599606838259</x:v>
      </x:c>
      <x:c r="R957" s="104" t="n">
        <x:f>IFERROR(P957/Q957,0)</x:f>
        <x:v>0</x:v>
      </x:c>
      <x:c r="S957" s="105" t="n">
        <x:f>ROUND(E957*XLOOKUP(C957,'Reference Tables'!$E$4:$E$12,'Reference Tables'!$G$4:$G$12,1),1)</x:f>
        <x:v>9.2</x:v>
      </x:c>
      <x:c r="T957" s="106" t="str">
        <x:f>IF(R957&gt;='Inputs &amp; Guide'!$B$9,"HIGH",IF(R957&gt;=0.45,"WATCH","NORMAL"))</x:f>
        <x:v>NORMAL</x:v>
      </x:c>
    </x:row>
    <x:row r="958">
      <x:c r="A958" s="95" t="n">
        <x:v>7633</x:v>
      </x:c>
      <x:c r="B958" s="96" t="n">
        <x:v>45610</x:v>
      </x:c>
      <x:c r="C958" s="97" t="str">
        <x:v>Flood</x:v>
      </x:c>
      <x:c r="D958" s="97" t="str">
        <x:v>USA</x:v>
      </x:c>
      <x:c r="E958" s="98" t="n">
        <x:v>3.6280483377686092</x:v>
      </x:c>
      <x:c r="F958" s="99" t="n">
        <x:v>987.7219046781248</x:v>
      </x:c>
      <x:c r="G958" s="100" t="str">
        <x:f>XLOOKUP(D958,'Reference Tables'!$A$4:$A$23,'Reference Tables'!$B$4:$B$23,"Other")</x:f>
        <x:v>Other</x:v>
      </x:c>
      <x:c r="H958" s="100" t="str">
        <x:f>VLOOKUP(G958,'Reference Tables'!$I$4:$J$9,2,FALSE)</x:f>
        <x:v>Moderate</x:v>
      </x:c>
      <x:c r="I958" s="101" t="n">
        <x:f>F958*'Inputs &amp; Guide'!$B$4*XLOOKUP(D958,'Reference Tables'!$A$4:$A$23,'Reference Tables'!$C$4:$C$23,0.75)</x:f>
        <x:v>118.52662856137496</x:v>
      </x:c>
      <x:c r="J958" s="102" t="n">
        <x:f>XLOOKUP(C958,'Reference Tables'!$E$4:$E$12,'Reference Tables'!$F$4:$F$12,0.05)</x:f>
        <x:v>0.12</x:v>
      </x:c>
      <x:c r="K958" s="103" t="n">
        <x:f>MIN(I958,F958*J958)</x:f>
        <x:v>118.52662856137496</x:v>
      </x:c>
      <x:c r="L958" s="103" t="n">
        <x:f>'Inputs &amp; Guide'!$B$5</x:f>
        <x:v>15</x:v>
      </x:c>
      <x:c r="M958" s="103" t="n">
        <x:f>I958*'Inputs &amp; Guide'!$B$6</x:f>
        <x:v>65.18964570875623</x:v>
      </x:c>
      <x:c r="N958" s="103" t="n">
        <x:f>MAX(0,MIN(K958-L958,M958))</x:f>
        <x:v>65.18964570875623</x:v>
      </x:c>
      <x:c r="O958" s="103" t="n">
        <x:f>MAX(0,N958-'Inputs &amp; Guide'!$B$7)</x:f>
        <x:v>5.189645708756231</x:v>
      </x:c>
      <x:c r="P958" s="103" t="n">
        <x:f>N958-O958</x:f>
        <x:v>60</x:v>
      </x:c>
      <x:c r="Q958" s="103" t="n">
        <x:f>I958*'Inputs &amp; Guide'!$B$8</x:f>
        <x:v>2.1334793141047492</x:v>
      </x:c>
      <x:c r="R958" s="104" t="n">
        <x:f>IFERROR(P958/Q958,0)</x:f>
        <x:v>28.123075580499457</x:v>
      </x:c>
      <x:c r="S958" s="105" t="n">
        <x:f>ROUND(E958*XLOOKUP(C958,'Reference Tables'!$E$4:$E$12,'Reference Tables'!$G$4:$G$12,1),1)</x:f>
        <x:v>4.5</x:v>
      </x:c>
      <x:c r="T958" s="106" t="str">
        <x:f>IF(R958&gt;='Inputs &amp; Guide'!$B$9,"HIGH",IF(R958&gt;=0.45,"WATCH","NORMAL"))</x:f>
        <x:v>HIGH</x:v>
      </x:c>
    </x:row>
    <x:row r="959">
      <x:c r="A959" s="95" t="n">
        <x:v>7641</x:v>
      </x:c>
      <x:c r="B959" s="96" t="n">
        <x:v>45610.104166666664</x:v>
      </x:c>
      <x:c r="C959" s="97" t="str">
        <x:v>Hurricane</x:v>
      </x:c>
      <x:c r="D959" s="97" t="str">
        <x:v>Japan</x:v>
      </x:c>
      <x:c r="E959" s="98" t="n">
        <x:v>6.572124206881193</x:v>
      </x:c>
      <x:c r="F959" s="99" t="n">
        <x:v>935.1617999854216</x:v>
      </x:c>
      <x:c r="G959" s="100" t="str">
        <x:f>XLOOKUP(D959,'Reference Tables'!$A$4:$A$23,'Reference Tables'!$B$4:$B$23,"Other")</x:f>
        <x:v>Asia Pacific</x:v>
      </x:c>
      <x:c r="H959" s="100" t="str">
        <x:f>VLOOKUP(G959,'Reference Tables'!$I$4:$J$9,2,FALSE)</x:f>
        <x:v>High</x:v>
      </x:c>
      <x:c r="I959" s="101" t="n">
        <x:f>F959*'Inputs &amp; Guide'!$B$4*XLOOKUP(D959,'Reference Tables'!$A$4:$A$23,'Reference Tables'!$C$4:$C$23,0.75)</x:f>
        <x:v>176.5585478372476</x:v>
      </x:c>
      <x:c r="J959" s="102" t="n">
        <x:f>XLOOKUP(C959,'Reference Tables'!$E$4:$E$12,'Reference Tables'!$F$4:$F$12,0.05)</x:f>
        <x:v>0.18</x:v>
      </x:c>
      <x:c r="K959" s="103" t="n">
        <x:f>MIN(I959,F959*J959)</x:f>
        <x:v>168.3291239973759</x:v>
      </x:c>
      <x:c r="L959" s="103" t="n">
        <x:f>'Inputs &amp; Guide'!$B$5</x:f>
        <x:v>15</x:v>
      </x:c>
      <x:c r="M959" s="103" t="n">
        <x:f>I959*'Inputs &amp; Guide'!$B$6</x:f>
        <x:v>97.10720131048619</x:v>
      </x:c>
      <x:c r="N959" s="103" t="n">
        <x:f>MAX(0,MIN(K959-L959,M959))</x:f>
        <x:v>97.10720131048619</x:v>
      </x:c>
      <x:c r="O959" s="103" t="n">
        <x:f>MAX(0,N959-'Inputs &amp; Guide'!$B$7)</x:f>
        <x:v>37.10720131048619</x:v>
      </x:c>
      <x:c r="P959" s="103" t="n">
        <x:f>N959-O959</x:f>
        <x:v>60</x:v>
      </x:c>
      <x:c r="Q959" s="103" t="n">
        <x:f>I959*'Inputs &amp; Guide'!$B$8</x:f>
        <x:v>3.1780538610704565</x:v>
      </x:c>
      <x:c r="R959" s="104" t="n">
        <x:f>IFERROR(P959/Q959,0)</x:f>
        <x:v>18.879478644138</x:v>
      </x:c>
      <x:c r="S959" s="105" t="n">
        <x:f>ROUND(E959*XLOOKUP(C959,'Reference Tables'!$E$4:$E$12,'Reference Tables'!$G$4:$G$12,1),1)</x:f>
        <x:v>9.2</x:v>
      </x:c>
      <x:c r="T959" s="106" t="str">
        <x:f>IF(R959&gt;='Inputs &amp; Guide'!$B$9,"HIGH",IF(R959&gt;=0.45,"WATCH","NORMAL"))</x:f>
        <x:v>HIGH</x:v>
      </x:c>
    </x:row>
    <x:row r="960">
      <x:c r="A960" s="95" t="n">
        <x:v>7649</x:v>
      </x:c>
      <x:c r="B960" s="96" t="n">
        <x:v>45610.4375</x:v>
      </x:c>
      <x:c r="C960" s="97" t="str">
        <x:v>Flood</x:v>
      </x:c>
      <x:c r="D960" s="97" t="str">
        <x:v>India</x:v>
      </x:c>
      <x:c r="E960" s="98" t="n">
        <x:v>4.748401489732034</x:v>
      </x:c>
      <x:c r="F960" s="99" t="n">
        <x:v>906.1586268633879</x:v>
      </x:c>
      <x:c r="G960" s="100" t="str">
        <x:f>XLOOKUP(D960,'Reference Tables'!$A$4:$A$23,'Reference Tables'!$B$4:$B$23,"Other")</x:f>
        <x:v>Asia Pacific</x:v>
      </x:c>
      <x:c r="H960" s="100" t="str">
        <x:f>VLOOKUP(G960,'Reference Tables'!$I$4:$J$9,2,FALSE)</x:f>
        <x:v>High</x:v>
      </x:c>
      <x:c r="I960" s="101" t="n">
        <x:f>F960*'Inputs &amp; Guide'!$B$4*XLOOKUP(D960,'Reference Tables'!$A$4:$A$23,'Reference Tables'!$C$4:$C$23,0.75)</x:f>
        <x:v>131.93669607130929</x:v>
      </x:c>
      <x:c r="J960" s="102" t="n">
        <x:f>XLOOKUP(C960,'Reference Tables'!$E$4:$E$12,'Reference Tables'!$F$4:$F$12,0.05)</x:f>
        <x:v>0.12</x:v>
      </x:c>
      <x:c r="K960" s="103" t="n">
        <x:f>MIN(I960,F960*J960)</x:f>
        <x:v>108.73903522360655</x:v>
      </x:c>
      <x:c r="L960" s="103" t="n">
        <x:f>'Inputs &amp; Guide'!$B$5</x:f>
        <x:v>15</x:v>
      </x:c>
      <x:c r="M960" s="103" t="n">
        <x:f>I960*'Inputs &amp; Guide'!$B$6</x:f>
        <x:v>72.56518283922011</x:v>
      </x:c>
      <x:c r="N960" s="103" t="n">
        <x:f>MAX(0,MIN(K960-L960,M960))</x:f>
        <x:v>72.56518283922011</x:v>
      </x:c>
      <x:c r="O960" s="103" t="n">
        <x:f>MAX(0,N960-'Inputs &amp; Guide'!$B$7)</x:f>
        <x:v>12.565182839220114</x:v>
      </x:c>
      <x:c r="P960" s="103" t="n">
        <x:f>N960-O960</x:f>
        <x:v>60</x:v>
      </x:c>
      <x:c r="Q960" s="103" t="n">
        <x:f>I960*'Inputs &amp; Guide'!$B$8</x:f>
        <x:v>2.374860529283567</x:v>
      </x:c>
      <x:c r="R960" s="104" t="n">
        <x:f>IFERROR(P960/Q960,0)</x:f>
        <x:v>25.264641548487237</x:v>
      </x:c>
      <x:c r="S960" s="105" t="n">
        <x:f>ROUND(E960*XLOOKUP(C960,'Reference Tables'!$E$4:$E$12,'Reference Tables'!$G$4:$G$12,1),1)</x:f>
        <x:v>5.9</x:v>
      </x:c>
      <x:c r="T960" s="106" t="str">
        <x:f>IF(R960&gt;='Inputs &amp; Guide'!$B$9,"HIGH",IF(R960&gt;=0.45,"WATCH","NORMAL"))</x:f>
        <x:v>HIGH</x:v>
      </x:c>
    </x:row>
    <x:row r="961">
      <x:c r="A961" s="95" t="n">
        <x:v>7657</x:v>
      </x:c>
      <x:c r="B961" s="96" t="n">
        <x:v>45611</x:v>
      </x:c>
      <x:c r="C961" s="97" t="str">
        <x:v>Flood</x:v>
      </x:c>
      <x:c r="D961" s="97" t="str">
        <x:v>China</x:v>
      </x:c>
      <x:c r="E961" s="98" t="n">
        <x:v>8.092789652976663</x:v>
      </x:c>
      <x:c r="F961" s="99" t="n">
        <x:v>571.2292901867545</x:v>
      </x:c>
      <x:c r="G961" s="100" t="str">
        <x:f>XLOOKUP(D961,'Reference Tables'!$A$4:$A$23,'Reference Tables'!$B$4:$B$23,"Other")</x:f>
        <x:v>Asia Pacific</x:v>
      </x:c>
      <x:c r="H961" s="100" t="str">
        <x:f>VLOOKUP(G961,'Reference Tables'!$I$4:$J$9,2,FALSE)</x:f>
        <x:v>High</x:v>
      </x:c>
      <x:c r="I961" s="101" t="n">
        <x:f>F961*'Inputs &amp; Guide'!$B$4*XLOOKUP(D961,'Reference Tables'!$A$4:$A$23,'Reference Tables'!$C$4:$C$23,0.75)</x:f>
        <x:v>98.70842134427119</x:v>
      </x:c>
      <x:c r="J961" s="102" t="n">
        <x:f>XLOOKUP(C961,'Reference Tables'!$E$4:$E$12,'Reference Tables'!$F$4:$F$12,0.05)</x:f>
        <x:v>0.12</x:v>
      </x:c>
      <x:c r="K961" s="103" t="n">
        <x:f>MIN(I961,F961*J961)</x:f>
        <x:v>68.54751482241053</x:v>
      </x:c>
      <x:c r="L961" s="103" t="n">
        <x:f>'Inputs &amp; Guide'!$B$5</x:f>
        <x:v>15</x:v>
      </x:c>
      <x:c r="M961" s="103" t="n">
        <x:f>I961*'Inputs &amp; Guide'!$B$6</x:f>
        <x:v>54.289631739349154</x:v>
      </x:c>
      <x:c r="N961" s="103" t="n">
        <x:f>MAX(0,MIN(K961-L961,M961))</x:f>
        <x:v>53.547514822410534</x:v>
      </x:c>
      <x:c r="O961" s="103" t="n">
        <x:f>MAX(0,N961-'Inputs &amp; Guide'!$B$7)</x:f>
        <x:v>0</x:v>
      </x:c>
      <x:c r="P961" s="103" t="n">
        <x:f>N961-O961</x:f>
        <x:v>53.547514822410534</x:v>
      </x:c>
      <x:c r="Q961" s="103" t="n">
        <x:f>I961*'Inputs &amp; Guide'!$B$8</x:f>
        <x:v>1.7767515841968813</x:v>
      </x:c>
      <x:c r="R961" s="104" t="n">
        <x:f>IFERROR(P961/Q961,0)</x:f>
        <x:v>30.137873689649656</x:v>
      </x:c>
      <x:c r="S961" s="105" t="n">
        <x:f>ROUND(E961*XLOOKUP(C961,'Reference Tables'!$E$4:$E$12,'Reference Tables'!$G$4:$G$12,1),1)</x:f>
        <x:v>10.1</x:v>
      </x:c>
      <x:c r="T961" s="106" t="str">
        <x:f>IF(R961&gt;='Inputs &amp; Guide'!$B$9,"HIGH",IF(R961&gt;=0.45,"WATCH","NORMAL"))</x:f>
        <x:v>HIGH</x:v>
      </x:c>
    </x:row>
    <x:row r="962">
      <x:c r="A962" s="95" t="n">
        <x:v>7665</x:v>
      </x:c>
      <x:c r="B962" s="96" t="n">
        <x:v>45611.104166666664</x:v>
      </x:c>
      <x:c r="C962" s="97" t="str">
        <x:v>Wildfire</x:v>
      </x:c>
      <x:c r="D962" s="97" t="str">
        <x:v>India</x:v>
      </x:c>
      <x:c r="E962" s="98" t="n">
        <x:v>7.2205250381984225</x:v>
      </x:c>
      <x:c r="F962" s="99" t="n">
        <x:v>963.5821732154732</x:v>
      </x:c>
      <x:c r="G962" s="100" t="str">
        <x:f>XLOOKUP(D962,'Reference Tables'!$A$4:$A$23,'Reference Tables'!$B$4:$B$23,"Other")</x:f>
        <x:v>Asia Pacific</x:v>
      </x:c>
      <x:c r="H962" s="100" t="str">
        <x:f>VLOOKUP(G962,'Reference Tables'!$I$4:$J$9,2,FALSE)</x:f>
        <x:v>High</x:v>
      </x:c>
      <x:c r="I962" s="101" t="n">
        <x:f>F962*'Inputs &amp; Guide'!$B$4*XLOOKUP(D962,'Reference Tables'!$A$4:$A$23,'Reference Tables'!$C$4:$C$23,0.75)</x:f>
        <x:v>140.2975644201729</x:v>
      </x:c>
      <x:c r="J962" s="102" t="n">
        <x:f>XLOOKUP(C962,'Reference Tables'!$E$4:$E$12,'Reference Tables'!$F$4:$F$12,0.05)</x:f>
        <x:v>0.1</x:v>
      </x:c>
      <x:c r="K962" s="103" t="n">
        <x:f>MIN(I962,F962*J962)</x:f>
        <x:v>96.35821732154733</x:v>
      </x:c>
      <x:c r="L962" s="103" t="n">
        <x:f>'Inputs &amp; Guide'!$B$5</x:f>
        <x:v>15</x:v>
      </x:c>
      <x:c r="M962" s="103" t="n">
        <x:f>I962*'Inputs &amp; Guide'!$B$6</x:f>
        <x:v>77.16366043109511</x:v>
      </x:c>
      <x:c r="N962" s="103" t="n">
        <x:f>MAX(0,MIN(K962-L962,M962))</x:f>
        <x:v>77.16366043109511</x:v>
      </x:c>
      <x:c r="O962" s="103" t="n">
        <x:f>MAX(0,N962-'Inputs &amp; Guide'!$B$7)</x:f>
        <x:v>17.16366043109511</x:v>
      </x:c>
      <x:c r="P962" s="103" t="n">
        <x:f>N962-O962</x:f>
        <x:v>60</x:v>
      </x:c>
      <x:c r="Q962" s="103" t="n">
        <x:f>I962*'Inputs &amp; Guide'!$B$8</x:f>
        <x:v>2.525356159563112</x:v>
      </x:c>
      <x:c r="R962" s="104" t="n">
        <x:f>IFERROR(P962/Q962,0)</x:f>
        <x:v>23.759024948932364</x:v>
      </x:c>
      <x:c r="S962" s="105" t="n">
        <x:f>ROUND(E962*XLOOKUP(C962,'Reference Tables'!$E$4:$E$12,'Reference Tables'!$G$4:$G$12,1),1)</x:f>
        <x:v>8.3</x:v>
      </x:c>
      <x:c r="T962" s="106" t="str">
        <x:f>IF(R962&gt;='Inputs &amp; Guide'!$B$9,"HIGH",IF(R962&gt;=0.45,"WATCH","NORMAL"))</x:f>
        <x:v>HIGH</x:v>
      </x:c>
    </x:row>
    <x:row r="963">
      <x:c r="A963" s="95" t="n">
        <x:v>7673</x:v>
      </x:c>
      <x:c r="B963" s="96" t="n">
        <x:v>45611.4375</x:v>
      </x:c>
      <x:c r="C963" s="97" t="str">
        <x:v>Flood</x:v>
      </x:c>
      <x:c r="D963" s="97" t="str">
        <x:v>USA</x:v>
      </x:c>
      <x:c r="E963" s="98" t="n">
        <x:v>5.4614394900664305</x:v>
      </x:c>
      <x:c r="F963" s="99" t="n">
        <x:v>653.9915260210006</x:v>
      </x:c>
      <x:c r="G963" s="100" t="str">
        <x:f>XLOOKUP(D963,'Reference Tables'!$A$4:$A$23,'Reference Tables'!$B$4:$B$23,"Other")</x:f>
        <x:v>Other</x:v>
      </x:c>
      <x:c r="H963" s="100" t="str">
        <x:f>VLOOKUP(G963,'Reference Tables'!$I$4:$J$9,2,FALSE)</x:f>
        <x:v>Moderate</x:v>
      </x:c>
      <x:c r="I963" s="101" t="n">
        <x:f>F963*'Inputs &amp; Guide'!$B$4*XLOOKUP(D963,'Reference Tables'!$A$4:$A$23,'Reference Tables'!$C$4:$C$23,0.75)</x:f>
        <x:v>78.47898312252008</x:v>
      </x:c>
      <x:c r="J963" s="102" t="n">
        <x:f>XLOOKUP(C963,'Reference Tables'!$E$4:$E$12,'Reference Tables'!$F$4:$F$12,0.05)</x:f>
        <x:v>0.12</x:v>
      </x:c>
      <x:c r="K963" s="103" t="n">
        <x:f>MIN(I963,F963*J963)</x:f>
        <x:v>78.47898312252006</x:v>
      </x:c>
      <x:c r="L963" s="103" t="n">
        <x:f>'Inputs &amp; Guide'!$B$5</x:f>
        <x:v>15</x:v>
      </x:c>
      <x:c r="M963" s="103" t="n">
        <x:f>I963*'Inputs &amp; Guide'!$B$6</x:f>
        <x:v>43.163440717386045</x:v>
      </x:c>
      <x:c r="N963" s="103" t="n">
        <x:f>MAX(0,MIN(K963-L963,M963))</x:f>
        <x:v>43.163440717386045</x:v>
      </x:c>
      <x:c r="O963" s="103" t="n">
        <x:f>MAX(0,N963-'Inputs &amp; Guide'!$B$7)</x:f>
        <x:v>0</x:v>
      </x:c>
      <x:c r="P963" s="103" t="n">
        <x:f>N963-O963</x:f>
        <x:v>43.163440717386045</x:v>
      </x:c>
      <x:c r="Q963" s="103" t="n">
        <x:f>I963*'Inputs &amp; Guide'!$B$8</x:f>
        <x:v>1.4126216962053613</x:v>
      </x:c>
      <x:c r="R963" s="104" t="n">
        <x:f>IFERROR(P963/Q963,0)</x:f>
        <x:v>30.55555555555556</x:v>
      </x:c>
      <x:c r="S963" s="105" t="n">
        <x:f>ROUND(E963*XLOOKUP(C963,'Reference Tables'!$E$4:$E$12,'Reference Tables'!$G$4:$G$12,1),1)</x:f>
        <x:v>6.8</x:v>
      </x:c>
      <x:c r="T963" s="106" t="str">
        <x:f>IF(R963&gt;='Inputs &amp; Guide'!$B$9,"HIGH",IF(R963&gt;=0.45,"WATCH","NORMAL"))</x:f>
        <x:v>HIGH</x:v>
      </x:c>
    </x:row>
    <x:row r="964">
      <x:c r="A964" s="95" t="n">
        <x:v>7681</x:v>
      </x:c>
      <x:c r="B964" s="96" t="n">
        <x:v>45612</x:v>
      </x:c>
      <x:c r="C964" s="97" t="str">
        <x:v>Earthquake</x:v>
      </x:c>
      <x:c r="D964" s="97" t="str">
        <x:v>India</x:v>
      </x:c>
      <x:c r="E964" s="98" t="n">
        <x:v>2.2404246767261693</x:v>
      </x:c>
      <x:c r="F964" s="99" t="n">
        <x:v>980.3686183045968</x:v>
      </x:c>
      <x:c r="G964" s="100" t="str">
        <x:f>XLOOKUP(D964,'Reference Tables'!$A$4:$A$23,'Reference Tables'!$B$4:$B$23,"Other")</x:f>
        <x:v>Asia Pacific</x:v>
      </x:c>
      <x:c r="H964" s="100" t="str">
        <x:f>VLOOKUP(G964,'Reference Tables'!$I$4:$J$9,2,FALSE)</x:f>
        <x:v>High</x:v>
      </x:c>
      <x:c r="I964" s="101" t="n">
        <x:f>F964*'Inputs &amp; Guide'!$B$4*XLOOKUP(D964,'Reference Tables'!$A$4:$A$23,'Reference Tables'!$C$4:$C$23,0.75)</x:f>
        <x:v>142.7416708251493</x:v>
      </x:c>
      <x:c r="J964" s="102" t="n">
        <x:f>XLOOKUP(C964,'Reference Tables'!$E$4:$E$12,'Reference Tables'!$F$4:$F$12,0.05)</x:f>
        <x:v>0.14</x:v>
      </x:c>
      <x:c r="K964" s="103" t="n">
        <x:f>MIN(I964,F964*J964)</x:f>
        <x:v>137.25160656264356</x:v>
      </x:c>
      <x:c r="L964" s="103" t="n">
        <x:f>'Inputs &amp; Guide'!$B$5</x:f>
        <x:v>15</x:v>
      </x:c>
      <x:c r="M964" s="103" t="n">
        <x:f>I964*'Inputs &amp; Guide'!$B$6</x:f>
        <x:v>78.50791895383212</x:v>
      </x:c>
      <x:c r="N964" s="103" t="n">
        <x:f>MAX(0,MIN(K964-L964,M964))</x:f>
        <x:v>78.50791895383212</x:v>
      </x:c>
      <x:c r="O964" s="103" t="n">
        <x:f>MAX(0,N964-'Inputs &amp; Guide'!$B$7)</x:f>
        <x:v>18.507918953832117</x:v>
      </x:c>
      <x:c r="P964" s="103" t="n">
        <x:f>N964-O964</x:f>
        <x:v>60</x:v>
      </x:c>
      <x:c r="Q964" s="103" t="n">
        <x:f>I964*'Inputs &amp; Guide'!$B$8</x:f>
        <x:v>2.569350074852687</x:v>
      </x:c>
      <x:c r="R964" s="104" t="n">
        <x:f>IFERROR(P964/Q964,0)</x:f>
        <x:v>23.35220902252492</x:v>
      </x:c>
      <x:c r="S964" s="105" t="n">
        <x:f>ROUND(E964*XLOOKUP(C964,'Reference Tables'!$E$4:$E$12,'Reference Tables'!$G$4:$G$12,1),1)</x:f>
        <x:v>3.4</x:v>
      </x:c>
      <x:c r="T964" s="106" t="str">
        <x:f>IF(R964&gt;='Inputs &amp; Guide'!$B$9,"HIGH",IF(R964&gt;=0.45,"WATCH","NORMAL"))</x:f>
        <x:v>HIGH</x:v>
      </x:c>
    </x:row>
    <x:row r="965">
      <x:c r="A965" s="95" t="n">
        <x:v>7689</x:v>
      </x:c>
      <x:c r="B965" s="96" t="n">
        <x:v>45612.104166666664</x:v>
      </x:c>
      <x:c r="C965" s="97" t="str">
        <x:v>Hurricane</x:v>
      </x:c>
      <x:c r="D965" s="97" t="str">
        <x:v>USA</x:v>
      </x:c>
      <x:c r="E965" s="98" t="n">
        <x:v>3.122333827193737</x:v>
      </x:c>
      <x:c r="F965" s="99" t="n">
        <x:v>350.75695113438</x:v>
      </x:c>
      <x:c r="G965" s="100" t="str">
        <x:f>XLOOKUP(D965,'Reference Tables'!$A$4:$A$23,'Reference Tables'!$B$4:$B$23,"Other")</x:f>
        <x:v>Other</x:v>
      </x:c>
      <x:c r="H965" s="100" t="str">
        <x:f>VLOOKUP(G965,'Reference Tables'!$I$4:$J$9,2,FALSE)</x:f>
        <x:v>Moderate</x:v>
      </x:c>
      <x:c r="I965" s="101" t="n">
        <x:f>F965*'Inputs &amp; Guide'!$B$4*XLOOKUP(D965,'Reference Tables'!$A$4:$A$23,'Reference Tables'!$C$4:$C$23,0.75)</x:f>
        <x:v>42.09083413612561</x:v>
      </x:c>
      <x:c r="J965" s="102" t="n">
        <x:f>XLOOKUP(C965,'Reference Tables'!$E$4:$E$12,'Reference Tables'!$F$4:$F$12,0.05)</x:f>
        <x:v>0.18</x:v>
      </x:c>
      <x:c r="K965" s="103" t="n">
        <x:f>MIN(I965,F965*J965)</x:f>
        <x:v>42.09083413612561</x:v>
      </x:c>
      <x:c r="L965" s="103" t="n">
        <x:f>'Inputs &amp; Guide'!$B$5</x:f>
        <x:v>15</x:v>
      </x:c>
      <x:c r="M965" s="103" t="n">
        <x:f>I965*'Inputs &amp; Guide'!$B$6</x:f>
        <x:v>23.149958774869088</x:v>
      </x:c>
      <x:c r="N965" s="103" t="n">
        <x:f>MAX(0,MIN(K965-L965,M965))</x:f>
        <x:v>23.149958774869088</x:v>
      </x:c>
      <x:c r="O965" s="103" t="n">
        <x:f>MAX(0,N965-'Inputs &amp; Guide'!$B$7)</x:f>
        <x:v>0</x:v>
      </x:c>
      <x:c r="P965" s="103" t="n">
        <x:f>N965-O965</x:f>
        <x:v>23.149958774869088</x:v>
      </x:c>
      <x:c r="Q965" s="103" t="n">
        <x:f>I965*'Inputs &amp; Guide'!$B$8</x:f>
        <x:v>0.7576350144502609</x:v>
      </x:c>
      <x:c r="R965" s="104" t="n">
        <x:f>IFERROR(P965/Q965,0)</x:f>
        <x:v>30.55555555555556</x:v>
      </x:c>
      <x:c r="S965" s="105" t="n">
        <x:f>ROUND(E965*XLOOKUP(C965,'Reference Tables'!$E$4:$E$12,'Reference Tables'!$G$4:$G$12,1),1)</x:f>
        <x:v>4.4</x:v>
      </x:c>
      <x:c r="T965" s="106" t="str">
        <x:f>IF(R965&gt;='Inputs &amp; Guide'!$B$9,"HIGH",IF(R965&gt;=0.45,"WATCH","NORMAL"))</x:f>
        <x:v>HIGH</x:v>
      </x:c>
    </x:row>
    <x:row r="966">
      <x:c r="A966" s="95" t="n">
        <x:v>7697</x:v>
      </x:c>
      <x:c r="B966" s="96" t="n">
        <x:v>45612.4375</x:v>
      </x:c>
      <x:c r="C966" s="97" t="str">
        <x:v>Tornado</x:v>
      </x:c>
      <x:c r="D966" s="97" t="str">
        <x:v>India</x:v>
      </x:c>
      <x:c r="E966" s="98" t="n">
        <x:v>1.8237946488741608</x:v>
      </x:c>
      <x:c r="F966" s="99" t="n">
        <x:v>921.0958436850615</x:v>
      </x:c>
      <x:c r="G966" s="100" t="str">
        <x:f>XLOOKUP(D966,'Reference Tables'!$A$4:$A$23,'Reference Tables'!$B$4:$B$23,"Other")</x:f>
        <x:v>Asia Pacific</x:v>
      </x:c>
      <x:c r="H966" s="100" t="str">
        <x:f>VLOOKUP(G966,'Reference Tables'!$I$4:$J$9,2,FALSE)</x:f>
        <x:v>High</x:v>
      </x:c>
      <x:c r="I966" s="101" t="n">
        <x:f>F966*'Inputs &amp; Guide'!$B$4*XLOOKUP(D966,'Reference Tables'!$A$4:$A$23,'Reference Tables'!$C$4:$C$23,0.75)</x:f>
        <x:v>134.11155484054498</x:v>
      </x:c>
      <x:c r="J966" s="102" t="n">
        <x:f>XLOOKUP(C966,'Reference Tables'!$E$4:$E$12,'Reference Tables'!$F$4:$F$12,0.05)</x:f>
        <x:v>0.09</x:v>
      </x:c>
      <x:c r="K966" s="103" t="n">
        <x:f>MIN(I966,F966*J966)</x:f>
        <x:v>82.89862593165553</x:v>
      </x:c>
      <x:c r="L966" s="103" t="n">
        <x:f>'Inputs &amp; Guide'!$B$5</x:f>
        <x:v>15</x:v>
      </x:c>
      <x:c r="M966" s="103" t="n">
        <x:f>I966*'Inputs &amp; Guide'!$B$6</x:f>
        <x:v>73.76135516229975</x:v>
      </x:c>
      <x:c r="N966" s="103" t="n">
        <x:f>MAX(0,MIN(K966-L966,M966))</x:f>
        <x:v>67.89862593165553</x:v>
      </x:c>
      <x:c r="O966" s="103" t="n">
        <x:f>MAX(0,N966-'Inputs &amp; Guide'!$B$7)</x:f>
        <x:v>7.8986259316555305</x:v>
      </x:c>
      <x:c r="P966" s="103" t="n">
        <x:f>N966-O966</x:f>
        <x:v>60</x:v>
      </x:c>
      <x:c r="Q966" s="103" t="n">
        <x:f>I966*'Inputs &amp; Guide'!$B$8</x:f>
        <x:v>2.4140079871298097</x:v>
      </x:c>
      <x:c r="R966" s="104" t="n">
        <x:f>IFERROR(P966/Q966,0)</x:f>
        <x:v>24.854930190739914</x:v>
      </x:c>
      <x:c r="S966" s="105" t="n">
        <x:f>ROUND(E966*XLOOKUP(C966,'Reference Tables'!$E$4:$E$12,'Reference Tables'!$G$4:$G$12,1),1)</x:f>
        <x:v>1.9</x:v>
      </x:c>
      <x:c r="T966" s="106" t="str">
        <x:f>IF(R966&gt;='Inputs &amp; Guide'!$B$9,"HIGH",IF(R966&gt;=0.45,"WATCH","NORMAL"))</x:f>
        <x:v>HIGH</x:v>
      </x:c>
    </x:row>
    <x:row r="967">
      <x:c r="A967" s="95" t="n">
        <x:v>7705</x:v>
      </x:c>
      <x:c r="B967" s="96" t="n">
        <x:v>45613</x:v>
      </x:c>
      <x:c r="C967" s="97" t="str">
        <x:v>Hurricane</x:v>
      </x:c>
      <x:c r="D967" s="97" t="str">
        <x:v>India</x:v>
      </x:c>
      <x:c r="E967" s="98" t="n">
        <x:v>1.5649868113286245</x:v>
      </x:c>
      <x:c r="F967" s="99" t="n">
        <x:v>230.07169246661684</x:v>
      </x:c>
      <x:c r="G967" s="100" t="str">
        <x:f>XLOOKUP(D967,'Reference Tables'!$A$4:$A$23,'Reference Tables'!$B$4:$B$23,"Other")</x:f>
        <x:v>Asia Pacific</x:v>
      </x:c>
      <x:c r="H967" s="100" t="str">
        <x:f>VLOOKUP(G967,'Reference Tables'!$I$4:$J$9,2,FALSE)</x:f>
        <x:v>High</x:v>
      </x:c>
      <x:c r="I967" s="101" t="n">
        <x:f>F967*'Inputs &amp; Guide'!$B$4*XLOOKUP(D967,'Reference Tables'!$A$4:$A$23,'Reference Tables'!$C$4:$C$23,0.75)</x:f>
        <x:v>33.49843842313941</x:v>
      </x:c>
      <x:c r="J967" s="102" t="n">
        <x:f>XLOOKUP(C967,'Reference Tables'!$E$4:$E$12,'Reference Tables'!$F$4:$F$12,0.05)</x:f>
        <x:v>0.18</x:v>
      </x:c>
      <x:c r="K967" s="103" t="n">
        <x:f>MIN(I967,F967*J967)</x:f>
        <x:v>33.49843842313941</x:v>
      </x:c>
      <x:c r="L967" s="103" t="n">
        <x:f>'Inputs &amp; Guide'!$B$5</x:f>
        <x:v>15</x:v>
      </x:c>
      <x:c r="M967" s="103" t="n">
        <x:f>I967*'Inputs &amp; Guide'!$B$6</x:f>
        <x:v>18.424141132726678</x:v>
      </x:c>
      <x:c r="N967" s="103" t="n">
        <x:f>MAX(0,MIN(K967-L967,M967))</x:f>
        <x:v>18.424141132726678</x:v>
      </x:c>
      <x:c r="O967" s="103" t="n">
        <x:f>MAX(0,N967-'Inputs &amp; Guide'!$B$7)</x:f>
        <x:v>0</x:v>
      </x:c>
      <x:c r="P967" s="103" t="n">
        <x:f>N967-O967</x:f>
        <x:v>18.424141132726678</x:v>
      </x:c>
      <x:c r="Q967" s="103" t="n">
        <x:f>I967*'Inputs &amp; Guide'!$B$8</x:f>
        <x:v>0.6029718916165093</x:v>
      </x:c>
      <x:c r="R967" s="104" t="n">
        <x:f>IFERROR(P967/Q967,0)</x:f>
        <x:v>30.555555555555564</x:v>
      </x:c>
      <x:c r="S967" s="105" t="n">
        <x:f>ROUND(E967*XLOOKUP(C967,'Reference Tables'!$E$4:$E$12,'Reference Tables'!$G$4:$G$12,1),1)</x:f>
        <x:v>2.2</x:v>
      </x:c>
      <x:c r="T967" s="106" t="str">
        <x:f>IF(R967&gt;='Inputs &amp; Guide'!$B$9,"HIGH",IF(R967&gt;=0.45,"WATCH","NORMAL"))</x:f>
        <x:v>HIGH</x:v>
      </x:c>
    </x:row>
    <x:row r="968">
      <x:c r="A968" s="95" t="n">
        <x:v>7713</x:v>
      </x:c>
      <x:c r="B968" s="96" t="n">
        <x:v>45613.104166666664</x:v>
      </x:c>
      <x:c r="C968" s="97" t="str">
        <x:v>Wildfire</x:v>
      </x:c>
      <x:c r="D968" s="97" t="str">
        <x:v>Japan</x:v>
      </x:c>
      <x:c r="E968" s="98" t="n">
        <x:v>7.411397895577348</x:v>
      </x:c>
      <x:c r="F968" s="99" t="n">
        <x:v>8.760449964133562</x:v>
      </x:c>
      <x:c r="G968" s="100" t="str">
        <x:f>XLOOKUP(D968,'Reference Tables'!$A$4:$A$23,'Reference Tables'!$B$4:$B$23,"Other")</x:f>
        <x:v>Asia Pacific</x:v>
      </x:c>
      <x:c r="H968" s="100" t="str">
        <x:f>VLOOKUP(G968,'Reference Tables'!$I$4:$J$9,2,FALSE)</x:f>
        <x:v>High</x:v>
      </x:c>
      <x:c r="I968" s="101" t="n">
        <x:f>F968*'Inputs &amp; Guide'!$B$4*XLOOKUP(D968,'Reference Tables'!$A$4:$A$23,'Reference Tables'!$C$4:$C$23,0.75)</x:f>
        <x:v>1.6539729532284164</x:v>
      </x:c>
      <x:c r="J968" s="102" t="n">
        <x:f>XLOOKUP(C968,'Reference Tables'!$E$4:$E$12,'Reference Tables'!$F$4:$F$12,0.05)</x:f>
        <x:v>0.1</x:v>
      </x:c>
      <x:c r="K968" s="103" t="n">
        <x:f>MIN(I968,F968*J968)</x:f>
        <x:v>0.8760449964133562</x:v>
      </x:c>
      <x:c r="L968" s="103" t="n">
        <x:f>'Inputs &amp; Guide'!$B$5</x:f>
        <x:v>15</x:v>
      </x:c>
      <x:c r="M968" s="103" t="n">
        <x:f>I968*'Inputs &amp; Guide'!$B$6</x:f>
        <x:v>0.9096851242756291</x:v>
      </x:c>
      <x:c r="N968" s="103" t="n">
        <x:f>MAX(0,MIN(K968-L968,M968))</x:f>
        <x:v>0</x:v>
      </x:c>
      <x:c r="O968" s="103" t="n">
        <x:f>MAX(0,N968-'Inputs &amp; Guide'!$B$7)</x:f>
        <x:v>0</x:v>
      </x:c>
      <x:c r="P968" s="103" t="n">
        <x:f>N968-O968</x:f>
        <x:v>0</x:v>
      </x:c>
      <x:c r="Q968" s="103" t="n">
        <x:f>I968*'Inputs &amp; Guide'!$B$8</x:f>
        <x:v>0.029771513158111492</x:v>
      </x:c>
      <x:c r="R968" s="104" t="n">
        <x:f>IFERROR(P968/Q968,0)</x:f>
        <x:v>0</x:v>
      </x:c>
      <x:c r="S968" s="105" t="n">
        <x:f>ROUND(E968*XLOOKUP(C968,'Reference Tables'!$E$4:$E$12,'Reference Tables'!$G$4:$G$12,1),1)</x:f>
        <x:v>8.5</x:v>
      </x:c>
      <x:c r="T968" s="106" t="str">
        <x:f>IF(R968&gt;='Inputs &amp; Guide'!$B$9,"HIGH",IF(R968&gt;=0.45,"WATCH","NORMAL"))</x:f>
        <x:v>NORMAL</x:v>
      </x:c>
    </x:row>
    <x:row r="969">
      <x:c r="A969" s="95" t="n">
        <x:v>7721</x:v>
      </x:c>
      <x:c r="B969" s="96" t="n">
        <x:v>45613.4375</x:v>
      </x:c>
      <x:c r="C969" s="97" t="str">
        <x:v>Wildfire</x:v>
      </x:c>
      <x:c r="D969" s="97" t="str">
        <x:v>USA</x:v>
      </x:c>
      <x:c r="E969" s="98" t="n">
        <x:v>1.8747959590492926</x:v>
      </x:c>
      <x:c r="F969" s="99" t="n">
        <x:v>7.337605755562925</x:v>
      </x:c>
      <x:c r="G969" s="100" t="str">
        <x:f>XLOOKUP(D969,'Reference Tables'!$A$4:$A$23,'Reference Tables'!$B$4:$B$23,"Other")</x:f>
        <x:v>Other</x:v>
      </x:c>
      <x:c r="H969" s="100" t="str">
        <x:f>VLOOKUP(G969,'Reference Tables'!$I$4:$J$9,2,FALSE)</x:f>
        <x:v>Moderate</x:v>
      </x:c>
      <x:c r="I969" s="101" t="n">
        <x:f>F969*'Inputs &amp; Guide'!$B$4*XLOOKUP(D969,'Reference Tables'!$A$4:$A$23,'Reference Tables'!$C$4:$C$23,0.75)</x:f>
        <x:v>0.8805126906675509</x:v>
      </x:c>
      <x:c r="J969" s="102" t="n">
        <x:f>XLOOKUP(C969,'Reference Tables'!$E$4:$E$12,'Reference Tables'!$F$4:$F$12,0.05)</x:f>
        <x:v>0.1</x:v>
      </x:c>
      <x:c r="K969" s="103" t="n">
        <x:f>MIN(I969,F969*J969)</x:f>
        <x:v>0.7337605755562926</x:v>
      </x:c>
      <x:c r="L969" s="103" t="n">
        <x:f>'Inputs &amp; Guide'!$B$5</x:f>
        <x:v>15</x:v>
      </x:c>
      <x:c r="M969" s="103" t="n">
        <x:f>I969*'Inputs &amp; Guide'!$B$6</x:f>
        <x:v>0.48428197986715305</x:v>
      </x:c>
      <x:c r="N969" s="103" t="n">
        <x:f>MAX(0,MIN(K969-L969,M969))</x:f>
        <x:v>0</x:v>
      </x:c>
      <x:c r="O969" s="103" t="n">
        <x:f>MAX(0,N969-'Inputs &amp; Guide'!$B$7)</x:f>
        <x:v>0</x:v>
      </x:c>
      <x:c r="P969" s="103" t="n">
        <x:f>N969-O969</x:f>
        <x:v>0</x:v>
      </x:c>
      <x:c r="Q969" s="103" t="n">
        <x:f>I969*'Inputs &amp; Guide'!$B$8</x:f>
        <x:v>0.015849228432015916</x:v>
      </x:c>
      <x:c r="R969" s="104" t="n">
        <x:f>IFERROR(P969/Q969,0)</x:f>
        <x:v>0</x:v>
      </x:c>
      <x:c r="S969" s="105" t="n">
        <x:f>ROUND(E969*XLOOKUP(C969,'Reference Tables'!$E$4:$E$12,'Reference Tables'!$G$4:$G$12,1),1)</x:f>
        <x:v>2.2</x:v>
      </x:c>
      <x:c r="T969" s="106" t="str">
        <x:f>IF(R969&gt;='Inputs &amp; Guide'!$B$9,"HIGH",IF(R969&gt;=0.45,"WATCH","NORMAL"))</x:f>
        <x:v>NORMAL</x:v>
      </x:c>
    </x:row>
    <x:row r="970">
      <x:c r="A970" s="95" t="n">
        <x:v>7729</x:v>
      </x:c>
      <x:c r="B970" s="96" t="n">
        <x:v>45614</x:v>
      </x:c>
      <x:c r="C970" s="97" t="str">
        <x:v>Earthquake</x:v>
      </x:c>
      <x:c r="D970" s="97" t="str">
        <x:v>Japan</x:v>
      </x:c>
      <x:c r="E970" s="98" t="n">
        <x:v>3.150885150726861</x:v>
      </x:c>
      <x:c r="F970" s="99" t="n">
        <x:v>282.0939495356202</x:v>
      </x:c>
      <x:c r="G970" s="100" t="str">
        <x:f>XLOOKUP(D970,'Reference Tables'!$A$4:$A$23,'Reference Tables'!$B$4:$B$23,"Other")</x:f>
        <x:v>Asia Pacific</x:v>
      </x:c>
      <x:c r="H970" s="100" t="str">
        <x:f>VLOOKUP(G970,'Reference Tables'!$I$4:$J$9,2,FALSE)</x:f>
        <x:v>High</x:v>
      </x:c>
      <x:c r="I970" s="101" t="n">
        <x:f>F970*'Inputs &amp; Guide'!$B$4*XLOOKUP(D970,'Reference Tables'!$A$4:$A$23,'Reference Tables'!$C$4:$C$23,0.75)</x:f>
        <x:v>53.25933767232509</x:v>
      </x:c>
      <x:c r="J970" s="102" t="n">
        <x:f>XLOOKUP(C970,'Reference Tables'!$E$4:$E$12,'Reference Tables'!$F$4:$F$12,0.05)</x:f>
        <x:v>0.14</x:v>
      </x:c>
      <x:c r="K970" s="103" t="n">
        <x:f>MIN(I970,F970*J970)</x:f>
        <x:v>39.49315293498683</x:v>
      </x:c>
      <x:c r="L970" s="103" t="n">
        <x:f>'Inputs &amp; Guide'!$B$5</x:f>
        <x:v>15</x:v>
      </x:c>
      <x:c r="M970" s="103" t="n">
        <x:f>I970*'Inputs &amp; Guide'!$B$6</x:f>
        <x:v>29.2926357197788</x:v>
      </x:c>
      <x:c r="N970" s="103" t="n">
        <x:f>MAX(0,MIN(K970-L970,M970))</x:f>
        <x:v>24.49315293498683</x:v>
      </x:c>
      <x:c r="O970" s="103" t="n">
        <x:f>MAX(0,N970-'Inputs &amp; Guide'!$B$7)</x:f>
        <x:v>0</x:v>
      </x:c>
      <x:c r="P970" s="103" t="n">
        <x:f>N970-O970</x:f>
        <x:v>24.49315293498683</x:v>
      </x:c>
      <x:c r="Q970" s="103" t="n">
        <x:f>I970*'Inputs &amp; Guide'!$B$8</x:f>
        <x:v>0.9586680781018515</x:v>
      </x:c>
      <x:c r="R970" s="104" t="n">
        <x:f>IFERROR(P970/Q970,0)</x:f>
        <x:v>25.549148338685594</x:v>
      </x:c>
      <x:c r="S970" s="105" t="n">
        <x:f>ROUND(E970*XLOOKUP(C970,'Reference Tables'!$E$4:$E$12,'Reference Tables'!$G$4:$G$12,1),1)</x:f>
        <x:v>4.7</x:v>
      </x:c>
      <x:c r="T970" s="106" t="str">
        <x:f>IF(R970&gt;='Inputs &amp; Guide'!$B$9,"HIGH",IF(R970&gt;=0.45,"WATCH","NORMAL"))</x:f>
        <x:v>HIGH</x:v>
      </x:c>
    </x:row>
    <x:row r="971">
      <x:c r="A971" s="95" t="n">
        <x:v>7737</x:v>
      </x:c>
      <x:c r="B971" s="96" t="n">
        <x:v>45614.104166666664</x:v>
      </x:c>
      <x:c r="C971" s="97" t="str">
        <x:v>Earthquake</x:v>
      </x:c>
      <x:c r="D971" s="97" t="str">
        <x:v>USA</x:v>
      </x:c>
      <x:c r="E971" s="98" t="n">
        <x:v>6.49505259751812</x:v>
      </x:c>
      <x:c r="F971" s="99" t="n">
        <x:v>418.4749637532336</x:v>
      </x:c>
      <x:c r="G971" s="100" t="str">
        <x:f>XLOOKUP(D971,'Reference Tables'!$A$4:$A$23,'Reference Tables'!$B$4:$B$23,"Other")</x:f>
        <x:v>Other</x:v>
      </x:c>
      <x:c r="H971" s="100" t="str">
        <x:f>VLOOKUP(G971,'Reference Tables'!$I$4:$J$9,2,FALSE)</x:f>
        <x:v>Moderate</x:v>
      </x:c>
      <x:c r="I971" s="101" t="n">
        <x:f>F971*'Inputs &amp; Guide'!$B$4*XLOOKUP(D971,'Reference Tables'!$A$4:$A$23,'Reference Tables'!$C$4:$C$23,0.75)</x:f>
        <x:v>50.216995650388036</x:v>
      </x:c>
      <x:c r="J971" s="102" t="n">
        <x:f>XLOOKUP(C971,'Reference Tables'!$E$4:$E$12,'Reference Tables'!$F$4:$F$12,0.05)</x:f>
        <x:v>0.14</x:v>
      </x:c>
      <x:c r="K971" s="103" t="n">
        <x:f>MIN(I971,F971*J971)</x:f>
        <x:v>50.216995650388036</x:v>
      </x:c>
      <x:c r="L971" s="103" t="n">
        <x:f>'Inputs &amp; Guide'!$B$5</x:f>
        <x:v>15</x:v>
      </x:c>
      <x:c r="M971" s="103" t="n">
        <x:f>I971*'Inputs &amp; Guide'!$B$6</x:f>
        <x:v>27.619347607713422</x:v>
      </x:c>
      <x:c r="N971" s="103" t="n">
        <x:f>MAX(0,MIN(K971-L971,M971))</x:f>
        <x:v>27.619347607713422</x:v>
      </x:c>
      <x:c r="O971" s="103" t="n">
        <x:f>MAX(0,N971-'Inputs &amp; Guide'!$B$7)</x:f>
        <x:v>0</x:v>
      </x:c>
      <x:c r="P971" s="103" t="n">
        <x:f>N971-O971</x:f>
        <x:v>27.619347607713422</x:v>
      </x:c>
      <x:c r="Q971" s="103" t="n">
        <x:f>I971*'Inputs &amp; Guide'!$B$8</x:f>
        <x:v>0.9039059217069846</x:v>
      </x:c>
      <x:c r="R971" s="104" t="n">
        <x:f>IFERROR(P971/Q971,0)</x:f>
        <x:v>30.55555555555556</x:v>
      </x:c>
      <x:c r="S971" s="105" t="n">
        <x:f>ROUND(E971*XLOOKUP(C971,'Reference Tables'!$E$4:$E$12,'Reference Tables'!$G$4:$G$12,1),1)</x:f>
        <x:v>9.7</x:v>
      </x:c>
      <x:c r="T971" s="106" t="str">
        <x:f>IF(R971&gt;='Inputs &amp; Guide'!$B$9,"HIGH",IF(R971&gt;=0.45,"WATCH","NORMAL"))</x:f>
        <x:v>HIGH</x:v>
      </x:c>
    </x:row>
    <x:row r="972">
      <x:c r="A972" s="95" t="n">
        <x:v>7745</x:v>
      </x:c>
      <x:c r="B972" s="96" t="n">
        <x:v>45614.4375</x:v>
      </x:c>
      <x:c r="C972" s="97" t="str">
        <x:v>Tornado</x:v>
      </x:c>
      <x:c r="D972" s="97" t="str">
        <x:v>Japan</x:v>
      </x:c>
      <x:c r="E972" s="98" t="n">
        <x:v>5.475195836702408</x:v>
      </x:c>
      <x:c r="F972" s="99" t="n">
        <x:v>646.8666672646505</x:v>
      </x:c>
      <x:c r="G972" s="100" t="str">
        <x:f>XLOOKUP(D972,'Reference Tables'!$A$4:$A$23,'Reference Tables'!$B$4:$B$23,"Other")</x:f>
        <x:v>Asia Pacific</x:v>
      </x:c>
      <x:c r="H972" s="100" t="str">
        <x:f>VLOOKUP(G972,'Reference Tables'!$I$4:$J$9,2,FALSE)</x:f>
        <x:v>High</x:v>
      </x:c>
      <x:c r="I972" s="101" t="n">
        <x:f>F972*'Inputs &amp; Guide'!$B$4*XLOOKUP(D972,'Reference Tables'!$A$4:$A$23,'Reference Tables'!$C$4:$C$23,0.75)</x:f>
        <x:v>122.128426779566</x:v>
      </x:c>
      <x:c r="J972" s="102" t="n">
        <x:f>XLOOKUP(C972,'Reference Tables'!$E$4:$E$12,'Reference Tables'!$F$4:$F$12,0.05)</x:f>
        <x:v>0.09</x:v>
      </x:c>
      <x:c r="K972" s="103" t="n">
        <x:f>MIN(I972,F972*J972)</x:f>
        <x:v>58.21800005381854</x:v>
      </x:c>
      <x:c r="L972" s="103" t="n">
        <x:f>'Inputs &amp; Guide'!$B$5</x:f>
        <x:v>15</x:v>
      </x:c>
      <x:c r="M972" s="103" t="n">
        <x:f>I972*'Inputs &amp; Guide'!$B$6</x:f>
        <x:v>67.1706347287613</x:v>
      </x:c>
      <x:c r="N972" s="103" t="n">
        <x:f>MAX(0,MIN(K972-L972,M972))</x:f>
        <x:v>43.21800005381854</x:v>
      </x:c>
      <x:c r="O972" s="103" t="n">
        <x:f>MAX(0,N972-'Inputs &amp; Guide'!$B$7)</x:f>
        <x:v>0</x:v>
      </x:c>
      <x:c r="P972" s="103" t="n">
        <x:f>N972-O972</x:f>
        <x:v>43.21800005381854</x:v>
      </x:c>
      <x:c r="Q972" s="103" t="n">
        <x:f>I972*'Inputs &amp; Guide'!$B$8</x:f>
        <x:v>2.198311682032188</x:v>
      </x:c>
      <x:c r="R972" s="104" t="n">
        <x:f>IFERROR(P972/Q972,0)</x:f>
        <x:v>19.659632620369134</x:v>
      </x:c>
      <x:c r="S972" s="105" t="n">
        <x:f>ROUND(E972*XLOOKUP(C972,'Reference Tables'!$E$4:$E$12,'Reference Tables'!$G$4:$G$12,1),1)</x:f>
        <x:v>5.7</x:v>
      </x:c>
      <x:c r="T972" s="106" t="str">
        <x:f>IF(R972&gt;='Inputs &amp; Guide'!$B$9,"HIGH",IF(R972&gt;=0.45,"WATCH","NORMAL"))</x:f>
        <x:v>HIGH</x:v>
      </x:c>
    </x:row>
    <x:row r="973">
      <x:c r="A973" s="95" t="n">
        <x:v>7753</x:v>
      </x:c>
      <x:c r="B973" s="96" t="n">
        <x:v>45615</x:v>
      </x:c>
      <x:c r="C973" s="97" t="str">
        <x:v>Earthquake</x:v>
      </x:c>
      <x:c r="D973" s="97" t="str">
        <x:v>USA</x:v>
      </x:c>
      <x:c r="E973" s="98" t="n">
        <x:v>6.077431255639445</x:v>
      </x:c>
      <x:c r="F973" s="99" t="n">
        <x:v>944.997905355475</x:v>
      </x:c>
      <x:c r="G973" s="100" t="str">
        <x:f>XLOOKUP(D973,'Reference Tables'!$A$4:$A$23,'Reference Tables'!$B$4:$B$23,"Other")</x:f>
        <x:v>Other</x:v>
      </x:c>
      <x:c r="H973" s="100" t="str">
        <x:f>VLOOKUP(G973,'Reference Tables'!$I$4:$J$9,2,FALSE)</x:f>
        <x:v>Moderate</x:v>
      </x:c>
      <x:c r="I973" s="101" t="n">
        <x:f>F973*'Inputs &amp; Guide'!$B$4*XLOOKUP(D973,'Reference Tables'!$A$4:$A$23,'Reference Tables'!$C$4:$C$23,0.75)</x:f>
        <x:v>113.39974864265702</x:v>
      </x:c>
      <x:c r="J973" s="102" t="n">
        <x:f>XLOOKUP(C973,'Reference Tables'!$E$4:$E$12,'Reference Tables'!$F$4:$F$12,0.05)</x:f>
        <x:v>0.14</x:v>
      </x:c>
      <x:c r="K973" s="103" t="n">
        <x:f>MIN(I973,F973*J973)</x:f>
        <x:v>113.39974864265702</x:v>
      </x:c>
      <x:c r="L973" s="103" t="n">
        <x:f>'Inputs &amp; Guide'!$B$5</x:f>
        <x:v>15</x:v>
      </x:c>
      <x:c r="M973" s="103" t="n">
        <x:f>I973*'Inputs &amp; Guide'!$B$6</x:f>
        <x:v>62.369861753461365</x:v>
      </x:c>
      <x:c r="N973" s="103" t="n">
        <x:f>MAX(0,MIN(K973-L973,M973))</x:f>
        <x:v>62.369861753461365</x:v>
      </x:c>
      <x:c r="O973" s="103" t="n">
        <x:f>MAX(0,N973-'Inputs &amp; Guide'!$B$7)</x:f>
        <x:v>2.3698617534613646</x:v>
      </x:c>
      <x:c r="P973" s="103" t="n">
        <x:f>N973-O973</x:f>
        <x:v>60</x:v>
      </x:c>
      <x:c r="Q973" s="103" t="n">
        <x:f>I973*'Inputs &amp; Guide'!$B$8</x:f>
        <x:v>2.041195475567826</x:v>
      </x:c>
      <x:c r="R973" s="104" t="n">
        <x:f>IFERROR(P973/Q973,0)</x:f>
        <x:v>29.394538993532215</x:v>
      </x:c>
      <x:c r="S973" s="105" t="n">
        <x:f>ROUND(E973*XLOOKUP(C973,'Reference Tables'!$E$4:$E$12,'Reference Tables'!$G$4:$G$12,1),1)</x:f>
        <x:v>9.1</x:v>
      </x:c>
      <x:c r="T973" s="106" t="str">
        <x:f>IF(R973&gt;='Inputs &amp; Guide'!$B$9,"HIGH",IF(R973&gt;=0.45,"WATCH","NORMAL"))</x:f>
        <x:v>HIGH</x:v>
      </x:c>
    </x:row>
    <x:row r="974">
      <x:c r="A974" s="95" t="n">
        <x:v>7761</x:v>
      </x:c>
      <x:c r="B974" s="96" t="n">
        <x:v>45615.104166666664</x:v>
      </x:c>
      <x:c r="C974" s="97" t="str">
        <x:v>Tornado</x:v>
      </x:c>
      <x:c r="D974" s="97" t="str">
        <x:v>Brazil</x:v>
      </x:c>
      <x:c r="E974" s="98" t="n">
        <x:v>6.596249752824753</x:v>
      </x:c>
      <x:c r="F974" s="99" t="n">
        <x:v>278.19767328835604</x:v>
      </x:c>
      <x:c r="G974" s="100" t="str">
        <x:f>XLOOKUP(D974,'Reference Tables'!$A$4:$A$23,'Reference Tables'!$B$4:$B$23,"Other")</x:f>
        <x:v>Latin America</x:v>
      </x:c>
      <x:c r="H974" s="100" t="str">
        <x:f>VLOOKUP(G974,'Reference Tables'!$I$4:$J$9,2,FALSE)</x:f>
        <x:v>Moderate</x:v>
      </x:c>
      <x:c r="I974" s="101" t="n">
        <x:f>F974*'Inputs &amp; Guide'!$B$4*XLOOKUP(D974,'Reference Tables'!$A$4:$A$23,'Reference Tables'!$C$4:$C$23,0.75)</x:f>
        <x:v>36.499534735432306</x:v>
      </x:c>
      <x:c r="J974" s="102" t="n">
        <x:f>XLOOKUP(C974,'Reference Tables'!$E$4:$E$12,'Reference Tables'!$F$4:$F$12,0.05)</x:f>
        <x:v>0.09</x:v>
      </x:c>
      <x:c r="K974" s="103" t="n">
        <x:f>MIN(I974,F974*J974)</x:f>
        <x:v>25.037790595952043</x:v>
      </x:c>
      <x:c r="L974" s="103" t="n">
        <x:f>'Inputs &amp; Guide'!$B$5</x:f>
        <x:v>15</x:v>
      </x:c>
      <x:c r="M974" s="103" t="n">
        <x:f>I974*'Inputs &amp; Guide'!$B$6</x:f>
        <x:v>20.07474410448777</x:v>
      </x:c>
      <x:c r="N974" s="103" t="n">
        <x:f>MAX(0,MIN(K974-L974,M974))</x:f>
        <x:v>10.037790595952043</x:v>
      </x:c>
      <x:c r="O974" s="103" t="n">
        <x:f>MAX(0,N974-'Inputs &amp; Guide'!$B$7)</x:f>
        <x:v>0</x:v>
      </x:c>
      <x:c r="P974" s="103" t="n">
        <x:f>N974-O974</x:f>
        <x:v>10.037790595952043</x:v>
      </x:c>
      <x:c r="Q974" s="103" t="n">
        <x:f>I974*'Inputs &amp; Guide'!$B$8</x:f>
        <x:v>0.6569916252377814</x:v>
      </x:c>
      <x:c r="R974" s="104" t="n">
        <x:f>IFERROR(P974/Q974,0)</x:f>
        <x:v>15.278414838726626</x:v>
      </x:c>
      <x:c r="S974" s="105" t="n">
        <x:f>ROUND(E974*XLOOKUP(C974,'Reference Tables'!$E$4:$E$12,'Reference Tables'!$G$4:$G$12,1),1)</x:f>
        <x:v>6.9</x:v>
      </x:c>
      <x:c r="T974" s="106" t="str">
        <x:f>IF(R974&gt;='Inputs &amp; Guide'!$B$9,"HIGH",IF(R974&gt;=0.45,"WATCH","NORMAL"))</x:f>
        <x:v>HIGH</x:v>
      </x:c>
    </x:row>
    <x:row r="975">
      <x:c r="A975" s="95" t="n">
        <x:v>7769</x:v>
      </x:c>
      <x:c r="B975" s="96" t="n">
        <x:v>45615.4375</x:v>
      </x:c>
      <x:c r="C975" s="97" t="str">
        <x:v>Hurricane</x:v>
      </x:c>
      <x:c r="D975" s="97" t="str">
        <x:v>USA</x:v>
      </x:c>
      <x:c r="E975" s="98" t="n">
        <x:v>2.803564192661239</x:v>
      </x:c>
      <x:c r="F975" s="99" t="n">
        <x:v>221.63360429316677</x:v>
      </x:c>
      <x:c r="G975" s="100" t="str">
        <x:f>XLOOKUP(D975,'Reference Tables'!$A$4:$A$23,'Reference Tables'!$B$4:$B$23,"Other")</x:f>
        <x:v>Other</x:v>
      </x:c>
      <x:c r="H975" s="100" t="str">
        <x:f>VLOOKUP(G975,'Reference Tables'!$I$4:$J$9,2,FALSE)</x:f>
        <x:v>Moderate</x:v>
      </x:c>
      <x:c r="I975" s="101" t="n">
        <x:f>F975*'Inputs &amp; Guide'!$B$4*XLOOKUP(D975,'Reference Tables'!$A$4:$A$23,'Reference Tables'!$C$4:$C$23,0.75)</x:f>
        <x:v>26.596032515180013</x:v>
      </x:c>
      <x:c r="J975" s="102" t="n">
        <x:f>XLOOKUP(C975,'Reference Tables'!$E$4:$E$12,'Reference Tables'!$F$4:$F$12,0.05)</x:f>
        <x:v>0.18</x:v>
      </x:c>
      <x:c r="K975" s="103" t="n">
        <x:f>MIN(I975,F975*J975)</x:f>
        <x:v>26.596032515180013</x:v>
      </x:c>
      <x:c r="L975" s="103" t="n">
        <x:f>'Inputs &amp; Guide'!$B$5</x:f>
        <x:v>15</x:v>
      </x:c>
      <x:c r="M975" s="103" t="n">
        <x:f>I975*'Inputs &amp; Guide'!$B$6</x:f>
        <x:v>14.627817883349008</x:v>
      </x:c>
      <x:c r="N975" s="103" t="n">
        <x:f>MAX(0,MIN(K975-L975,M975))</x:f>
        <x:v>11.596032515180013</x:v>
      </x:c>
      <x:c r="O975" s="103" t="n">
        <x:f>MAX(0,N975-'Inputs &amp; Guide'!$B$7)</x:f>
        <x:v>0</x:v>
      </x:c>
      <x:c r="P975" s="103" t="n">
        <x:f>N975-O975</x:f>
        <x:v>11.596032515180013</x:v>
      </x:c>
      <x:c r="Q975" s="103" t="n">
        <x:f>I975*'Inputs &amp; Guide'!$B$8</x:f>
        <x:v>0.4787285852732402</x:v>
      </x:c>
      <x:c r="R975" s="104" t="n">
        <x:f>IFERROR(P975/Q975,0)</x:f>
        <x:v>24.222561325769664</x:v>
      </x:c>
      <x:c r="S975" s="105" t="n">
        <x:f>ROUND(E975*XLOOKUP(C975,'Reference Tables'!$E$4:$E$12,'Reference Tables'!$G$4:$G$12,1),1)</x:f>
        <x:v>3.9</x:v>
      </x:c>
      <x:c r="T975" s="106" t="str">
        <x:f>IF(R975&gt;='Inputs &amp; Guide'!$B$9,"HIGH",IF(R975&gt;=0.45,"WATCH","NORMAL"))</x:f>
        <x:v>HIGH</x:v>
      </x:c>
    </x:row>
    <x:row r="976">
      <x:c r="A976" s="95" t="n">
        <x:v>7777</x:v>
      </x:c>
      <x:c r="B976" s="96" t="n">
        <x:v>45616</x:v>
      </x:c>
      <x:c r="C976" s="97" t="str">
        <x:v>Earthquake</x:v>
      </x:c>
      <x:c r="D976" s="97" t="str">
        <x:v>Brazil</x:v>
      </x:c>
      <x:c r="E976" s="98" t="n">
        <x:v>7.4716699709939745</x:v>
      </x:c>
      <x:c r="F976" s="99" t="n">
        <x:v>771.6847975644281</x:v>
      </x:c>
      <x:c r="G976" s="100" t="str">
        <x:f>XLOOKUP(D976,'Reference Tables'!$A$4:$A$23,'Reference Tables'!$B$4:$B$23,"Other")</x:f>
        <x:v>Latin America</x:v>
      </x:c>
      <x:c r="H976" s="100" t="str">
        <x:f>VLOOKUP(G976,'Reference Tables'!$I$4:$J$9,2,FALSE)</x:f>
        <x:v>Moderate</x:v>
      </x:c>
      <x:c r="I976" s="101" t="n">
        <x:f>F976*'Inputs &amp; Guide'!$B$4*XLOOKUP(D976,'Reference Tables'!$A$4:$A$23,'Reference Tables'!$C$4:$C$23,0.75)</x:f>
        <x:v>101.24504544045297</x:v>
      </x:c>
      <x:c r="J976" s="102" t="n">
        <x:f>XLOOKUP(C976,'Reference Tables'!$E$4:$E$12,'Reference Tables'!$F$4:$F$12,0.05)</x:f>
        <x:v>0.14</x:v>
      </x:c>
      <x:c r="K976" s="103" t="n">
        <x:f>MIN(I976,F976*J976)</x:f>
        <x:v>101.24504544045297</x:v>
      </x:c>
      <x:c r="L976" s="103" t="n">
        <x:f>'Inputs &amp; Guide'!$B$5</x:f>
        <x:v>15</x:v>
      </x:c>
      <x:c r="M976" s="103" t="n">
        <x:f>I976*'Inputs &amp; Guide'!$B$6</x:f>
        <x:v>55.68477499224914</x:v>
      </x:c>
      <x:c r="N976" s="103" t="n">
        <x:f>MAX(0,MIN(K976-L976,M976))</x:f>
        <x:v>55.68477499224914</x:v>
      </x:c>
      <x:c r="O976" s="103" t="n">
        <x:f>MAX(0,N976-'Inputs &amp; Guide'!$B$7)</x:f>
        <x:v>0</x:v>
      </x:c>
      <x:c r="P976" s="103" t="n">
        <x:f>N976-O976</x:f>
        <x:v>55.68477499224914</x:v>
      </x:c>
      <x:c r="Q976" s="103" t="n">
        <x:f>I976*'Inputs &amp; Guide'!$B$8</x:f>
        <x:v>1.8224108179281533</x:v>
      </x:c>
      <x:c r="R976" s="104" t="n">
        <x:f>IFERROR(P976/Q976,0)</x:f>
        <x:v>30.55555555555556</x:v>
      </x:c>
      <x:c r="S976" s="105" t="n">
        <x:f>ROUND(E976*XLOOKUP(C976,'Reference Tables'!$E$4:$E$12,'Reference Tables'!$G$4:$G$12,1),1)</x:f>
        <x:v>11.2</x:v>
      </x:c>
      <x:c r="T976" s="106" t="str">
        <x:f>IF(R976&gt;='Inputs &amp; Guide'!$B$9,"HIGH",IF(R976&gt;=0.45,"WATCH","NORMAL"))</x:f>
        <x:v>HIGH</x:v>
      </x:c>
    </x:row>
    <x:row r="977">
      <x:c r="A977" s="95" t="n">
        <x:v>7785</x:v>
      </x:c>
      <x:c r="B977" s="96" t="n">
        <x:v>45616.104166666664</x:v>
      </x:c>
      <x:c r="C977" s="97" t="str">
        <x:v>Earthquake</x:v>
      </x:c>
      <x:c r="D977" s="97" t="str">
        <x:v>Brazil</x:v>
      </x:c>
      <x:c r="E977" s="98" t="n">
        <x:v>4.015941839335532</x:v>
      </x:c>
      <x:c r="F977" s="99" t="n">
        <x:v>685.244488632382</x:v>
      </x:c>
      <x:c r="G977" s="100" t="str">
        <x:f>XLOOKUP(D977,'Reference Tables'!$A$4:$A$23,'Reference Tables'!$B$4:$B$23,"Other")</x:f>
        <x:v>Latin America</x:v>
      </x:c>
      <x:c r="H977" s="100" t="str">
        <x:f>VLOOKUP(G977,'Reference Tables'!$I$4:$J$9,2,FALSE)</x:f>
        <x:v>Moderate</x:v>
      </x:c>
      <x:c r="I977" s="101" t="n">
        <x:f>F977*'Inputs &amp; Guide'!$B$4*XLOOKUP(D977,'Reference Tables'!$A$4:$A$23,'Reference Tables'!$C$4:$C$23,0.75)</x:f>
        <x:v>89.90407690856851</x:v>
      </x:c>
      <x:c r="J977" s="102" t="n">
        <x:f>XLOOKUP(C977,'Reference Tables'!$E$4:$E$12,'Reference Tables'!$F$4:$F$12,0.05)</x:f>
        <x:v>0.14</x:v>
      </x:c>
      <x:c r="K977" s="103" t="n">
        <x:f>MIN(I977,F977*J977)</x:f>
        <x:v>89.90407690856851</x:v>
      </x:c>
      <x:c r="L977" s="103" t="n">
        <x:f>'Inputs &amp; Guide'!$B$5</x:f>
        <x:v>15</x:v>
      </x:c>
      <x:c r="M977" s="103" t="n">
        <x:f>I977*'Inputs &amp; Guide'!$B$6</x:f>
        <x:v>49.447242299712684</x:v>
      </x:c>
      <x:c r="N977" s="103" t="n">
        <x:f>MAX(0,MIN(K977-L977,M977))</x:f>
        <x:v>49.447242299712684</x:v>
      </x:c>
      <x:c r="O977" s="103" t="n">
        <x:f>MAX(0,N977-'Inputs &amp; Guide'!$B$7)</x:f>
        <x:v>0</x:v>
      </x:c>
      <x:c r="P977" s="103" t="n">
        <x:f>N977-O977</x:f>
        <x:v>49.447242299712684</x:v>
      </x:c>
      <x:c r="Q977" s="103" t="n">
        <x:f>I977*'Inputs &amp; Guide'!$B$8</x:f>
        <x:v>1.6182733843542332</x:v>
      </x:c>
      <x:c r="R977" s="104" t="n">
        <x:f>IFERROR(P977/Q977,0)</x:f>
        <x:v>30.555555555555557</x:v>
      </x:c>
      <x:c r="S977" s="105" t="n">
        <x:f>ROUND(E977*XLOOKUP(C977,'Reference Tables'!$E$4:$E$12,'Reference Tables'!$G$4:$G$12,1),1)</x:f>
        <x:v>6</x:v>
      </x:c>
      <x:c r="T977" s="106" t="str">
        <x:f>IF(R977&gt;='Inputs &amp; Guide'!$B$9,"HIGH",IF(R977&gt;=0.45,"WATCH","NORMAL"))</x:f>
        <x:v>HIGH</x:v>
      </x:c>
    </x:row>
    <x:row r="978">
      <x:c r="A978" s="95" t="n">
        <x:v>7793</x:v>
      </x:c>
      <x:c r="B978" s="96" t="n">
        <x:v>45616.4375</x:v>
      </x:c>
      <x:c r="C978" s="97" t="str">
        <x:v>Flood</x:v>
      </x:c>
      <x:c r="D978" s="97" t="str">
        <x:v>China</x:v>
      </x:c>
      <x:c r="E978" s="98" t="n">
        <x:v>3.3688857719278062</x:v>
      </x:c>
      <x:c r="F978" s="99" t="n">
        <x:v>561.0345745479462</x:v>
      </x:c>
      <x:c r="G978" s="100" t="str">
        <x:f>XLOOKUP(D978,'Reference Tables'!$A$4:$A$23,'Reference Tables'!$B$4:$B$23,"Other")</x:f>
        <x:v>Asia Pacific</x:v>
      </x:c>
      <x:c r="H978" s="100" t="str">
        <x:f>VLOOKUP(G978,'Reference Tables'!$I$4:$J$9,2,FALSE)</x:f>
        <x:v>High</x:v>
      </x:c>
      <x:c r="I978" s="101" t="n">
        <x:f>F978*'Inputs &amp; Guide'!$B$4*XLOOKUP(D978,'Reference Tables'!$A$4:$A$23,'Reference Tables'!$C$4:$C$23,0.75)</x:f>
        <x:v>96.94677448188513</x:v>
      </x:c>
      <x:c r="J978" s="102" t="n">
        <x:f>XLOOKUP(C978,'Reference Tables'!$E$4:$E$12,'Reference Tables'!$F$4:$F$12,0.05)</x:f>
        <x:v>0.12</x:v>
      </x:c>
      <x:c r="K978" s="103" t="n">
        <x:f>MIN(I978,F978*J978)</x:f>
        <x:v>67.32414894575355</x:v>
      </x:c>
      <x:c r="L978" s="103" t="n">
        <x:f>'Inputs &amp; Guide'!$B$5</x:f>
        <x:v>15</x:v>
      </x:c>
      <x:c r="M978" s="103" t="n">
        <x:f>I978*'Inputs &amp; Guide'!$B$6</x:f>
        <x:v>53.32072596503683</x:v>
      </x:c>
      <x:c r="N978" s="103" t="n">
        <x:f>MAX(0,MIN(K978-L978,M978))</x:f>
        <x:v>52.32414894575355</x:v>
      </x:c>
      <x:c r="O978" s="103" t="n">
        <x:f>MAX(0,N978-'Inputs &amp; Guide'!$B$7)</x:f>
        <x:v>0</x:v>
      </x:c>
      <x:c r="P978" s="103" t="n">
        <x:f>N978-O978</x:f>
        <x:v>52.32414894575355</x:v>
      </x:c>
      <x:c r="Q978" s="103" t="n">
        <x:f>I978*'Inputs &amp; Guide'!$B$8</x:f>
        <x:v>1.7450419406739321</x:v>
      </x:c>
      <x:c r="R978" s="104" t="n">
        <x:f>IFERROR(P978/Q978,0)</x:f>
        <x:v>29.98446497254161</x:v>
      </x:c>
      <x:c r="S978" s="105" t="n">
        <x:f>ROUND(E978*XLOOKUP(C978,'Reference Tables'!$E$4:$E$12,'Reference Tables'!$G$4:$G$12,1),1)</x:f>
        <x:v>4.2</x:v>
      </x:c>
      <x:c r="T978" s="106" t="str">
        <x:f>IF(R978&gt;='Inputs &amp; Guide'!$B$9,"HIGH",IF(R978&gt;=0.45,"WATCH","NORMAL"))</x:f>
        <x:v>HIGH</x:v>
      </x:c>
    </x:row>
    <x:row r="979">
      <x:c r="A979" s="95" t="n">
        <x:v>7801</x:v>
      </x:c>
      <x:c r="B979" s="96" t="n">
        <x:v>45617</x:v>
      </x:c>
      <x:c r="C979" s="97" t="str">
        <x:v>Earthquake</x:v>
      </x:c>
      <x:c r="D979" s="97" t="str">
        <x:v>Brazil</x:v>
      </x:c>
      <x:c r="E979" s="98" t="n">
        <x:v>4.3381430418332725</x:v>
      </x:c>
      <x:c r="F979" s="99" t="n">
        <x:v>91.93626092209018</x:v>
      </x:c>
      <x:c r="G979" s="100" t="str">
        <x:f>XLOOKUP(D979,'Reference Tables'!$A$4:$A$23,'Reference Tables'!$B$4:$B$23,"Other")</x:f>
        <x:v>Latin America</x:v>
      </x:c>
      <x:c r="H979" s="100" t="str">
        <x:f>VLOOKUP(G979,'Reference Tables'!$I$4:$J$9,2,FALSE)</x:f>
        <x:v>Moderate</x:v>
      </x:c>
      <x:c r="I979" s="101" t="n">
        <x:f>F979*'Inputs &amp; Guide'!$B$4*XLOOKUP(D979,'Reference Tables'!$A$4:$A$23,'Reference Tables'!$C$4:$C$23,0.75)</x:f>
        <x:v>12.062037432978231</x:v>
      </x:c>
      <x:c r="J979" s="102" t="n">
        <x:f>XLOOKUP(C979,'Reference Tables'!$E$4:$E$12,'Reference Tables'!$F$4:$F$12,0.05)</x:f>
        <x:v>0.14</x:v>
      </x:c>
      <x:c r="K979" s="103" t="n">
        <x:f>MIN(I979,F979*J979)</x:f>
        <x:v>12.062037432978231</x:v>
      </x:c>
      <x:c r="L979" s="103" t="n">
        <x:f>'Inputs &amp; Guide'!$B$5</x:f>
        <x:v>15</x:v>
      </x:c>
      <x:c r="M979" s="103" t="n">
        <x:f>I979*'Inputs &amp; Guide'!$B$6</x:f>
        <x:v>6.634120588138027</x:v>
      </x:c>
      <x:c r="N979" s="103" t="n">
        <x:f>MAX(0,MIN(K979-L979,M979))</x:f>
        <x:v>0</x:v>
      </x:c>
      <x:c r="O979" s="103" t="n">
        <x:f>MAX(0,N979-'Inputs &amp; Guide'!$B$7)</x:f>
        <x:v>0</x:v>
      </x:c>
      <x:c r="P979" s="103" t="n">
        <x:f>N979-O979</x:f>
        <x:v>0</x:v>
      </x:c>
      <x:c r="Q979" s="103" t="n">
        <x:f>I979*'Inputs &amp; Guide'!$B$8</x:f>
        <x:v>0.21711667379360813</x:v>
      </x:c>
      <x:c r="R979" s="104" t="n">
        <x:f>IFERROR(P979/Q979,0)</x:f>
        <x:v>0</x:v>
      </x:c>
      <x:c r="S979" s="105" t="n">
        <x:f>ROUND(E979*XLOOKUP(C979,'Reference Tables'!$E$4:$E$12,'Reference Tables'!$G$4:$G$12,1),1)</x:f>
        <x:v>6.5</x:v>
      </x:c>
      <x:c r="T979" s="106" t="str">
        <x:f>IF(R979&gt;='Inputs &amp; Guide'!$B$9,"HIGH",IF(R979&gt;=0.45,"WATCH","NORMAL"))</x:f>
        <x:v>NORMAL</x:v>
      </x:c>
    </x:row>
    <x:row r="980">
      <x:c r="A980" s="95" t="n">
        <x:v>7809</x:v>
      </x:c>
      <x:c r="B980" s="96" t="n">
        <x:v>45617.104166666664</x:v>
      </x:c>
      <x:c r="C980" s="97" t="str">
        <x:v>Wildfire</x:v>
      </x:c>
      <x:c r="D980" s="97" t="str">
        <x:v>USA</x:v>
      </x:c>
      <x:c r="E980" s="98" t="n">
        <x:v>2.7866759103093752</x:v>
      </x:c>
      <x:c r="F980" s="99" t="n">
        <x:v>508.1359016773654</x:v>
      </x:c>
      <x:c r="G980" s="100" t="str">
        <x:f>XLOOKUP(D980,'Reference Tables'!$A$4:$A$23,'Reference Tables'!$B$4:$B$23,"Other")</x:f>
        <x:v>Other</x:v>
      </x:c>
      <x:c r="H980" s="100" t="str">
        <x:f>VLOOKUP(G980,'Reference Tables'!$I$4:$J$9,2,FALSE)</x:f>
        <x:v>Moderate</x:v>
      </x:c>
      <x:c r="I980" s="101" t="n">
        <x:f>F980*'Inputs &amp; Guide'!$B$4*XLOOKUP(D980,'Reference Tables'!$A$4:$A$23,'Reference Tables'!$C$4:$C$23,0.75)</x:f>
        <x:v>60.97630820128384</x:v>
      </x:c>
      <x:c r="J980" s="102" t="n">
        <x:f>XLOOKUP(C980,'Reference Tables'!$E$4:$E$12,'Reference Tables'!$F$4:$F$12,0.05)</x:f>
        <x:v>0.1</x:v>
      </x:c>
      <x:c r="K980" s="103" t="n">
        <x:f>MIN(I980,F980*J980)</x:f>
        <x:v>50.81359016773654</x:v>
      </x:c>
      <x:c r="L980" s="103" t="n">
        <x:f>'Inputs &amp; Guide'!$B$5</x:f>
        <x:v>15</x:v>
      </x:c>
      <x:c r="M980" s="103" t="n">
        <x:f>I980*'Inputs &amp; Guide'!$B$6</x:f>
        <x:v>33.536969510706115</x:v>
      </x:c>
      <x:c r="N980" s="103" t="n">
        <x:f>MAX(0,MIN(K980-L980,M980))</x:f>
        <x:v>33.536969510706115</x:v>
      </x:c>
      <x:c r="O980" s="103" t="n">
        <x:f>MAX(0,N980-'Inputs &amp; Guide'!$B$7)</x:f>
        <x:v>0</x:v>
      </x:c>
      <x:c r="P980" s="103" t="n">
        <x:f>N980-O980</x:f>
        <x:v>33.536969510706115</x:v>
      </x:c>
      <x:c r="Q980" s="103" t="n">
        <x:f>I980*'Inputs &amp; Guide'!$B$8</x:f>
        <x:v>1.097573547623109</x:v>
      </x:c>
      <x:c r="R980" s="104" t="n">
        <x:f>IFERROR(P980/Q980,0)</x:f>
        <x:v>30.55555555555556</x:v>
      </x:c>
      <x:c r="S980" s="105" t="n">
        <x:f>ROUND(E980*XLOOKUP(C980,'Reference Tables'!$E$4:$E$12,'Reference Tables'!$G$4:$G$12,1),1)</x:f>
        <x:v>3.2</x:v>
      </x:c>
      <x:c r="T980" s="106" t="str">
        <x:f>IF(R980&gt;='Inputs &amp; Guide'!$B$9,"HIGH",IF(R980&gt;=0.45,"WATCH","NORMAL"))</x:f>
        <x:v>HIGH</x:v>
      </x:c>
    </x:row>
    <x:row r="981">
      <x:c r="A981" s="95" t="n">
        <x:v>7817</x:v>
      </x:c>
      <x:c r="B981" s="96" t="n">
        <x:v>45617.4375</x:v>
      </x:c>
      <x:c r="C981" s="97" t="str">
        <x:v>Wildfire</x:v>
      </x:c>
      <x:c r="D981" s="97" t="str">
        <x:v>USA</x:v>
      </x:c>
      <x:c r="E981" s="98" t="n">
        <x:v>2.575609333611635</x:v>
      </x:c>
      <x:c r="F981" s="99" t="n">
        <x:v>876.1939302547239</x:v>
      </x:c>
      <x:c r="G981" s="100" t="str">
        <x:f>XLOOKUP(D981,'Reference Tables'!$A$4:$A$23,'Reference Tables'!$B$4:$B$23,"Other")</x:f>
        <x:v>Other</x:v>
      </x:c>
      <x:c r="H981" s="100" t="str">
        <x:f>VLOOKUP(G981,'Reference Tables'!$I$4:$J$9,2,FALSE)</x:f>
        <x:v>Moderate</x:v>
      </x:c>
      <x:c r="I981" s="101" t="n">
        <x:f>F981*'Inputs &amp; Guide'!$B$4*XLOOKUP(D981,'Reference Tables'!$A$4:$A$23,'Reference Tables'!$C$4:$C$23,0.75)</x:f>
        <x:v>105.14327163056686</x:v>
      </x:c>
      <x:c r="J981" s="102" t="n">
        <x:f>XLOOKUP(C981,'Reference Tables'!$E$4:$E$12,'Reference Tables'!$F$4:$F$12,0.05)</x:f>
        <x:v>0.1</x:v>
      </x:c>
      <x:c r="K981" s="103" t="n">
        <x:f>MIN(I981,F981*J981)</x:f>
        <x:v>87.61939302547239</x:v>
      </x:c>
      <x:c r="L981" s="103" t="n">
        <x:f>'Inputs &amp; Guide'!$B$5</x:f>
        <x:v>15</x:v>
      </x:c>
      <x:c r="M981" s="103" t="n">
        <x:f>I981*'Inputs &amp; Guide'!$B$6</x:f>
        <x:v>57.828799396811775</x:v>
      </x:c>
      <x:c r="N981" s="103" t="n">
        <x:f>MAX(0,MIN(K981-L981,M981))</x:f>
        <x:v>57.828799396811775</x:v>
      </x:c>
      <x:c r="O981" s="103" t="n">
        <x:f>MAX(0,N981-'Inputs &amp; Guide'!$B$7)</x:f>
        <x:v>0</x:v>
      </x:c>
      <x:c r="P981" s="103" t="n">
        <x:f>N981-O981</x:f>
        <x:v>57.828799396811775</x:v>
      </x:c>
      <x:c r="Q981" s="103" t="n">
        <x:f>I981*'Inputs &amp; Guide'!$B$8</x:f>
        <x:v>1.8925788893502034</x:v>
      </x:c>
      <x:c r="R981" s="104" t="n">
        <x:f>IFERROR(P981/Q981,0)</x:f>
        <x:v>30.555555555555557</x:v>
      </x:c>
      <x:c r="S981" s="105" t="n">
        <x:f>ROUND(E981*XLOOKUP(C981,'Reference Tables'!$E$4:$E$12,'Reference Tables'!$G$4:$G$12,1),1)</x:f>
        <x:v>3</x:v>
      </x:c>
      <x:c r="T981" s="106" t="str">
        <x:f>IF(R981&gt;='Inputs &amp; Guide'!$B$9,"HIGH",IF(R981&gt;=0.45,"WATCH","NORMAL"))</x:f>
        <x:v>HIGH</x:v>
      </x:c>
    </x:row>
    <x:row r="982">
      <x:c r="A982" s="95" t="n">
        <x:v>7825</x:v>
      </x:c>
      <x:c r="B982" s="96" t="n">
        <x:v>45618</x:v>
      </x:c>
      <x:c r="C982" s="97" t="str">
        <x:v>Wildfire</x:v>
      </x:c>
      <x:c r="D982" s="97" t="str">
        <x:v>India</x:v>
      </x:c>
      <x:c r="E982" s="98" t="n">
        <x:v>8.033009611681997</x:v>
      </x:c>
      <x:c r="F982" s="99" t="n">
        <x:v>602.8937119464455</x:v>
      </x:c>
      <x:c r="G982" s="100" t="str">
        <x:f>XLOOKUP(D982,'Reference Tables'!$A$4:$A$23,'Reference Tables'!$B$4:$B$23,"Other")</x:f>
        <x:v>Asia Pacific</x:v>
      </x:c>
      <x:c r="H982" s="100" t="str">
        <x:f>VLOOKUP(G982,'Reference Tables'!$I$4:$J$9,2,FALSE)</x:f>
        <x:v>High</x:v>
      </x:c>
      <x:c r="I982" s="101" t="n">
        <x:f>F982*'Inputs &amp; Guide'!$B$4*XLOOKUP(D982,'Reference Tables'!$A$4:$A$23,'Reference Tables'!$C$4:$C$23,0.75)</x:f>
        <x:v>87.78132445940247</x:v>
      </x:c>
      <x:c r="J982" s="102" t="n">
        <x:f>XLOOKUP(C982,'Reference Tables'!$E$4:$E$12,'Reference Tables'!$F$4:$F$12,0.05)</x:f>
        <x:v>0.1</x:v>
      </x:c>
      <x:c r="K982" s="103" t="n">
        <x:f>MIN(I982,F982*J982)</x:f>
        <x:v>60.28937119464455</x:v>
      </x:c>
      <x:c r="L982" s="103" t="n">
        <x:f>'Inputs &amp; Guide'!$B$5</x:f>
        <x:v>15</x:v>
      </x:c>
      <x:c r="M982" s="103" t="n">
        <x:f>I982*'Inputs &amp; Guide'!$B$6</x:f>
        <x:v>48.279728452671364</x:v>
      </x:c>
      <x:c r="N982" s="103" t="n">
        <x:f>MAX(0,MIN(K982-L982,M982))</x:f>
        <x:v>45.28937119464455</x:v>
      </x:c>
      <x:c r="O982" s="103" t="n">
        <x:f>MAX(0,N982-'Inputs &amp; Guide'!$B$7)</x:f>
        <x:v>0</x:v>
      </x:c>
      <x:c r="P982" s="103" t="n">
        <x:f>N982-O982</x:f>
        <x:v>45.28937119464455</x:v>
      </x:c>
      <x:c r="Q982" s="103" t="n">
        <x:f>I982*'Inputs &amp; Guide'!$B$8</x:f>
        <x:v>1.5800638402692444</x:v>
      </x:c>
      <x:c r="R982" s="104" t="n">
        <x:f>IFERROR(P982/Q982,0)</x:f>
        <x:v>28.663000848704442</x:v>
      </x:c>
      <x:c r="S982" s="105" t="n">
        <x:f>ROUND(E982*XLOOKUP(C982,'Reference Tables'!$E$4:$E$12,'Reference Tables'!$G$4:$G$12,1),1)</x:f>
        <x:v>9.2</x:v>
      </x:c>
      <x:c r="T982" s="106" t="str">
        <x:f>IF(R982&gt;='Inputs &amp; Guide'!$B$9,"HIGH",IF(R982&gt;=0.45,"WATCH","NORMAL"))</x:f>
        <x:v>HIGH</x:v>
      </x:c>
    </x:row>
    <x:row r="983">
      <x:c r="A983" s="95" t="n">
        <x:v>7833</x:v>
      </x:c>
      <x:c r="B983" s="96" t="n">
        <x:v>45618.104166666664</x:v>
      </x:c>
      <x:c r="C983" s="97" t="str">
        <x:v>Tornado</x:v>
      </x:c>
      <x:c r="D983" s="97" t="str">
        <x:v>USA</x:v>
      </x:c>
      <x:c r="E983" s="98" t="n">
        <x:v>4.126533651371162</x:v>
      </x:c>
      <x:c r="F983" s="99" t="n">
        <x:v>238.90322939049162</x:v>
      </x:c>
      <x:c r="G983" s="100" t="str">
        <x:f>XLOOKUP(D983,'Reference Tables'!$A$4:$A$23,'Reference Tables'!$B$4:$B$23,"Other")</x:f>
        <x:v>Other</x:v>
      </x:c>
      <x:c r="H983" s="100" t="str">
        <x:f>VLOOKUP(G983,'Reference Tables'!$I$4:$J$9,2,FALSE)</x:f>
        <x:v>Moderate</x:v>
      </x:c>
      <x:c r="I983" s="101" t="n">
        <x:f>F983*'Inputs &amp; Guide'!$B$4*XLOOKUP(D983,'Reference Tables'!$A$4:$A$23,'Reference Tables'!$C$4:$C$23,0.75)</x:f>
        <x:v>28.668387526858993</x:v>
      </x:c>
      <x:c r="J983" s="102" t="n">
        <x:f>XLOOKUP(C983,'Reference Tables'!$E$4:$E$12,'Reference Tables'!$F$4:$F$12,0.05)</x:f>
        <x:v>0.09</x:v>
      </x:c>
      <x:c r="K983" s="103" t="n">
        <x:f>MIN(I983,F983*J983)</x:f>
        <x:v>21.501290645144245</x:v>
      </x:c>
      <x:c r="L983" s="103" t="n">
        <x:f>'Inputs &amp; Guide'!$B$5</x:f>
        <x:v>15</x:v>
      </x:c>
      <x:c r="M983" s="103" t="n">
        <x:f>I983*'Inputs &amp; Guide'!$B$6</x:f>
        <x:v>15.767613139772447</x:v>
      </x:c>
      <x:c r="N983" s="103" t="n">
        <x:f>MAX(0,MIN(K983-L983,M983))</x:f>
        <x:v>6.501290645144245</x:v>
      </x:c>
      <x:c r="O983" s="103" t="n">
        <x:f>MAX(0,N983-'Inputs &amp; Guide'!$B$7)</x:f>
        <x:v>0</x:v>
      </x:c>
      <x:c r="P983" s="103" t="n">
        <x:f>N983-O983</x:f>
        <x:v>6.501290645144245</x:v>
      </x:c>
      <x:c r="Q983" s="103" t="n">
        <x:f>I983*'Inputs &amp; Guide'!$B$8</x:f>
        <x:v>0.5160309754834619</x:v>
      </x:c>
      <x:c r="R983" s="104" t="n">
        <x:f>IFERROR(P983/Q983,0)</x:f>
        <x:v>12.598644178391192</x:v>
      </x:c>
      <x:c r="S983" s="105" t="n">
        <x:f>ROUND(E983*XLOOKUP(C983,'Reference Tables'!$E$4:$E$12,'Reference Tables'!$G$4:$G$12,1),1)</x:f>
        <x:v>4.3</x:v>
      </x:c>
      <x:c r="T983" s="106" t="str">
        <x:f>IF(R983&gt;='Inputs &amp; Guide'!$B$9,"HIGH",IF(R983&gt;=0.45,"WATCH","NORMAL"))</x:f>
        <x:v>HIGH</x:v>
      </x:c>
    </x:row>
    <x:row r="984">
      <x:c r="A984" s="95" t="n">
        <x:v>7841</x:v>
      </x:c>
      <x:c r="B984" s="96" t="n">
        <x:v>45618.4375</x:v>
      </x:c>
      <x:c r="C984" s="97" t="str">
        <x:v>Hurricane</x:v>
      </x:c>
      <x:c r="D984" s="97" t="str">
        <x:v>Japan</x:v>
      </x:c>
      <x:c r="E984" s="98" t="n">
        <x:v>7.768969728973046</x:v>
      </x:c>
      <x:c r="F984" s="99" t="n">
        <x:v>771.3226093368389</x:v>
      </x:c>
      <x:c r="G984" s="100" t="str">
        <x:f>XLOOKUP(D984,'Reference Tables'!$A$4:$A$23,'Reference Tables'!$B$4:$B$23,"Other")</x:f>
        <x:v>Asia Pacific</x:v>
      </x:c>
      <x:c r="H984" s="100" t="str">
        <x:f>VLOOKUP(G984,'Reference Tables'!$I$4:$J$9,2,FALSE)</x:f>
        <x:v>High</x:v>
      </x:c>
      <x:c r="I984" s="101" t="n">
        <x:f>F984*'Inputs &amp; Guide'!$B$4*XLOOKUP(D984,'Reference Tables'!$A$4:$A$23,'Reference Tables'!$C$4:$C$23,0.75)</x:f>
        <x:v>145.6257086427952</x:v>
      </x:c>
      <x:c r="J984" s="102" t="n">
        <x:f>XLOOKUP(C984,'Reference Tables'!$E$4:$E$12,'Reference Tables'!$F$4:$F$12,0.05)</x:f>
        <x:v>0.18</x:v>
      </x:c>
      <x:c r="K984" s="103" t="n">
        <x:f>MIN(I984,F984*J984)</x:f>
        <x:v>138.838069680631</x:v>
      </x:c>
      <x:c r="L984" s="103" t="n">
        <x:f>'Inputs &amp; Guide'!$B$5</x:f>
        <x:v>15</x:v>
      </x:c>
      <x:c r="M984" s="103" t="n">
        <x:f>I984*'Inputs &amp; Guide'!$B$6</x:f>
        <x:v>80.09413975353736</x:v>
      </x:c>
      <x:c r="N984" s="103" t="n">
        <x:f>MAX(0,MIN(K984-L984,M984))</x:f>
        <x:v>80.09413975353736</x:v>
      </x:c>
      <x:c r="O984" s="103" t="n">
        <x:f>MAX(0,N984-'Inputs &amp; Guide'!$B$7)</x:f>
        <x:v>20.094139753537362</x:v>
      </x:c>
      <x:c r="P984" s="103" t="n">
        <x:f>N984-O984</x:f>
        <x:v>60</x:v>
      </x:c>
      <x:c r="Q984" s="103" t="n">
        <x:f>I984*'Inputs &amp; Guide'!$B$8</x:f>
        <x:v>2.621262755570313</x:v>
      </x:c>
      <x:c r="R984" s="104" t="n">
        <x:f>IFERROR(P984/Q984,0)</x:f>
        <x:v>22.889731245941302</x:v>
      </x:c>
      <x:c r="S984" s="105" t="n">
        <x:f>ROUND(E984*XLOOKUP(C984,'Reference Tables'!$E$4:$E$12,'Reference Tables'!$G$4:$G$12,1),1)</x:f>
        <x:v>10.9</x:v>
      </x:c>
      <x:c r="T984" s="106" t="str">
        <x:f>IF(R984&gt;='Inputs &amp; Guide'!$B$9,"HIGH",IF(R984&gt;=0.45,"WATCH","NORMAL"))</x:f>
        <x:v>HIGH</x:v>
      </x:c>
    </x:row>
    <x:row r="985">
      <x:c r="A985" s="95" t="n">
        <x:v>7849</x:v>
      </x:c>
      <x:c r="B985" s="96" t="n">
        <x:v>45619</x:v>
      </x:c>
      <x:c r="C985" s="97" t="str">
        <x:v>Flood</x:v>
      </x:c>
      <x:c r="D985" s="97" t="str">
        <x:v>Japan</x:v>
      </x:c>
      <x:c r="E985" s="98" t="n">
        <x:v>7.219394020419708</x:v>
      </x:c>
      <x:c r="F985" s="99" t="n">
        <x:v>835.7807599142594</x:v>
      </x:c>
      <x:c r="G985" s="100" t="str">
        <x:f>XLOOKUP(D985,'Reference Tables'!$A$4:$A$23,'Reference Tables'!$B$4:$B$23,"Other")</x:f>
        <x:v>Asia Pacific</x:v>
      </x:c>
      <x:c r="H985" s="100" t="str">
        <x:f>VLOOKUP(G985,'Reference Tables'!$I$4:$J$9,2,FALSE)</x:f>
        <x:v>High</x:v>
      </x:c>
      <x:c r="I985" s="101" t="n">
        <x:f>F985*'Inputs &amp; Guide'!$B$4*XLOOKUP(D985,'Reference Tables'!$A$4:$A$23,'Reference Tables'!$C$4:$C$23,0.75)</x:f>
        <x:v>157.79540747181218</x:v>
      </x:c>
      <x:c r="J985" s="102" t="n">
        <x:f>XLOOKUP(C985,'Reference Tables'!$E$4:$E$12,'Reference Tables'!$F$4:$F$12,0.05)</x:f>
        <x:v>0.12</x:v>
      </x:c>
      <x:c r="K985" s="103" t="n">
        <x:f>MIN(I985,F985*J985)</x:f>
        <x:v>100.29369118971113</x:v>
      </x:c>
      <x:c r="L985" s="103" t="n">
        <x:f>'Inputs &amp; Guide'!$B$5</x:f>
        <x:v>15</x:v>
      </x:c>
      <x:c r="M985" s="103" t="n">
        <x:f>I985*'Inputs &amp; Guide'!$B$6</x:f>
        <x:v>86.78747410949671</x:v>
      </x:c>
      <x:c r="N985" s="103" t="n">
        <x:f>MAX(0,MIN(K985-L985,M985))</x:f>
        <x:v>85.29369118971113</x:v>
      </x:c>
      <x:c r="O985" s="103" t="n">
        <x:f>MAX(0,N985-'Inputs &amp; Guide'!$B$7)</x:f>
        <x:v>25.293691189711126</x:v>
      </x:c>
      <x:c r="P985" s="103" t="n">
        <x:f>N985-O985</x:f>
        <x:v>60</x:v>
      </x:c>
      <x:c r="Q985" s="103" t="n">
        <x:f>I985*'Inputs &amp; Guide'!$B$8</x:f>
        <x:v>2.840317334492619</x:v>
      </x:c>
      <x:c r="R985" s="104" t="n">
        <x:f>IFERROR(P985/Q985,0)</x:f>
        <x:v>21.124400175770543</x:v>
      </x:c>
      <x:c r="S985" s="105" t="n">
        <x:f>ROUND(E985*XLOOKUP(C985,'Reference Tables'!$E$4:$E$12,'Reference Tables'!$G$4:$G$12,1),1)</x:f>
        <x:v>9</x:v>
      </x:c>
      <x:c r="T985" s="106" t="str">
        <x:f>IF(R985&gt;='Inputs &amp; Guide'!$B$9,"HIGH",IF(R985&gt;=0.45,"WATCH","NORMAL"))</x:f>
        <x:v>HIGH</x:v>
      </x:c>
    </x:row>
    <x:row r="986">
      <x:c r="A986" s="95" t="n">
        <x:v>7857</x:v>
      </x:c>
      <x:c r="B986" s="96" t="n">
        <x:v>45619.104166666664</x:v>
      </x:c>
      <x:c r="C986" s="97" t="str">
        <x:v>Flood</x:v>
      </x:c>
      <x:c r="D986" s="97" t="str">
        <x:v>India</x:v>
      </x:c>
      <x:c r="E986" s="98" t="n">
        <x:v>5.097979219317143</x:v>
      </x:c>
      <x:c r="F986" s="99" t="n">
        <x:v>555.7087280538527</x:v>
      </x:c>
      <x:c r="G986" s="100" t="str">
        <x:f>XLOOKUP(D986,'Reference Tables'!$A$4:$A$23,'Reference Tables'!$B$4:$B$23,"Other")</x:f>
        <x:v>Asia Pacific</x:v>
      </x:c>
      <x:c r="H986" s="100" t="str">
        <x:f>VLOOKUP(G986,'Reference Tables'!$I$4:$J$9,2,FALSE)</x:f>
        <x:v>High</x:v>
      </x:c>
      <x:c r="I986" s="101" t="n">
        <x:f>F986*'Inputs &amp; Guide'!$B$4*XLOOKUP(D986,'Reference Tables'!$A$4:$A$23,'Reference Tables'!$C$4:$C$23,0.75)</x:f>
        <x:v>80.91119080464097</x:v>
      </x:c>
      <x:c r="J986" s="102" t="n">
        <x:f>XLOOKUP(C986,'Reference Tables'!$E$4:$E$12,'Reference Tables'!$F$4:$F$12,0.05)</x:f>
        <x:v>0.12</x:v>
      </x:c>
      <x:c r="K986" s="103" t="n">
        <x:f>MIN(I986,F986*J986)</x:f>
        <x:v>66.68504736646233</x:v>
      </x:c>
      <x:c r="L986" s="103" t="n">
        <x:f>'Inputs &amp; Guide'!$B$5</x:f>
        <x:v>15</x:v>
      </x:c>
      <x:c r="M986" s="103" t="n">
        <x:f>I986*'Inputs &amp; Guide'!$B$6</x:f>
        <x:v>44.50115494255254</x:v>
      </x:c>
      <x:c r="N986" s="103" t="n">
        <x:f>MAX(0,MIN(K986-L986,M986))</x:f>
        <x:v>44.50115494255254</x:v>
      </x:c>
      <x:c r="O986" s="103" t="n">
        <x:f>MAX(0,N986-'Inputs &amp; Guide'!$B$7)</x:f>
        <x:v>0</x:v>
      </x:c>
      <x:c r="P986" s="103" t="n">
        <x:f>N986-O986</x:f>
        <x:v>44.50115494255254</x:v>
      </x:c>
      <x:c r="Q986" s="103" t="n">
        <x:f>I986*'Inputs &amp; Guide'!$B$8</x:f>
        <x:v>1.4564014344835372</x:v>
      </x:c>
      <x:c r="R986" s="104" t="n">
        <x:f>IFERROR(P986/Q986,0)</x:f>
        <x:v>30.555555555555564</x:v>
      </x:c>
      <x:c r="S986" s="105" t="n">
        <x:f>ROUND(E986*XLOOKUP(C986,'Reference Tables'!$E$4:$E$12,'Reference Tables'!$G$4:$G$12,1),1)</x:f>
        <x:v>6.4</x:v>
      </x:c>
      <x:c r="T986" s="106" t="str">
        <x:f>IF(R986&gt;='Inputs &amp; Guide'!$B$9,"HIGH",IF(R986&gt;=0.45,"WATCH","NORMAL"))</x:f>
        <x:v>HIGH</x:v>
      </x:c>
    </x:row>
    <x:row r="987">
      <x:c r="A987" s="95" t="n">
        <x:v>7865</x:v>
      </x:c>
      <x:c r="B987" s="96" t="n">
        <x:v>45619.4375</x:v>
      </x:c>
      <x:c r="C987" s="97" t="str">
        <x:v>Earthquake</x:v>
      </x:c>
      <x:c r="D987" s="97" t="str">
        <x:v>Indonesia</x:v>
      </x:c>
      <x:c r="E987" s="98" t="n">
        <x:v>4.203970094225985</x:v>
      </x:c>
      <x:c r="F987" s="99" t="n">
        <x:v>282.5918175471434</x:v>
      </x:c>
      <x:c r="G987" s="100" t="str">
        <x:f>XLOOKUP(D987,'Reference Tables'!$A$4:$A$23,'Reference Tables'!$B$4:$B$23,"Other")</x:f>
        <x:v>Asia Pacific</x:v>
      </x:c>
      <x:c r="H987" s="100" t="str">
        <x:f>VLOOKUP(G987,'Reference Tables'!$I$4:$J$9,2,FALSE)</x:f>
        <x:v>High</x:v>
      </x:c>
      <x:c r="I987" s="101" t="n">
        <x:f>F987*'Inputs &amp; Guide'!$B$4*XLOOKUP(D987,'Reference Tables'!$A$4:$A$23,'Reference Tables'!$C$4:$C$23,0.75)</x:f>
        <x:v>46.57113153176924</x:v>
      </x:c>
      <x:c r="J987" s="102" t="n">
        <x:f>XLOOKUP(C987,'Reference Tables'!$E$4:$E$12,'Reference Tables'!$F$4:$F$12,0.05)</x:f>
        <x:v>0.14</x:v>
      </x:c>
      <x:c r="K987" s="103" t="n">
        <x:f>MIN(I987,F987*J987)</x:f>
        <x:v>39.562854456600085</x:v>
      </x:c>
      <x:c r="L987" s="103" t="n">
        <x:f>'Inputs &amp; Guide'!$B$5</x:f>
        <x:v>15</x:v>
      </x:c>
      <x:c r="M987" s="103" t="n">
        <x:f>I987*'Inputs &amp; Guide'!$B$6</x:f>
        <x:v>25.614122342473085</x:v>
      </x:c>
      <x:c r="N987" s="103" t="n">
        <x:f>MAX(0,MIN(K987-L987,M987))</x:f>
        <x:v>24.562854456600085</x:v>
      </x:c>
      <x:c r="O987" s="103" t="n">
        <x:f>MAX(0,N987-'Inputs &amp; Guide'!$B$7)</x:f>
        <x:v>0</x:v>
      </x:c>
      <x:c r="P987" s="103" t="n">
        <x:f>N987-O987</x:f>
        <x:v>24.562854456600085</x:v>
      </x:c>
      <x:c r="Q987" s="103" t="n">
        <x:f>I987*'Inputs &amp; Guide'!$B$8</x:f>
        <x:v>0.8382803675718462</x:v>
      </x:c>
      <x:c r="R987" s="104" t="n">
        <x:f>IFERROR(P987/Q987,0)</x:f>
        <x:v>29.301478845017666</x:v>
      </x:c>
      <x:c r="S987" s="105" t="n">
        <x:f>ROUND(E987*XLOOKUP(C987,'Reference Tables'!$E$4:$E$12,'Reference Tables'!$G$4:$G$12,1),1)</x:f>
        <x:v>6.3</x:v>
      </x:c>
      <x:c r="T987" s="106" t="str">
        <x:f>IF(R987&gt;='Inputs &amp; Guide'!$B$9,"HIGH",IF(R987&gt;=0.45,"WATCH","NORMAL"))</x:f>
        <x:v>HIGH</x:v>
      </x:c>
    </x:row>
    <x:row r="988">
      <x:c r="A988" s="95" t="n">
        <x:v>7873</x:v>
      </x:c>
      <x:c r="B988" s="96" t="n">
        <x:v>45620</x:v>
      </x:c>
      <x:c r="C988" s="97" t="str">
        <x:v>Tornado</x:v>
      </x:c>
      <x:c r="D988" s="97" t="str">
        <x:v>Brazil</x:v>
      </x:c>
      <x:c r="E988" s="98" t="n">
        <x:v>1.3799818538368283</x:v>
      </x:c>
      <x:c r="F988" s="99" t="n">
        <x:v>604.0518510017172</x:v>
      </x:c>
      <x:c r="G988" s="100" t="str">
        <x:f>XLOOKUP(D988,'Reference Tables'!$A$4:$A$23,'Reference Tables'!$B$4:$B$23,"Other")</x:f>
        <x:v>Latin America</x:v>
      </x:c>
      <x:c r="H988" s="100" t="str">
        <x:f>VLOOKUP(G988,'Reference Tables'!$I$4:$J$9,2,FALSE)</x:f>
        <x:v>Moderate</x:v>
      </x:c>
      <x:c r="I988" s="101" t="n">
        <x:f>F988*'Inputs &amp; Guide'!$B$4*XLOOKUP(D988,'Reference Tables'!$A$4:$A$23,'Reference Tables'!$C$4:$C$23,0.75)</x:f>
        <x:v>79.25160285142529</x:v>
      </x:c>
      <x:c r="J988" s="102" t="n">
        <x:f>XLOOKUP(C988,'Reference Tables'!$E$4:$E$12,'Reference Tables'!$F$4:$F$12,0.05)</x:f>
        <x:v>0.09</x:v>
      </x:c>
      <x:c r="K988" s="103" t="n">
        <x:f>MIN(I988,F988*J988)</x:f>
        <x:v>54.36466659015454</x:v>
      </x:c>
      <x:c r="L988" s="103" t="n">
        <x:f>'Inputs &amp; Guide'!$B$5</x:f>
        <x:v>15</x:v>
      </x:c>
      <x:c r="M988" s="103" t="n">
        <x:f>I988*'Inputs &amp; Guide'!$B$6</x:f>
        <x:v>43.588381568283914</x:v>
      </x:c>
      <x:c r="N988" s="103" t="n">
        <x:f>MAX(0,MIN(K988-L988,M988))</x:f>
        <x:v>39.36466659015454</x:v>
      </x:c>
      <x:c r="O988" s="103" t="n">
        <x:f>MAX(0,N988-'Inputs &amp; Guide'!$B$7)</x:f>
        <x:v>0</x:v>
      </x:c>
      <x:c r="P988" s="103" t="n">
        <x:f>N988-O988</x:f>
        <x:v>39.36466659015454</x:v>
      </x:c>
      <x:c r="Q988" s="103" t="n">
        <x:f>I988*'Inputs &amp; Guide'!$B$8</x:f>
        <x:v>1.426528851325655</x:v>
      </x:c>
      <x:c r="R988" s="104" t="n">
        <x:f>IFERROR(P988/Q988,0)</x:f>
        <x:v>27.594721658502355</x:v>
      </x:c>
      <x:c r="S988" s="105" t="n">
        <x:f>ROUND(E988*XLOOKUP(C988,'Reference Tables'!$E$4:$E$12,'Reference Tables'!$G$4:$G$12,1),1)</x:f>
        <x:v>1.4</x:v>
      </x:c>
      <x:c r="T988" s="106" t="str">
        <x:f>IF(R988&gt;='Inputs &amp; Guide'!$B$9,"HIGH",IF(R988&gt;=0.45,"WATCH","NORMAL"))</x:f>
        <x:v>HIGH</x:v>
      </x:c>
    </x:row>
    <x:row r="989">
      <x:c r="A989" s="95" t="n">
        <x:v>7881</x:v>
      </x:c>
      <x:c r="B989" s="96" t="n">
        <x:v>45620.104166666664</x:v>
      </x:c>
      <x:c r="C989" s="97" t="str">
        <x:v>Wildfire</x:v>
      </x:c>
      <x:c r="D989" s="97" t="str">
        <x:v>USA</x:v>
      </x:c>
      <x:c r="E989" s="98" t="n">
        <x:v>3.613519473293402</x:v>
      </x:c>
      <x:c r="F989" s="99" t="n">
        <x:v>489.17585108918985</x:v>
      </x:c>
      <x:c r="G989" s="100" t="str">
        <x:f>XLOOKUP(D989,'Reference Tables'!$A$4:$A$23,'Reference Tables'!$B$4:$B$23,"Other")</x:f>
        <x:v>Other</x:v>
      </x:c>
      <x:c r="H989" s="100" t="str">
        <x:f>VLOOKUP(G989,'Reference Tables'!$I$4:$J$9,2,FALSE)</x:f>
        <x:v>Moderate</x:v>
      </x:c>
      <x:c r="I989" s="101" t="n">
        <x:f>F989*'Inputs &amp; Guide'!$B$4*XLOOKUP(D989,'Reference Tables'!$A$4:$A$23,'Reference Tables'!$C$4:$C$23,0.75)</x:f>
        <x:v>58.701102130702786</x:v>
      </x:c>
      <x:c r="J989" s="102" t="n">
        <x:f>XLOOKUP(C989,'Reference Tables'!$E$4:$E$12,'Reference Tables'!$F$4:$F$12,0.05)</x:f>
        <x:v>0.1</x:v>
      </x:c>
      <x:c r="K989" s="103" t="n">
        <x:f>MIN(I989,F989*J989)</x:f>
        <x:v>48.917585108918985</x:v>
      </x:c>
      <x:c r="L989" s="103" t="n">
        <x:f>'Inputs &amp; Guide'!$B$5</x:f>
        <x:v>15</x:v>
      </x:c>
      <x:c r="M989" s="103" t="n">
        <x:f>I989*'Inputs &amp; Guide'!$B$6</x:f>
        <x:v>32.285606171886535</x:v>
      </x:c>
      <x:c r="N989" s="103" t="n">
        <x:f>MAX(0,MIN(K989-L989,M989))</x:f>
        <x:v>32.285606171886535</x:v>
      </x:c>
      <x:c r="O989" s="103" t="n">
        <x:f>MAX(0,N989-'Inputs &amp; Guide'!$B$7)</x:f>
        <x:v>0</x:v>
      </x:c>
      <x:c r="P989" s="103" t="n">
        <x:f>N989-O989</x:f>
        <x:v>32.285606171886535</x:v>
      </x:c>
      <x:c r="Q989" s="103" t="n">
        <x:f>I989*'Inputs &amp; Guide'!$B$8</x:f>
        <x:v>1.0566198383526502</x:v>
      </x:c>
      <x:c r="R989" s="104" t="n">
        <x:f>IFERROR(P989/Q989,0)</x:f>
        <x:v>30.555555555555557</x:v>
      </x:c>
      <x:c r="S989" s="105" t="n">
        <x:f>ROUND(E989*XLOOKUP(C989,'Reference Tables'!$E$4:$E$12,'Reference Tables'!$G$4:$G$12,1),1)</x:f>
        <x:v>4.2</x:v>
      </x:c>
      <x:c r="T989" s="106" t="str">
        <x:f>IF(R989&gt;='Inputs &amp; Guide'!$B$9,"HIGH",IF(R989&gt;=0.45,"WATCH","NORMAL"))</x:f>
        <x:v>HIGH</x:v>
      </x:c>
    </x:row>
    <x:row r="990">
      <x:c r="A990" s="95" t="n">
        <x:v>7889</x:v>
      </x:c>
      <x:c r="B990" s="96" t="n">
        <x:v>45620.4375</x:v>
      </x:c>
      <x:c r="C990" s="97" t="str">
        <x:v>Wildfire</x:v>
      </x:c>
      <x:c r="D990" s="97" t="str">
        <x:v>India</x:v>
      </x:c>
      <x:c r="E990" s="98" t="n">
        <x:v>8.79460925464142</x:v>
      </x:c>
      <x:c r="F990" s="99" t="n">
        <x:v>826.1044840986087</x:v>
      </x:c>
      <x:c r="G990" s="100" t="str">
        <x:f>XLOOKUP(D990,'Reference Tables'!$A$4:$A$23,'Reference Tables'!$B$4:$B$23,"Other")</x:f>
        <x:v>Asia Pacific</x:v>
      </x:c>
      <x:c r="H990" s="100" t="str">
        <x:f>VLOOKUP(G990,'Reference Tables'!$I$4:$J$9,2,FALSE)</x:f>
        <x:v>High</x:v>
      </x:c>
      <x:c r="I990" s="101" t="n">
        <x:f>F990*'Inputs &amp; Guide'!$B$4*XLOOKUP(D990,'Reference Tables'!$A$4:$A$23,'Reference Tables'!$C$4:$C$23,0.75)</x:f>
        <x:v>120.28081288475744</x:v>
      </x:c>
      <x:c r="J990" s="102" t="n">
        <x:f>XLOOKUP(C990,'Reference Tables'!$E$4:$E$12,'Reference Tables'!$F$4:$F$12,0.05)</x:f>
        <x:v>0.1</x:v>
      </x:c>
      <x:c r="K990" s="103" t="n">
        <x:f>MIN(I990,F990*J990)</x:f>
        <x:v>82.61044840986088</x:v>
      </x:c>
      <x:c r="L990" s="103" t="n">
        <x:f>'Inputs &amp; Guide'!$B$5</x:f>
        <x:v>15</x:v>
      </x:c>
      <x:c r="M990" s="103" t="n">
        <x:f>I990*'Inputs &amp; Guide'!$B$6</x:f>
        <x:v>66.1544470866166</x:v>
      </x:c>
      <x:c r="N990" s="103" t="n">
        <x:f>MAX(0,MIN(K990-L990,M990))</x:f>
        <x:v>66.1544470866166</x:v>
      </x:c>
      <x:c r="O990" s="103" t="n">
        <x:f>MAX(0,N990-'Inputs &amp; Guide'!$B$7)</x:f>
        <x:v>6.1544470866165994</x:v>
      </x:c>
      <x:c r="P990" s="103" t="n">
        <x:f>N990-O990</x:f>
        <x:v>60</x:v>
      </x:c>
      <x:c r="Q990" s="103" t="n">
        <x:f>I990*'Inputs &amp; Guide'!$B$8</x:f>
        <x:v>2.1650546319256336</x:v>
      </x:c>
      <x:c r="R990" s="104" t="n">
        <x:f>IFERROR(P990/Q990,0)</x:f>
        <x:v>27.712926554021898</x:v>
      </x:c>
      <x:c r="S990" s="105" t="n">
        <x:f>ROUND(E990*XLOOKUP(C990,'Reference Tables'!$E$4:$E$12,'Reference Tables'!$G$4:$G$12,1),1)</x:f>
        <x:v>10.1</x:v>
      </x:c>
      <x:c r="T990" s="106" t="str">
        <x:f>IF(R990&gt;='Inputs &amp; Guide'!$B$9,"HIGH",IF(R990&gt;=0.45,"WATCH","NORMAL"))</x:f>
        <x:v>HIGH</x:v>
      </x:c>
    </x:row>
    <x:row r="991">
      <x:c r="A991" s="95" t="n">
        <x:v>7897</x:v>
      </x:c>
      <x:c r="B991" s="96" t="n">
        <x:v>45621</x:v>
      </x:c>
      <x:c r="C991" s="97" t="str">
        <x:v>Hurricane</x:v>
      </x:c>
      <x:c r="D991" s="97" t="str">
        <x:v>USA</x:v>
      </x:c>
      <x:c r="E991" s="98" t="n">
        <x:v>1.9189712891496193</x:v>
      </x:c>
      <x:c r="F991" s="99" t="n">
        <x:v>726.4421123149885</x:v>
      </x:c>
      <x:c r="G991" s="100" t="str">
        <x:f>XLOOKUP(D991,'Reference Tables'!$A$4:$A$23,'Reference Tables'!$B$4:$B$23,"Other")</x:f>
        <x:v>Other</x:v>
      </x:c>
      <x:c r="H991" s="100" t="str">
        <x:f>VLOOKUP(G991,'Reference Tables'!$I$4:$J$9,2,FALSE)</x:f>
        <x:v>Moderate</x:v>
      </x:c>
      <x:c r="I991" s="101" t="n">
        <x:f>F991*'Inputs &amp; Guide'!$B$4*XLOOKUP(D991,'Reference Tables'!$A$4:$A$23,'Reference Tables'!$C$4:$C$23,0.75)</x:f>
        <x:v>87.17305347779862</x:v>
      </x:c>
      <x:c r="J991" s="102" t="n">
        <x:f>XLOOKUP(C991,'Reference Tables'!$E$4:$E$12,'Reference Tables'!$F$4:$F$12,0.05)</x:f>
        <x:v>0.18</x:v>
      </x:c>
      <x:c r="K991" s="103" t="n">
        <x:f>MIN(I991,F991*J991)</x:f>
        <x:v>87.17305347779862</x:v>
      </x:c>
      <x:c r="L991" s="103" t="n">
        <x:f>'Inputs &amp; Guide'!$B$5</x:f>
        <x:v>15</x:v>
      </x:c>
      <x:c r="M991" s="103" t="n">
        <x:f>I991*'Inputs &amp; Guide'!$B$6</x:f>
        <x:v>47.945179412789244</x:v>
      </x:c>
      <x:c r="N991" s="103" t="n">
        <x:f>MAX(0,MIN(K991-L991,M991))</x:f>
        <x:v>47.945179412789244</x:v>
      </x:c>
      <x:c r="O991" s="103" t="n">
        <x:f>MAX(0,N991-'Inputs &amp; Guide'!$B$7)</x:f>
        <x:v>0</x:v>
      </x:c>
      <x:c r="P991" s="103" t="n">
        <x:f>N991-O991</x:f>
        <x:v>47.945179412789244</x:v>
      </x:c>
      <x:c r="Q991" s="103" t="n">
        <x:f>I991*'Inputs &amp; Guide'!$B$8</x:f>
        <x:v>1.569114962600375</x:v>
      </x:c>
      <x:c r="R991" s="104" t="n">
        <x:f>IFERROR(P991/Q991,0)</x:f>
        <x:v>30.55555555555556</x:v>
      </x:c>
      <x:c r="S991" s="105" t="n">
        <x:f>ROUND(E991*XLOOKUP(C991,'Reference Tables'!$E$4:$E$12,'Reference Tables'!$G$4:$G$12,1),1)</x:f>
        <x:v>2.7</x:v>
      </x:c>
      <x:c r="T991" s="106" t="str">
        <x:f>IF(R991&gt;='Inputs &amp; Guide'!$B$9,"HIGH",IF(R991&gt;=0.45,"WATCH","NORMAL"))</x:f>
        <x:v>HIGH</x:v>
      </x:c>
    </x:row>
    <x:row r="992">
      <x:c r="A992" s="95" t="n">
        <x:v>7905</x:v>
      </x:c>
      <x:c r="B992" s="96" t="n">
        <x:v>45621.104166666664</x:v>
      </x:c>
      <x:c r="C992" s="97" t="str">
        <x:v>Tornado</x:v>
      </x:c>
      <x:c r="D992" s="97" t="str">
        <x:v>Brazil</x:v>
      </x:c>
      <x:c r="E992" s="98" t="n">
        <x:v>2.563383718959107</x:v>
      </x:c>
      <x:c r="F992" s="99" t="n">
        <x:v>113.5780782982884</x:v>
      </x:c>
      <x:c r="G992" s="100" t="str">
        <x:f>XLOOKUP(D992,'Reference Tables'!$A$4:$A$23,'Reference Tables'!$B$4:$B$23,"Other")</x:f>
        <x:v>Latin America</x:v>
      </x:c>
      <x:c r="H992" s="100" t="str">
        <x:f>VLOOKUP(G992,'Reference Tables'!$I$4:$J$9,2,FALSE)</x:f>
        <x:v>Moderate</x:v>
      </x:c>
      <x:c r="I992" s="101" t="n">
        <x:f>F992*'Inputs &amp; Guide'!$B$4*XLOOKUP(D992,'Reference Tables'!$A$4:$A$23,'Reference Tables'!$C$4:$C$23,0.75)</x:f>
        <x:v>14.901443872735438</x:v>
      </x:c>
      <x:c r="J992" s="102" t="n">
        <x:f>XLOOKUP(C992,'Reference Tables'!$E$4:$E$12,'Reference Tables'!$F$4:$F$12,0.05)</x:f>
        <x:v>0.09</x:v>
      </x:c>
      <x:c r="K992" s="103" t="n">
        <x:f>MIN(I992,F992*J992)</x:f>
        <x:v>10.222027046845955</x:v>
      </x:c>
      <x:c r="L992" s="103" t="n">
        <x:f>'Inputs &amp; Guide'!$B$5</x:f>
        <x:v>15</x:v>
      </x:c>
      <x:c r="M992" s="103" t="n">
        <x:f>I992*'Inputs &amp; Guide'!$B$6</x:f>
        <x:v>8.195794130004492</x:v>
      </x:c>
      <x:c r="N992" s="103" t="n">
        <x:f>MAX(0,MIN(K992-L992,M992))</x:f>
        <x:v>0</x:v>
      </x:c>
      <x:c r="O992" s="103" t="n">
        <x:f>MAX(0,N992-'Inputs &amp; Guide'!$B$7)</x:f>
        <x:v>0</x:v>
      </x:c>
      <x:c r="P992" s="103" t="n">
        <x:f>N992-O992</x:f>
        <x:v>0</x:v>
      </x:c>
      <x:c r="Q992" s="103" t="n">
        <x:f>I992*'Inputs &amp; Guide'!$B$8</x:f>
        <x:v>0.2682259897092379</x:v>
      </x:c>
      <x:c r="R992" s="104" t="n">
        <x:f>IFERROR(P992/Q992,0)</x:f>
        <x:v>0</x:v>
      </x:c>
      <x:c r="S992" s="105" t="n">
        <x:f>ROUND(E992*XLOOKUP(C992,'Reference Tables'!$E$4:$E$12,'Reference Tables'!$G$4:$G$12,1),1)</x:f>
        <x:v>2.7</x:v>
      </x:c>
      <x:c r="T992" s="106" t="str">
        <x:f>IF(R992&gt;='Inputs &amp; Guide'!$B$9,"HIGH",IF(R992&gt;=0.45,"WATCH","NORMAL"))</x:f>
        <x:v>NORMAL</x:v>
      </x:c>
    </x:row>
    <x:row r="993">
      <x:c r="A993" s="95" t="n">
        <x:v>7913</x:v>
      </x:c>
      <x:c r="B993" s="96" t="n">
        <x:v>45621.4375</x:v>
      </x:c>
      <x:c r="C993" s="97" t="str">
        <x:v>Tornado</x:v>
      </x:c>
      <x:c r="D993" s="97" t="str">
        <x:v>Brazil</x:v>
      </x:c>
      <x:c r="E993" s="98" t="n">
        <x:v>5.840581015946575</x:v>
      </x:c>
      <x:c r="F993" s="99" t="n">
        <x:v>853.018978128785</x:v>
      </x:c>
      <x:c r="G993" s="100" t="str">
        <x:f>XLOOKUP(D993,'Reference Tables'!$A$4:$A$23,'Reference Tables'!$B$4:$B$23,"Other")</x:f>
        <x:v>Latin America</x:v>
      </x:c>
      <x:c r="H993" s="100" t="str">
        <x:f>VLOOKUP(G993,'Reference Tables'!$I$4:$J$9,2,FALSE)</x:f>
        <x:v>Moderate</x:v>
      </x:c>
      <x:c r="I993" s="101" t="n">
        <x:f>F993*'Inputs &amp; Guide'!$B$4*XLOOKUP(D993,'Reference Tables'!$A$4:$A$23,'Reference Tables'!$C$4:$C$23,0.75)</x:f>
        <x:v>111.9160899304966</x:v>
      </x:c>
      <x:c r="J993" s="102" t="n">
        <x:f>XLOOKUP(C993,'Reference Tables'!$E$4:$E$12,'Reference Tables'!$F$4:$F$12,0.05)</x:f>
        <x:v>0.09</x:v>
      </x:c>
      <x:c r="K993" s="103" t="n">
        <x:f>MIN(I993,F993*J993)</x:f>
        <x:v>76.77170803159065</x:v>
      </x:c>
      <x:c r="L993" s="103" t="n">
        <x:f>'Inputs &amp; Guide'!$B$5</x:f>
        <x:v>15</x:v>
      </x:c>
      <x:c r="M993" s="103" t="n">
        <x:f>I993*'Inputs &amp; Guide'!$B$6</x:f>
        <x:v>61.55384946177313</x:v>
      </x:c>
      <x:c r="N993" s="103" t="n">
        <x:f>MAX(0,MIN(K993-L993,M993))</x:f>
        <x:v>61.55384946177313</x:v>
      </x:c>
      <x:c r="O993" s="103" t="n">
        <x:f>MAX(0,N993-'Inputs &amp; Guide'!$B$7)</x:f>
        <x:v>1.553849461773133</x:v>
      </x:c>
      <x:c r="P993" s="103" t="n">
        <x:f>N993-O993</x:f>
        <x:v>60</x:v>
      </x:c>
      <x:c r="Q993" s="103" t="n">
        <x:f>I993*'Inputs &amp; Guide'!$B$8</x:f>
        <x:v>2.0144896187489385</x:v>
      </x:c>
      <x:c r="R993" s="104" t="n">
        <x:f>IFERROR(P993/Q993,0)</x:f>
        <x:v>29.784219010898596</x:v>
      </x:c>
      <x:c r="S993" s="105" t="n">
        <x:f>ROUND(E993*XLOOKUP(C993,'Reference Tables'!$E$4:$E$12,'Reference Tables'!$G$4:$G$12,1),1)</x:f>
        <x:v>6.1</x:v>
      </x:c>
      <x:c r="T993" s="106" t="str">
        <x:f>IF(R993&gt;='Inputs &amp; Guide'!$B$9,"HIGH",IF(R993&gt;=0.45,"WATCH","NORMAL"))</x:f>
        <x:v>HIGH</x:v>
      </x:c>
    </x:row>
    <x:row r="994">
      <x:c r="A994" s="95" t="n">
        <x:v>7921</x:v>
      </x:c>
      <x:c r="B994" s="96" t="n">
        <x:v>45622</x:v>
      </x:c>
      <x:c r="C994" s="97" t="str">
        <x:v>Flood</x:v>
      </x:c>
      <x:c r="D994" s="97" t="str">
        <x:v>India</x:v>
      </x:c>
      <x:c r="E994" s="98" t="n">
        <x:v>9.93289313684776</x:v>
      </x:c>
      <x:c r="F994" s="99" t="n">
        <x:v>906.3165257530784</x:v>
      </x:c>
      <x:c r="G994" s="100" t="str">
        <x:f>XLOOKUP(D994,'Reference Tables'!$A$4:$A$23,'Reference Tables'!$B$4:$B$23,"Other")</x:f>
        <x:v>Asia Pacific</x:v>
      </x:c>
      <x:c r="H994" s="100" t="str">
        <x:f>VLOOKUP(G994,'Reference Tables'!$I$4:$J$9,2,FALSE)</x:f>
        <x:v>High</x:v>
      </x:c>
      <x:c r="I994" s="101" t="n">
        <x:f>F994*'Inputs &amp; Guide'!$B$4*XLOOKUP(D994,'Reference Tables'!$A$4:$A$23,'Reference Tables'!$C$4:$C$23,0.75)</x:f>
        <x:v>131.9596861496482</x:v>
      </x:c>
      <x:c r="J994" s="102" t="n">
        <x:f>XLOOKUP(C994,'Reference Tables'!$E$4:$E$12,'Reference Tables'!$F$4:$F$12,0.05)</x:f>
        <x:v>0.12</x:v>
      </x:c>
      <x:c r="K994" s="103" t="n">
        <x:f>MIN(I994,F994*J994)</x:f>
        <x:v>108.75798309036941</x:v>
      </x:c>
      <x:c r="L994" s="103" t="n">
        <x:f>'Inputs &amp; Guide'!$B$5</x:f>
        <x:v>15</x:v>
      </x:c>
      <x:c r="M994" s="103" t="n">
        <x:f>I994*'Inputs &amp; Guide'!$B$6</x:f>
        <x:v>72.57782738230652</x:v>
      </x:c>
      <x:c r="N994" s="103" t="n">
        <x:f>MAX(0,MIN(K994-L994,M994))</x:f>
        <x:v>72.57782738230652</x:v>
      </x:c>
      <x:c r="O994" s="103" t="n">
        <x:f>MAX(0,N994-'Inputs &amp; Guide'!$B$7)</x:f>
        <x:v>12.577827382306523</x:v>
      </x:c>
      <x:c r="P994" s="103" t="n">
        <x:f>N994-O994</x:f>
        <x:v>60</x:v>
      </x:c>
      <x:c r="Q994" s="103" t="n">
        <x:f>I994*'Inputs &amp; Guide'!$B$8</x:f>
        <x:v>2.3752743506936675</x:v>
      </x:c>
      <x:c r="R994" s="104" t="n">
        <x:f>IFERROR(P994/Q994,0)</x:f>
        <x:v>25.26023993080117</x:v>
      </x:c>
      <x:c r="S994" s="105" t="n">
        <x:f>ROUND(E994*XLOOKUP(C994,'Reference Tables'!$E$4:$E$12,'Reference Tables'!$G$4:$G$12,1),1)</x:f>
        <x:v>12.4</x:v>
      </x:c>
      <x:c r="T994" s="106" t="str">
        <x:f>IF(R994&gt;='Inputs &amp; Guide'!$B$9,"HIGH",IF(R994&gt;=0.45,"WATCH","NORMAL"))</x:f>
        <x:v>HIGH</x:v>
      </x:c>
    </x:row>
    <x:row r="995">
      <x:c r="A995" s="95" t="n">
        <x:v>7929</x:v>
      </x:c>
      <x:c r="B995" s="96" t="n">
        <x:v>45622.104166666664</x:v>
      </x:c>
      <x:c r="C995" s="97" t="str">
        <x:v>Earthquake</x:v>
      </x:c>
      <x:c r="D995" s="97" t="str">
        <x:v>India</x:v>
      </x:c>
      <x:c r="E995" s="98" t="n">
        <x:v>5.972361507074796</x:v>
      </x:c>
      <x:c r="F995" s="99" t="n">
        <x:v>377.21924118974835</x:v>
      </x:c>
      <x:c r="G995" s="100" t="str">
        <x:f>XLOOKUP(D995,'Reference Tables'!$A$4:$A$23,'Reference Tables'!$B$4:$B$23,"Other")</x:f>
        <x:v>Asia Pacific</x:v>
      </x:c>
      <x:c r="H995" s="100" t="str">
        <x:f>VLOOKUP(G995,'Reference Tables'!$I$4:$J$9,2,FALSE)</x:f>
        <x:v>High</x:v>
      </x:c>
      <x:c r="I995" s="101" t="n">
        <x:f>F995*'Inputs &amp; Guide'!$B$4*XLOOKUP(D995,'Reference Tables'!$A$4:$A$23,'Reference Tables'!$C$4:$C$23,0.75)</x:f>
        <x:v>54.923121517227365</x:v>
      </x:c>
      <x:c r="J995" s="102" t="n">
        <x:f>XLOOKUP(C995,'Reference Tables'!$E$4:$E$12,'Reference Tables'!$F$4:$F$12,0.05)</x:f>
        <x:v>0.14</x:v>
      </x:c>
      <x:c r="K995" s="103" t="n">
        <x:f>MIN(I995,F995*J995)</x:f>
        <x:v>52.810693766564775</x:v>
      </x:c>
      <x:c r="L995" s="103" t="n">
        <x:f>'Inputs &amp; Guide'!$B$5</x:f>
        <x:v>15</x:v>
      </x:c>
      <x:c r="M995" s="103" t="n">
        <x:f>I995*'Inputs &amp; Guide'!$B$6</x:f>
        <x:v>30.207716834475054</x:v>
      </x:c>
      <x:c r="N995" s="103" t="n">
        <x:f>MAX(0,MIN(K995-L995,M995))</x:f>
        <x:v>30.207716834475054</x:v>
      </x:c>
      <x:c r="O995" s="103" t="n">
        <x:f>MAX(0,N995-'Inputs &amp; Guide'!$B$7)</x:f>
        <x:v>0</x:v>
      </x:c>
      <x:c r="P995" s="103" t="n">
        <x:f>N995-O995</x:f>
        <x:v>30.207716834475054</x:v>
      </x:c>
      <x:c r="Q995" s="103" t="n">
        <x:f>I995*'Inputs &amp; Guide'!$B$8</x:f>
        <x:v>0.9886161873100925</x:v>
      </x:c>
      <x:c r="R995" s="104" t="n">
        <x:f>IFERROR(P995/Q995,0)</x:f>
        <x:v>30.55555555555556</x:v>
      </x:c>
      <x:c r="S995" s="105" t="n">
        <x:f>ROUND(E995*XLOOKUP(C995,'Reference Tables'!$E$4:$E$12,'Reference Tables'!$G$4:$G$12,1),1)</x:f>
        <x:v>9</x:v>
      </x:c>
      <x:c r="T995" s="106" t="str">
        <x:f>IF(R995&gt;='Inputs &amp; Guide'!$B$9,"HIGH",IF(R995&gt;=0.45,"WATCH","NORMAL"))</x:f>
        <x:v>HIGH</x:v>
      </x:c>
    </x:row>
    <x:row r="996">
      <x:c r="A996" s="95" t="n">
        <x:v>7937</x:v>
      </x:c>
      <x:c r="B996" s="96" t="n">
        <x:v>45622.4375</x:v>
      </x:c>
      <x:c r="C996" s="97" t="str">
        <x:v>Wildfire</x:v>
      </x:c>
      <x:c r="D996" s="97" t="str">
        <x:v>India</x:v>
      </x:c>
      <x:c r="E996" s="98" t="n">
        <x:v>4.692655998364833</x:v>
      </x:c>
      <x:c r="F996" s="99" t="n">
        <x:v>750.6947529046439</x:v>
      </x:c>
      <x:c r="G996" s="100" t="str">
        <x:f>XLOOKUP(D996,'Reference Tables'!$A$4:$A$23,'Reference Tables'!$B$4:$B$23,"Other")</x:f>
        <x:v>Asia Pacific</x:v>
      </x:c>
      <x:c r="H996" s="100" t="str">
        <x:f>VLOOKUP(G996,'Reference Tables'!$I$4:$J$9,2,FALSE)</x:f>
        <x:v>High</x:v>
      </x:c>
      <x:c r="I996" s="101" t="n">
        <x:f>F996*'Inputs &amp; Guide'!$B$4*XLOOKUP(D996,'Reference Tables'!$A$4:$A$23,'Reference Tables'!$C$4:$C$23,0.75)</x:f>
        <x:v>109.30115602291616</x:v>
      </x:c>
      <x:c r="J996" s="102" t="n">
        <x:f>XLOOKUP(C996,'Reference Tables'!$E$4:$E$12,'Reference Tables'!$F$4:$F$12,0.05)</x:f>
        <x:v>0.1</x:v>
      </x:c>
      <x:c r="K996" s="103" t="n">
        <x:f>MIN(I996,F996*J996)</x:f>
        <x:v>75.0694752904644</x:v>
      </x:c>
      <x:c r="L996" s="103" t="n">
        <x:f>'Inputs &amp; Guide'!$B$5</x:f>
        <x:v>15</x:v>
      </x:c>
      <x:c r="M996" s="103" t="n">
        <x:f>I996*'Inputs &amp; Guide'!$B$6</x:f>
        <x:v>60.11563581260389</x:v>
      </x:c>
      <x:c r="N996" s="103" t="n">
        <x:f>MAX(0,MIN(K996-L996,M996))</x:f>
        <x:v>60.069475290464396</x:v>
      </x:c>
      <x:c r="O996" s="103" t="n">
        <x:f>MAX(0,N996-'Inputs &amp; Guide'!$B$7)</x:f>
        <x:v>0.06947529046439627</x:v>
      </x:c>
      <x:c r="P996" s="103" t="n">
        <x:f>N996-O996</x:f>
        <x:v>60</x:v>
      </x:c>
      <x:c r="Q996" s="103" t="n">
        <x:f>I996*'Inputs &amp; Guide'!$B$8</x:f>
        <x:v>1.9674208084124907</x:v>
      </x:c>
      <x:c r="R996" s="104" t="n">
        <x:f>IFERROR(P996/Q996,0)</x:f>
        <x:v>30.496780222841053</x:v>
      </x:c>
      <x:c r="S996" s="105" t="n">
        <x:f>ROUND(E996*XLOOKUP(C996,'Reference Tables'!$E$4:$E$12,'Reference Tables'!$G$4:$G$12,1),1)</x:f>
        <x:v>5.4</x:v>
      </x:c>
      <x:c r="T996" s="106" t="str">
        <x:f>IF(R996&gt;='Inputs &amp; Guide'!$B$9,"HIGH",IF(R996&gt;=0.45,"WATCH","NORMAL"))</x:f>
        <x:v>HIGH</x:v>
      </x:c>
    </x:row>
    <x:row r="997">
      <x:c r="A997" s="95" t="n">
        <x:v>7945</x:v>
      </x:c>
      <x:c r="B997" s="96" t="n">
        <x:v>45623</x:v>
      </x:c>
      <x:c r="C997" s="97" t="str">
        <x:v>Earthquake</x:v>
      </x:c>
      <x:c r="D997" s="97" t="str">
        <x:v>Brazil</x:v>
      </x:c>
      <x:c r="E997" s="98" t="n">
        <x:v>5.766070758247393</x:v>
      </x:c>
      <x:c r="F997" s="99" t="n">
        <x:v>797.1812858580364</x:v>
      </x:c>
      <x:c r="G997" s="100" t="str">
        <x:f>XLOOKUP(D997,'Reference Tables'!$A$4:$A$23,'Reference Tables'!$B$4:$B$23,"Other")</x:f>
        <x:v>Latin America</x:v>
      </x:c>
      <x:c r="H997" s="100" t="str">
        <x:f>VLOOKUP(G997,'Reference Tables'!$I$4:$J$9,2,FALSE)</x:f>
        <x:v>Moderate</x:v>
      </x:c>
      <x:c r="I997" s="101" t="n">
        <x:f>F997*'Inputs &amp; Guide'!$B$4*XLOOKUP(D997,'Reference Tables'!$A$4:$A$23,'Reference Tables'!$C$4:$C$23,0.75)</x:f>
        <x:v>104.59018470457437</x:v>
      </x:c>
      <x:c r="J997" s="102" t="n">
        <x:f>XLOOKUP(C997,'Reference Tables'!$E$4:$E$12,'Reference Tables'!$F$4:$F$12,0.05)</x:f>
        <x:v>0.14</x:v>
      </x:c>
      <x:c r="K997" s="103" t="n">
        <x:f>MIN(I997,F997*J997)</x:f>
        <x:v>104.59018470457437</x:v>
      </x:c>
      <x:c r="L997" s="103" t="n">
        <x:f>'Inputs &amp; Guide'!$B$5</x:f>
        <x:v>15</x:v>
      </x:c>
      <x:c r="M997" s="103" t="n">
        <x:f>I997*'Inputs &amp; Guide'!$B$6</x:f>
        <x:v>57.52460158751591</x:v>
      </x:c>
      <x:c r="N997" s="103" t="n">
        <x:f>MAX(0,MIN(K997-L997,M997))</x:f>
        <x:v>57.52460158751591</x:v>
      </x:c>
      <x:c r="O997" s="103" t="n">
        <x:f>MAX(0,N997-'Inputs &amp; Guide'!$B$7)</x:f>
        <x:v>0</x:v>
      </x:c>
      <x:c r="P997" s="103" t="n">
        <x:f>N997-O997</x:f>
        <x:v>57.52460158751591</x:v>
      </x:c>
      <x:c r="Q997" s="103" t="n">
        <x:f>I997*'Inputs &amp; Guide'!$B$8</x:f>
        <x:v>1.8826233246823385</x:v>
      </x:c>
      <x:c r="R997" s="104" t="n">
        <x:f>IFERROR(P997/Q997,0)</x:f>
        <x:v>30.55555555555556</x:v>
      </x:c>
      <x:c r="S997" s="105" t="n">
        <x:f>ROUND(E997*XLOOKUP(C997,'Reference Tables'!$E$4:$E$12,'Reference Tables'!$G$4:$G$12,1),1)</x:f>
        <x:v>8.6</x:v>
      </x:c>
      <x:c r="T997" s="106" t="str">
        <x:f>IF(R997&gt;='Inputs &amp; Guide'!$B$9,"HIGH",IF(R997&gt;=0.45,"WATCH","NORMAL"))</x:f>
        <x:v>HIGH</x:v>
      </x:c>
    </x:row>
    <x:row r="998">
      <x:c r="A998" s="95" t="n">
        <x:v>7953</x:v>
      </x:c>
      <x:c r="B998" s="96" t="n">
        <x:v>45623.104166666664</x:v>
      </x:c>
      <x:c r="C998" s="97" t="str">
        <x:v>Tornado</x:v>
      </x:c>
      <x:c r="D998" s="97" t="str">
        <x:v>Indonesia</x:v>
      </x:c>
      <x:c r="E998" s="98" t="n">
        <x:v>2.3362835754461844</x:v>
      </x:c>
      <x:c r="F998" s="99" t="n">
        <x:v>267.1063096411012</x:v>
      </x:c>
      <x:c r="G998" s="100" t="str">
        <x:f>XLOOKUP(D998,'Reference Tables'!$A$4:$A$23,'Reference Tables'!$B$4:$B$23,"Other")</x:f>
        <x:v>Asia Pacific</x:v>
      </x:c>
      <x:c r="H998" s="100" t="str">
        <x:f>VLOOKUP(G998,'Reference Tables'!$I$4:$J$9,2,FALSE)</x:f>
        <x:v>High</x:v>
      </x:c>
      <x:c r="I998" s="101" t="n">
        <x:f>F998*'Inputs &amp; Guide'!$B$4*XLOOKUP(D998,'Reference Tables'!$A$4:$A$23,'Reference Tables'!$C$4:$C$23,0.75)</x:f>
        <x:v>44.019119828853476</x:v>
      </x:c>
      <x:c r="J998" s="102" t="n">
        <x:f>XLOOKUP(C998,'Reference Tables'!$E$4:$E$12,'Reference Tables'!$F$4:$F$12,0.05)</x:f>
        <x:v>0.09</x:v>
      </x:c>
      <x:c r="K998" s="103" t="n">
        <x:f>MIN(I998,F998*J998)</x:f>
        <x:v>24.039567867699105</x:v>
      </x:c>
      <x:c r="L998" s="103" t="n">
        <x:f>'Inputs &amp; Guide'!$B$5</x:f>
        <x:v>15</x:v>
      </x:c>
      <x:c r="M998" s="103" t="n">
        <x:f>I998*'Inputs &amp; Guide'!$B$6</x:f>
        <x:v>24.210515905869414</x:v>
      </x:c>
      <x:c r="N998" s="103" t="n">
        <x:f>MAX(0,MIN(K998-L998,M998))</x:f>
        <x:v>9.039567867699105</x:v>
      </x:c>
      <x:c r="O998" s="103" t="n">
        <x:f>MAX(0,N998-'Inputs &amp; Guide'!$B$7)</x:f>
        <x:v>0</x:v>
      </x:c>
      <x:c r="P998" s="103" t="n">
        <x:f>N998-O998</x:f>
        <x:v>9.039567867699105</x:v>
      </x:c>
      <x:c r="Q998" s="103" t="n">
        <x:f>I998*'Inputs &amp; Guide'!$B$8</x:f>
        <x:v>0.7923441569193626</x:v>
      </x:c>
      <x:c r="R998" s="104" t="n">
        <x:f>IFERROR(P998/Q998,0)</x:f>
        <x:v>11.408638265024864</x:v>
      </x:c>
      <x:c r="S998" s="105" t="n">
        <x:f>ROUND(E998*XLOOKUP(C998,'Reference Tables'!$E$4:$E$12,'Reference Tables'!$G$4:$G$12,1),1)</x:f>
        <x:v>2.5</x:v>
      </x:c>
      <x:c r="T998" s="106" t="str">
        <x:f>IF(R998&gt;='Inputs &amp; Guide'!$B$9,"HIGH",IF(R998&gt;=0.45,"WATCH","NORMAL"))</x:f>
        <x:v>HIGH</x:v>
      </x:c>
    </x:row>
    <x:row r="999">
      <x:c r="A999" s="95" t="n">
        <x:v>7961</x:v>
      </x:c>
      <x:c r="B999" s="96" t="n">
        <x:v>45623.4375</x:v>
      </x:c>
      <x:c r="C999" s="97" t="str">
        <x:v>Wildfire</x:v>
      </x:c>
      <x:c r="D999" s="97" t="str">
        <x:v>Japan</x:v>
      </x:c>
      <x:c r="E999" s="98" t="n">
        <x:v>2.325778720946702</x:v>
      </x:c>
      <x:c r="F999" s="99" t="n">
        <x:v>331.2954299520672</x:v>
      </x:c>
      <x:c r="G999" s="100" t="str">
        <x:f>XLOOKUP(D999,'Reference Tables'!$A$4:$A$23,'Reference Tables'!$B$4:$B$23,"Other")</x:f>
        <x:v>Asia Pacific</x:v>
      </x:c>
      <x:c r="H999" s="100" t="str">
        <x:f>VLOOKUP(G999,'Reference Tables'!$I$4:$J$9,2,FALSE)</x:f>
        <x:v>High</x:v>
      </x:c>
      <x:c r="I999" s="101" t="n">
        <x:f>F999*'Inputs &amp; Guide'!$B$4*XLOOKUP(D999,'Reference Tables'!$A$4:$A$23,'Reference Tables'!$C$4:$C$23,0.75)</x:f>
        <x:v>62.54857717495029</x:v>
      </x:c>
      <x:c r="J999" s="102" t="n">
        <x:f>XLOOKUP(C999,'Reference Tables'!$E$4:$E$12,'Reference Tables'!$F$4:$F$12,0.05)</x:f>
        <x:v>0.1</x:v>
      </x:c>
      <x:c r="K999" s="103" t="n">
        <x:f>MIN(I999,F999*J999)</x:f>
        <x:v>33.12954299520672</x:v>
      </x:c>
      <x:c r="L999" s="103" t="n">
        <x:f>'Inputs &amp; Guide'!$B$5</x:f>
        <x:v>15</x:v>
      </x:c>
      <x:c r="M999" s="103" t="n">
        <x:f>I999*'Inputs &amp; Guide'!$B$6</x:f>
        <x:v>34.40171744622266</x:v>
      </x:c>
      <x:c r="N999" s="103" t="n">
        <x:f>MAX(0,MIN(K999-L999,M999))</x:f>
        <x:v>18.12954299520672</x:v>
      </x:c>
      <x:c r="O999" s="103" t="n">
        <x:f>MAX(0,N999-'Inputs &amp; Guide'!$B$7)</x:f>
        <x:v>0</x:v>
      </x:c>
      <x:c r="P999" s="103" t="n">
        <x:f>N999-O999</x:f>
        <x:v>18.12954299520672</x:v>
      </x:c>
      <x:c r="Q999" s="103" t="n">
        <x:f>I999*'Inputs &amp; Guide'!$B$8</x:f>
        <x:v>1.1258743891491052</x:v>
      </x:c>
      <x:c r="R999" s="104" t="n">
        <x:f>IFERROR(P999/Q999,0)</x:f>
        <x:v>16.10263380172309</x:v>
      </x:c>
      <x:c r="S999" s="105" t="n">
        <x:f>ROUND(E999*XLOOKUP(C999,'Reference Tables'!$E$4:$E$12,'Reference Tables'!$G$4:$G$12,1),1)</x:f>
        <x:v>2.7</x:v>
      </x:c>
      <x:c r="T999" s="106" t="str">
        <x:f>IF(R999&gt;='Inputs &amp; Guide'!$B$9,"HIGH",IF(R999&gt;=0.45,"WATCH","NORMAL"))</x:f>
        <x:v>HIGH</x:v>
      </x:c>
    </x:row>
    <x:row r="1000">
      <x:c r="A1000" s="95" t="n">
        <x:v>7969</x:v>
      </x:c>
      <x:c r="B1000" s="96" t="n">
        <x:v>45624</x:v>
      </x:c>
      <x:c r="C1000" s="97" t="str">
        <x:v>Tornado</x:v>
      </x:c>
      <x:c r="D1000" s="97" t="str">
        <x:v>India</x:v>
      </x:c>
      <x:c r="E1000" s="98" t="n">
        <x:v>8.789994369676087</x:v>
      </x:c>
      <x:c r="F1000" s="99" t="n">
        <x:v>361.222157768627</x:v>
      </x:c>
      <x:c r="G1000" s="100" t="str">
        <x:f>XLOOKUP(D1000,'Reference Tables'!$A$4:$A$23,'Reference Tables'!$B$4:$B$23,"Other")</x:f>
        <x:v>Asia Pacific</x:v>
      </x:c>
      <x:c r="H1000" s="100" t="str">
        <x:f>VLOOKUP(G1000,'Reference Tables'!$I$4:$J$9,2,FALSE)</x:f>
        <x:v>High</x:v>
      </x:c>
      <x:c r="I1000" s="101" t="n">
        <x:f>F1000*'Inputs &amp; Guide'!$B$4*XLOOKUP(D1000,'Reference Tables'!$A$4:$A$23,'Reference Tables'!$C$4:$C$23,0.75)</x:f>
        <x:v>52.593946171112094</x:v>
      </x:c>
      <x:c r="J1000" s="102" t="n">
        <x:f>XLOOKUP(C1000,'Reference Tables'!$E$4:$E$12,'Reference Tables'!$F$4:$F$12,0.05)</x:f>
        <x:v>0.09</x:v>
      </x:c>
      <x:c r="K1000" s="103" t="n">
        <x:f>MIN(I1000,F1000*J1000)</x:f>
        <x:v>32.50999419917643</x:v>
      </x:c>
      <x:c r="L1000" s="103" t="n">
        <x:f>'Inputs &amp; Guide'!$B$5</x:f>
        <x:v>15</x:v>
      </x:c>
      <x:c r="M1000" s="103" t="n">
        <x:f>I1000*'Inputs &amp; Guide'!$B$6</x:f>
        <x:v>28.926670394111653</x:v>
      </x:c>
      <x:c r="N1000" s="103" t="n">
        <x:f>MAX(0,MIN(K1000-L1000,M1000))</x:f>
        <x:v>17.509994199176433</x:v>
      </x:c>
      <x:c r="O1000" s="103" t="n">
        <x:f>MAX(0,N1000-'Inputs &amp; Guide'!$B$7)</x:f>
        <x:v>0</x:v>
      </x:c>
      <x:c r="P1000" s="103" t="n">
        <x:f>N1000-O1000</x:f>
        <x:v>17.509994199176433</x:v>
      </x:c>
      <x:c r="Q1000" s="103" t="n">
        <x:f>I1000*'Inputs &amp; Guide'!$B$8</x:f>
        <x:v>0.9466910310800176</x:v>
      </x:c>
      <x:c r="R1000" s="104" t="n">
        <x:f>IFERROR(P1000/Q1000,0)</x:f>
        <x:v>18.49599671309913</x:v>
      </x:c>
      <x:c r="S1000" s="105" t="n">
        <x:f>ROUND(E1000*XLOOKUP(C1000,'Reference Tables'!$E$4:$E$12,'Reference Tables'!$G$4:$G$12,1),1)</x:f>
        <x:v>9.2</x:v>
      </x:c>
      <x:c r="T1000" s="106" t="str">
        <x:f>IF(R1000&gt;='Inputs &amp; Guide'!$B$9,"HIGH",IF(R1000&gt;=0.45,"WATCH","NORMAL"))</x:f>
        <x:v>HIGH</x:v>
      </x:c>
    </x:row>
    <x:row r="1001">
      <x:c r="A1001" s="95" t="n">
        <x:v>7977</x:v>
      </x:c>
      <x:c r="B1001" s="96" t="n">
        <x:v>45624.104166666664</x:v>
      </x:c>
      <x:c r="C1001" s="97" t="str">
        <x:v>Tornado</x:v>
      </x:c>
      <x:c r="D1001" s="97" t="str">
        <x:v>USA</x:v>
      </x:c>
      <x:c r="E1001" s="98" t="n">
        <x:v>9.544351018310271</x:v>
      </x:c>
      <x:c r="F1001" s="99" t="n">
        <x:v>404.6192624339431</x:v>
      </x:c>
      <x:c r="G1001" s="100" t="str">
        <x:f>XLOOKUP(D1001,'Reference Tables'!$A$4:$A$23,'Reference Tables'!$B$4:$B$23,"Other")</x:f>
        <x:v>Other</x:v>
      </x:c>
      <x:c r="H1001" s="100" t="str">
        <x:f>VLOOKUP(G1001,'Reference Tables'!$I$4:$J$9,2,FALSE)</x:f>
        <x:v>Moderate</x:v>
      </x:c>
      <x:c r="I1001" s="101" t="n">
        <x:f>F1001*'Inputs &amp; Guide'!$B$4*XLOOKUP(D1001,'Reference Tables'!$A$4:$A$23,'Reference Tables'!$C$4:$C$23,0.75)</x:f>
        <x:v>48.554311492073175</x:v>
      </x:c>
      <x:c r="J1001" s="102" t="n">
        <x:f>XLOOKUP(C1001,'Reference Tables'!$E$4:$E$12,'Reference Tables'!$F$4:$F$12,0.05)</x:f>
        <x:v>0.09</x:v>
      </x:c>
      <x:c r="K1001" s="103" t="n">
        <x:f>MIN(I1001,F1001*J1001)</x:f>
        <x:v>36.415733619054876</x:v>
      </x:c>
      <x:c r="L1001" s="103" t="n">
        <x:f>'Inputs &amp; Guide'!$B$5</x:f>
        <x:v>15</x:v>
      </x:c>
      <x:c r="M1001" s="103" t="n">
        <x:f>I1001*'Inputs &amp; Guide'!$B$6</x:f>
        <x:v>26.704871320640247</x:v>
      </x:c>
      <x:c r="N1001" s="103" t="n">
        <x:f>MAX(0,MIN(K1001-L1001,M1001))</x:f>
        <x:v>21.415733619054876</x:v>
      </x:c>
      <x:c r="O1001" s="103" t="n">
        <x:f>MAX(0,N1001-'Inputs &amp; Guide'!$B$7)</x:f>
        <x:v>0</x:v>
      </x:c>
      <x:c r="P1001" s="103" t="n">
        <x:f>N1001-O1001</x:f>
        <x:v>21.415733619054876</x:v>
      </x:c>
      <x:c r="Q1001" s="103" t="n">
        <x:f>I1001*'Inputs &amp; Guide'!$B$8</x:f>
        <x:v>0.8739776068573171</x:v>
      </x:c>
      <x:c r="R1001" s="104" t="n">
        <x:f>IFERROR(P1001/Q1001,0)</x:f>
        <x:v>24.50375553220684</x:v>
      </x:c>
      <x:c r="S1001" s="105" t="n">
        <x:f>ROUND(E1001*XLOOKUP(C1001,'Reference Tables'!$E$4:$E$12,'Reference Tables'!$G$4:$G$12,1),1)</x:f>
        <x:v>10</x:v>
      </x:c>
      <x:c r="T1001" s="106" t="str">
        <x:f>IF(R1001&gt;='Inputs &amp; Guide'!$B$9,"HIGH",IF(R1001&gt;=0.45,"WATCH","NORMAL"))</x:f>
        <x:v>HIGH</x:v>
      </x:c>
    </x:row>
    <x:row r="1002">
      <x:c r="A1002" s="95" t="n">
        <x:v>7985</x:v>
      </x:c>
      <x:c r="B1002" s="96" t="n">
        <x:v>45624.4375</x:v>
      </x:c>
      <x:c r="C1002" s="97" t="str">
        <x:v>Earthquake</x:v>
      </x:c>
      <x:c r="D1002" s="97" t="str">
        <x:v>China</x:v>
      </x:c>
      <x:c r="E1002" s="98" t="n">
        <x:v>8.924659360503147</x:v>
      </x:c>
      <x:c r="F1002" s="99" t="n">
        <x:v>734.5852957818637</x:v>
      </x:c>
      <x:c r="G1002" s="100" t="str">
        <x:f>XLOOKUP(D1002,'Reference Tables'!$A$4:$A$23,'Reference Tables'!$B$4:$B$23,"Other")</x:f>
        <x:v>Asia Pacific</x:v>
      </x:c>
      <x:c r="H1002" s="100" t="str">
        <x:f>VLOOKUP(G1002,'Reference Tables'!$I$4:$J$9,2,FALSE)</x:f>
        <x:v>High</x:v>
      </x:c>
      <x:c r="I1002" s="101" t="n">
        <x:f>F1002*'Inputs &amp; Guide'!$B$4*XLOOKUP(D1002,'Reference Tables'!$A$4:$A$23,'Reference Tables'!$C$4:$C$23,0.75)</x:f>
        <x:v>126.93633911110605</x:v>
      </x:c>
      <x:c r="J1002" s="102" t="n">
        <x:f>XLOOKUP(C1002,'Reference Tables'!$E$4:$E$12,'Reference Tables'!$F$4:$F$12,0.05)</x:f>
        <x:v>0.14</x:v>
      </x:c>
      <x:c r="K1002" s="103" t="n">
        <x:f>MIN(I1002,F1002*J1002)</x:f>
        <x:v>102.84194140946093</x:v>
      </x:c>
      <x:c r="L1002" s="103" t="n">
        <x:f>'Inputs &amp; Guide'!$B$5</x:f>
        <x:v>15</x:v>
      </x:c>
      <x:c r="M1002" s="103" t="n">
        <x:f>I1002*'Inputs &amp; Guide'!$B$6</x:f>
        <x:v>69.81498651110833</x:v>
      </x:c>
      <x:c r="N1002" s="103" t="n">
        <x:f>MAX(0,MIN(K1002-L1002,M1002))</x:f>
        <x:v>69.81498651110833</x:v>
      </x:c>
      <x:c r="O1002" s="103" t="n">
        <x:f>MAX(0,N1002-'Inputs &amp; Guide'!$B$7)</x:f>
        <x:v>9.81498651110833</x:v>
      </x:c>
      <x:c r="P1002" s="103" t="n">
        <x:f>N1002-O1002</x:f>
        <x:v>60</x:v>
      </x:c>
      <x:c r="Q1002" s="103" t="n">
        <x:f>I1002*'Inputs &amp; Guide'!$B$8</x:f>
        <x:v>2.284854103999909</x:v>
      </x:c>
      <x:c r="R1002" s="104" t="n">
        <x:f>IFERROR(P1002/Q1002,0)</x:f>
        <x:v>26.259882368402806</x:v>
      </x:c>
      <x:c r="S1002" s="105" t="n">
        <x:f>ROUND(E1002*XLOOKUP(C1002,'Reference Tables'!$E$4:$E$12,'Reference Tables'!$G$4:$G$12,1),1)</x:f>
        <x:v>13.4</x:v>
      </x:c>
      <x:c r="T1002" s="106" t="str">
        <x:f>IF(R1002&gt;='Inputs &amp; Guide'!$B$9,"HIGH",IF(R1002&gt;=0.45,"WATCH","NORMAL"))</x:f>
        <x:v>HIGH</x:v>
      </x:c>
    </x:row>
    <x:row r="1003">
      <x:c r="A1003" s="107" t="n">
        <x:v>7993</x:v>
      </x:c>
      <x:c r="B1003" s="108" t="n">
        <x:v>45625</x:v>
      </x:c>
      <x:c r="C1003" s="109" t="str">
        <x:v>Earthquake</x:v>
      </x:c>
      <x:c r="D1003" s="109" t="str">
        <x:v>USA</x:v>
      </x:c>
      <x:c r="E1003" s="110" t="n">
        <x:v>4.904817223775569</x:v>
      </x:c>
      <x:c r="F1003" s="111" t="n">
        <x:v>368.9159039246846</x:v>
      </x:c>
      <x:c r="G1003" s="112" t="str">
        <x:f>XLOOKUP(D1003,'Reference Tables'!$A$4:$A$23,'Reference Tables'!$B$4:$B$23,"Other")</x:f>
        <x:v>Other</x:v>
      </x:c>
      <x:c r="H1003" s="112" t="str">
        <x:f>VLOOKUP(G1003,'Reference Tables'!$I$4:$J$9,2,FALSE)</x:f>
        <x:v>Moderate</x:v>
      </x:c>
      <x:c r="I1003" s="113" t="n">
        <x:f>F1003*'Inputs &amp; Guide'!$B$4*XLOOKUP(D1003,'Reference Tables'!$A$4:$A$23,'Reference Tables'!$C$4:$C$23,0.75)</x:f>
        <x:v>44.26990847096215</x:v>
      </x:c>
      <x:c r="J1003" s="114" t="n">
        <x:f>XLOOKUP(C1003,'Reference Tables'!$E$4:$E$12,'Reference Tables'!$F$4:$F$12,0.05)</x:f>
        <x:v>0.14</x:v>
      </x:c>
      <x:c r="K1003" s="115" t="n">
        <x:f>MIN(I1003,F1003*J1003)</x:f>
        <x:v>44.26990847096215</x:v>
      </x:c>
      <x:c r="L1003" s="115" t="n">
        <x:f>'Inputs &amp; Guide'!$B$5</x:f>
        <x:v>15</x:v>
      </x:c>
      <x:c r="M1003" s="115" t="n">
        <x:f>I1003*'Inputs &amp; Guide'!$B$6</x:f>
        <x:v>24.348449659029185</x:v>
      </x:c>
      <x:c r="N1003" s="115" t="n">
        <x:f>MAX(0,MIN(K1003-L1003,M1003))</x:f>
        <x:v>24.348449659029185</x:v>
      </x:c>
      <x:c r="O1003" s="115" t="n">
        <x:f>MAX(0,N1003-'Inputs &amp; Guide'!$B$7)</x:f>
        <x:v>0</x:v>
      </x:c>
      <x:c r="P1003" s="115" t="n">
        <x:f>N1003-O1003</x:f>
        <x:v>24.348449659029185</x:v>
      </x:c>
      <x:c r="Q1003" s="115" t="n">
        <x:f>I1003*'Inputs &amp; Guide'!$B$8</x:f>
        <x:v>0.7968583524773186</x:v>
      </x:c>
      <x:c r="R1003" s="116" t="n">
        <x:f>IFERROR(P1003/Q1003,0)</x:f>
        <x:v>30.55555555555556</x:v>
      </x:c>
      <x:c r="S1003" s="117" t="n">
        <x:f>ROUND(E1003*XLOOKUP(C1003,'Reference Tables'!$E$4:$E$12,'Reference Tables'!$G$4:$G$12,1),1)</x:f>
        <x:v>7.4</x:v>
      </x:c>
      <x:c r="T1003" s="118" t="str">
        <x:f>IF(R1003&gt;='Inputs &amp; Guide'!$B$9,"HIGH",IF(R1003&gt;=0.45,"WATCH","NORMAL"))</x:f>
        <x:v>HIGH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625916244f024b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14" hidden="0" customWidth="1"/>
    <x:col min="5" max="5" width="3" hidden="0" customWidth="1"/>
    <x:col min="6" max="6" width="19" hidden="0" customWidth="1"/>
    <x:col min="7" max="7" width="20" hidden="0" customWidth="1"/>
    <x:col min="8" max="8" width="25" hidden="0" customWidth="1"/>
    <x:col min="9" max="9" width="16" hidden="0" customWidth="1"/>
  </x:cols>
  <x:sheetData>
    <x:row r="1" ht="30" customHeight="1">
      <x:c r="A1" s="4" t="str">
        <x:v>Pivot Analysis | Formula-Driven CAT Risk Rollups</x:v>
      </x:c>
      <x:c r="B1" s="4" t="str">
        <x:v>Pivot Analysis | Formula-Driven CAT Risk Rollups</x:v>
      </x:c>
      <x:c r="C1" s="4" t="str">
        <x:v>Pivot Analysis | Formula-Driven CAT Risk Rollups</x:v>
      </x:c>
      <x:c r="D1" s="4" t="str">
        <x:v>Pivot Analysis | Formula-Driven CAT Risk Rollups</x:v>
      </x:c>
      <x:c r="E1" s="4" t="str">
        <x:v>Pivot Analysis | Formula-Driven CAT Risk Rollups</x:v>
      </x:c>
      <x:c r="F1" s="4" t="str">
        <x:v>Pivot Analysis | Formula-Driven CAT Risk Rollups</x:v>
      </x:c>
      <x:c r="G1" s="4" t="str">
        <x:v>Pivot Analysis | Formula-Driven CAT Risk Rollups</x:v>
      </x:c>
      <x:c r="H1" s="4" t="str">
        <x:v>Pivot Analysis | Formula-Driven CAT Risk Rollups</x:v>
      </x:c>
      <x:c r="I1" s="4" t="str">
        <x:v>Pivot Analysis | Formula-Driven CAT Risk Rollups</x:v>
      </x:c>
      <x:c r="J1" s="4" t="str">
        <x:v>Pivot Analysis | Formula-Driven CAT Risk Rollups</x:v>
      </x:c>
      <x:c r="K1" s="4" t="str">
        <x:v>Pivot Analysis | Formula-Driven CAT Risk Rollups</x:v>
      </x:c>
      <x:c r="L1" s="4" t="str">
        <x:v>Pivot Analysis | Formula-Driven CAT Risk Rollups</x:v>
      </x:c>
      <x:c r="M1" s="4" t="str">
        <x:v>Pivot Analysis | Formula-Driven CAT Risk Rollups</x:v>
      </x:c>
    </x:row>
    <x:row r="3" ht="20" customHeight="1">
      <x:c r="A3" s="23" t="str">
        <x:v>Peril Rollup</x:v>
      </x:c>
      <x:c r="B3" s="23" t="str">
        <x:v>Peril Rollup</x:v>
      </x:c>
      <x:c r="C3" s="23" t="str">
        <x:v>Peril Rollup</x:v>
      </x:c>
      <x:c r="D3" s="23" t="str">
        <x:v>Peril Rollup</x:v>
      </x:c>
      <x:c r="F3" s="23" t="str">
        <x:v>Region Rollup</x:v>
      </x:c>
      <x:c r="G3" s="23" t="str">
        <x:v>Region Rollup</x:v>
      </x:c>
      <x:c r="H3" s="23" t="str">
        <x:v>Region Rollup</x:v>
      </x:c>
      <x:c r="I3" s="23" t="str">
        <x:v>Region Rollup</x:v>
      </x:c>
    </x:row>
    <x:row r="4" ht="30" customHeight="1">
      <x:c r="A4" s="16" t="str">
        <x:v>Peril</x:v>
      </x:c>
      <x:c r="B4" s="17" t="str">
        <x:v>Net Retained Loss (USD m)</x:v>
      </x:c>
      <x:c r="C4" s="17" t="str">
        <x:v>Avg Loss Ratio</x:v>
      </x:c>
      <x:c r="D4" s="18" t="str">
        <x:v>High Alerts</x:v>
      </x:c>
      <x:c r="F4" s="16" t="str">
        <x:v>Region</x:v>
      </x:c>
      <x:c r="G4" s="17" t="str">
        <x:v>Exposure (USD m)</x:v>
      </x:c>
      <x:c r="H4" s="17" t="str">
        <x:v>Net Retained Loss (USD m)</x:v>
      </x:c>
      <x:c r="I4" s="18" t="str">
        <x:v>Net Loss Ratio</x:v>
      </x:c>
    </x:row>
    <x:row r="5">
      <x:c r="A5" t="str">
        <x:v>Wildfire</x:v>
      </x:c>
      <x:c r="B5" s="74" t="n">
        <x:f>SUMIFS('Event Detail'!$P$4:$P$1003,'Event Detail'!$C$4:$C$1003,A5)</x:f>
        <x:v>6056.696259872445</x:v>
      </x:c>
      <x:c r="C5" s="76" t="n">
        <x:f>IFERROR(AVERAGEIFS('Event Detail'!$R$4:$R$1003,'Event Detail'!$C$4:$C$1003,A5),0)</x:f>
        <x:v>18.955628197187995</x:v>
      </x:c>
      <x:c r="D5" t="n">
        <x:f>COUNTIFS('Event Detail'!$C$4:$C$1003,A5,'Event Detail'!$T$4:$T$1003,"HIGH")</x:f>
        <x:v>157</x:v>
      </x:c>
      <x:c r="F5" t="str">
        <x:v>Asia Pacific</x:v>
      </x:c>
      <x:c r="G5" s="74" t="n">
        <x:f>SUMIFS('Event Detail'!$I$4:$I$1003,'Event Detail'!$G$4:$G$1003,F5)</x:f>
        <x:v>53455.147983708346</x:v>
      </x:c>
      <x:c r="H5" s="74" t="n">
        <x:f>SUMIFS('Event Detail'!$P$4:$P$1003,'Event Detail'!$G$4:$G$1003,F5)</x:f>
        <x:v>22772.743653409536</x:v>
      </x:c>
      <x:c r="I5" s="76" t="n">
        <x:f>IFERROR(H5/SUMIFS('Event Detail'!$Q$4:$Q$1003,'Event Detail'!$G$4:$G$1003,F5),0)</x:f>
        <x:v>23.667550702039062</x:v>
      </x:c>
    </x:row>
    <x:row r="6">
      <x:c r="A6" t="str">
        <x:v>Hurricane</x:v>
      </x:c>
      <x:c r="B6" s="74" t="n">
        <x:f>SUMIFS('Event Detail'!$P$4:$P$1003,'Event Detail'!$C$4:$C$1003,A6)</x:f>
        <x:v>6515.78088919966</x:v>
      </x:c>
      <x:c r="C6" s="76" t="n">
        <x:f>IFERROR(AVERAGEIFS('Event Detail'!$R$4:$R$1003,'Event Detail'!$C$4:$C$1003,A6),0)</x:f>
        <x:v>23.64451482248467</x:v>
      </x:c>
      <x:c r="D6" t="n">
        <x:f>COUNTIFS('Event Detail'!$C$4:$C$1003,A6,'Event Detail'!$T$4:$T$1003,"HIGH")</x:f>
        <x:v>159</x:v>
      </x:c>
      <x:c r="F6" t="str">
        <x:v>North America</x:v>
      </x:c>
      <x:c r="G6" s="74" t="n">
        <x:f>SUMIFS('Event Detail'!$I$4:$I$1003,'Event Detail'!$G$4:$G$1003,F6)</x:f>
        <x:v>0</x:v>
      </x:c>
      <x:c r="H6" s="74" t="n">
        <x:f>SUMIFS('Event Detail'!$P$4:$P$1003,'Event Detail'!$G$4:$G$1003,F6)</x:f>
        <x:v>0</x:v>
      </x:c>
      <x:c r="I6" s="76" t="n">
        <x:f>IFERROR(H6/SUMIFS('Event Detail'!$Q$4:$Q$1003,'Event Detail'!$G$4:$G$1003,F6),0)</x:f>
        <x:v>0</x:v>
      </x:c>
    </x:row>
    <x:row r="7">
      <x:c r="A7" t="str">
        <x:v>Tornado</x:v>
      </x:c>
      <x:c r="B7" s="74" t="n">
        <x:f>SUMIFS('Event Detail'!$P$4:$P$1003,'Event Detail'!$C$4:$C$1003,A7)</x:f>
        <x:v>7032.913926072638</x:v>
      </x:c>
      <x:c r="C7" s="76" t="n">
        <x:f>IFERROR(AVERAGEIFS('Event Detail'!$R$4:$R$1003,'Event Detail'!$C$4:$C$1003,A7),0)</x:f>
        <x:v>18.327812896890283</x:v>
      </x:c>
      <x:c r="D7" t="n">
        <x:f>COUNTIFS('Event Detail'!$C$4:$C$1003,A7,'Event Detail'!$T$4:$T$1003,"HIGH")</x:f>
        <x:v>194</x:v>
      </x:c>
      <x:c r="F7" t="str">
        <x:v>Latin America</x:v>
      </x:c>
      <x:c r="G7" s="74" t="n">
        <x:f>SUMIFS('Event Detail'!$I$4:$I$1003,'Event Detail'!$G$4:$G$1003,F7)</x:f>
        <x:v>11483.23776174248</x:v>
      </x:c>
      <x:c r="H7" s="74" t="n">
        <x:f>SUMIFS('Event Detail'!$P$4:$P$1003,'Event Detail'!$G$4:$G$1003,F7)</x:f>
        <x:v>5672.435985793841</x:v>
      </x:c>
      <x:c r="I7" s="76" t="n">
        <x:f>IFERROR(H7/SUMIFS('Event Detail'!$Q$4:$Q$1003,'Event Detail'!$G$4:$G$1003,F7),0)</x:f>
        <x:v>27.44307303241655</x:v>
      </x:c>
    </x:row>
    <x:row r="8">
      <x:c r="A8" t="str">
        <x:v>Flood</x:v>
      </x:c>
      <x:c r="B8" s="74" t="n">
        <x:f>SUMIFS('Event Detail'!$P$4:$P$1003,'Event Detail'!$C$4:$C$1003,A8)</x:f>
        <x:v>6477.056944726589</x:v>
      </x:c>
      <x:c r="C8" s="76" t="n">
        <x:f>IFERROR(AVERAGEIFS('Event Detail'!$R$4:$R$1003,'Event Detail'!$C$4:$C$1003,A8),0)</x:f>
        <x:v>22.347507730805454</x:v>
      </x:c>
      <x:c r="D8" t="n">
        <x:f>COUNTIFS('Event Detail'!$C$4:$C$1003,A8,'Event Detail'!$T$4:$T$1003,"HIGH")</x:f>
        <x:v>162</x:v>
      </x:c>
      <x:c r="F8" t="str">
        <x:v>Europe</x:v>
      </x:c>
      <x:c r="G8" s="74" t="n">
        <x:f>SUMIFS('Event Detail'!$I$4:$I$1003,'Event Detail'!$G$4:$G$1003,F8)</x:f>
        <x:v>0</x:v>
      </x:c>
      <x:c r="H8" s="74" t="n">
        <x:f>SUMIFS('Event Detail'!$P$4:$P$1003,'Event Detail'!$G$4:$G$1003,F8)</x:f>
        <x:v>0</x:v>
      </x:c>
      <x:c r="I8" s="76" t="n">
        <x:f>IFERROR(H8/SUMIFS('Event Detail'!$Q$4:$Q$1003,'Event Detail'!$G$4:$G$1003,F8),0)</x:f>
        <x:v>0</x:v>
      </x:c>
    </x:row>
    <x:row r="9">
      <x:c r="A9" t="str">
        <x:v>Earthquake</x:v>
      </x:c>
      <x:c r="B9" s="74" t="n">
        <x:f>SUMIFS('Event Detail'!$P$4:$P$1003,'Event Detail'!$C$4:$C$1003,A9)</x:f>
        <x:v>8256.87158467052</x:v>
      </x:c>
      <x:c r="C9" s="76" t="n">
        <x:f>IFERROR(AVERAGEIFS('Event Detail'!$R$4:$R$1003,'Event Detail'!$C$4:$C$1003,A9),0)</x:f>
        <x:v>24.415831052093264</x:v>
      </x:c>
      <x:c r="D9" t="n">
        <x:f>COUNTIFS('Event Detail'!$C$4:$C$1003,A9,'Event Detail'!$T$4:$T$1003,"HIGH")</x:f>
        <x:v>192</x:v>
      </x:c>
      <x:c r="F9" t="str">
        <x:v>EMEA</x:v>
      </x:c>
      <x:c r="G9" s="74" t="n">
        <x:f>SUMIFS('Event Detail'!$I$4:$I$1003,'Event Detail'!$G$4:$G$1003,F9)</x:f>
        <x:v>0</x:v>
      </x:c>
      <x:c r="H9" s="74" t="n">
        <x:f>SUMIFS('Event Detail'!$P$4:$P$1003,'Event Detail'!$G$4:$G$1003,F9)</x:f>
        <x:v>0</x:v>
      </x:c>
      <x:c r="I9" s="76" t="n">
        <x:f>IFERROR(H9/SUMIFS('Event Detail'!$Q$4:$Q$1003,'Event Detail'!$G$4:$G$1003,F9),0)</x:f>
        <x:v>0</x:v>
      </x:c>
    </x:row>
    <x:row r="10">
      <x:c r="A10" t="str">
        <x:v>Tsunami</x:v>
      </x:c>
      <x:c r="B10" s="74" t="n">
        <x:f>SUMIFS('Event Detail'!$P$4:$P$1003,'Event Detail'!$C$4:$C$1003,A10)</x:f>
        <x:v>0</x:v>
      </x:c>
      <x:c r="C10" s="76" t="n">
        <x:f>IFERROR(AVERAGEIFS('Event Detail'!$R$4:$R$1003,'Event Detail'!$C$4:$C$1003,A10),0)</x:f>
        <x:v>0</x:v>
      </x:c>
      <x:c r="D10" t="n">
        <x:f>COUNTIFS('Event Detail'!$C$4:$C$1003,A10,'Event Detail'!$T$4:$T$1003,"HIGH")</x:f>
        <x:v>0</x:v>
      </x:c>
      <x:c r="F10" t="str">
        <x:v>Other</x:v>
      </x:c>
      <x:c r="G10" s="74" t="n">
        <x:f>SUMIFS('Event Detail'!$I$4:$I$1003,'Event Detail'!$G$4:$G$1003,F10)</x:f>
        <x:v>11422.218127238486</x:v>
      </x:c>
      <x:c r="H10" s="74" t="n">
        <x:f>SUMIFS('Event Detail'!$P$4:$P$1003,'Event Detail'!$G$4:$G$1003,F10)</x:f>
        <x:v>5894.139965338453</x:v>
      </x:c>
      <x:c r="I10" s="76" t="n">
        <x:f>IFERROR(H10/SUMIFS('Event Detail'!$Q$4:$Q$1003,'Event Detail'!$G$4:$G$1003,F10),0)</x:f>
        <x:v>28.668006218136167</x:v>
      </x:c>
    </x:row>
    <x:row r="11">
      <x:c r="A11" t="str">
        <x:v>Volcanic Eruption</x:v>
      </x:c>
      <x:c r="B11" s="74" t="n">
        <x:f>SUMIFS('Event Detail'!$P$4:$P$1003,'Event Detail'!$C$4:$C$1003,A11)</x:f>
        <x:v>0</x:v>
      </x:c>
      <x:c r="C11" s="76" t="n">
        <x:f>IFERROR(AVERAGEIFS('Event Detail'!$R$4:$R$1003,'Event Detail'!$C$4:$C$1003,A11),0)</x:f>
        <x:v>0</x:v>
      </x:c>
      <x:c r="D11" t="n">
        <x:f>COUNTIFS('Event Detail'!$C$4:$C$1003,A11,'Event Detail'!$T$4:$T$1003,"HIGH")</x:f>
        <x:v>0</x:v>
      </x:c>
    </x:row>
    <x:row r="12">
      <x:c r="A12" t="str">
        <x:v>Drought</x:v>
      </x:c>
      <x:c r="B12" s="74" t="n">
        <x:f>SUMIFS('Event Detail'!$P$4:$P$1003,'Event Detail'!$C$4:$C$1003,A12)</x:f>
        <x:v>0</x:v>
      </x:c>
      <x:c r="C12" s="76" t="n">
        <x:f>IFERROR(AVERAGEIFS('Event Detail'!$R$4:$R$1003,'Event Detail'!$C$4:$C$1003,A12),0)</x:f>
        <x:v>0</x:v>
      </x:c>
      <x:c r="D12" t="n">
        <x:f>COUNTIFS('Event Detail'!$C$4:$C$1003,A12,'Event Detail'!$T$4:$T$1003,"HIGH")</x:f>
        <x:v>0</x:v>
      </x:c>
    </x:row>
    <x:row r="13">
      <x:c r="A13" t="str">
        <x:v>Landslide</x:v>
      </x:c>
      <x:c r="B13" s="74" t="n">
        <x:f>SUMIFS('Event Detail'!$P$4:$P$1003,'Event Detail'!$C$4:$C$1003,A13)</x:f>
        <x:v>0</x:v>
      </x:c>
      <x:c r="C13" s="76" t="n">
        <x:f>IFERROR(AVERAGEIFS('Event Detail'!$R$4:$R$1003,'Event Detail'!$C$4:$C$1003,A13),0)</x:f>
        <x:v>0</x:v>
      </x:c>
      <x:c r="D13" t="n">
        <x:f>COUNTIFS('Event Detail'!$C$4:$C$1003,A13,'Event Detail'!$T$4:$T$1003,"HIGH")</x:f>
        <x:v>0</x:v>
      </x:c>
    </x:row>
    <x:row r="16" ht="20" customHeight="1">
      <x:c r="A16" s="23" t="str">
        <x:v>Monthly Trend</x:v>
      </x:c>
      <x:c r="B16" s="23" t="str">
        <x:v>Monthly Trend</x:v>
      </x:c>
      <x:c r="C16" s="23" t="str">
        <x:v>Monthly Trend</x:v>
      </x:c>
      <x:c r="D16" s="23" t="str">
        <x:v>Monthly Trend</x:v>
      </x:c>
    </x:row>
    <x:row r="17" ht="30" customHeight="1">
      <x:c r="A17" s="16" t="str">
        <x:v>Month</x:v>
      </x:c>
      <x:c r="B17" s="17" t="str">
        <x:v>Net Retained Loss (USD m)</x:v>
      </x:c>
      <x:c r="C17" s="17" t="str">
        <x:v>Exposure (USD m)</x:v>
      </x:c>
      <x:c r="D17" s="18" t="str">
        <x:v>Events</x:v>
      </x:c>
    </x:row>
    <x:row r="18">
      <x:c r="A18" s="119" t="n">
        <x:v>45292</x:v>
      </x:c>
      <x:c r="B18" s="74" t="n">
        <x:f>SUMIFS('Event Detail'!$P$4:$P$1003,'Event Detail'!$B$4:$B$1003,"&gt;="&amp;A18,'Event Detail'!$B$4:$B$1003,"&lt;"&amp;EDATE(A18,1))</x:f>
        <x:v>3252.1876502320983</x:v>
      </x:c>
      <x:c r="C18" s="74" t="n">
        <x:f>SUMIFS('Event Detail'!$I$4:$I$1003,'Event Detail'!$B$4:$B$1003,"&gt;="&amp;A18,'Event Detail'!$B$4:$B$1003,"&lt;"&amp;EDATE(A18,1))</x:f>
        <x:v>7207.92459941802</x:v>
      </x:c>
      <x:c r="D18" s="120" t="n">
        <x:f>COUNTIFS('Event Detail'!$B$4:$B$1003,"&gt;="&amp;A18,'Event Detail'!$B$4:$B$1003,"&lt;"&amp;EDATE(A18,1))</x:f>
        <x:v>93</x:v>
      </x:c>
    </x:row>
    <x:row r="19">
      <x:c r="A19" s="119" t="n">
        <x:v>45323</x:v>
      </x:c>
      <x:c r="B19" s="74" t="n">
        <x:f>SUMIFS('Event Detail'!$P$4:$P$1003,'Event Detail'!$B$4:$B$1003,"&gt;="&amp;A19,'Event Detail'!$B$4:$B$1003,"&lt;"&amp;EDATE(A19,1))</x:f>
        <x:v>2856.743538416193</x:v>
      </x:c>
      <x:c r="C19" s="74" t="n">
        <x:f>SUMIFS('Event Detail'!$I$4:$I$1003,'Event Detail'!$B$4:$B$1003,"&gt;="&amp;A19,'Event Detail'!$B$4:$B$1003,"&lt;"&amp;EDATE(A19,1))</x:f>
        <x:v>6472.870353445432</x:v>
      </x:c>
      <x:c r="D19" s="120" t="n">
        <x:f>COUNTIFS('Event Detail'!$B$4:$B$1003,"&gt;="&amp;A19,'Event Detail'!$B$4:$B$1003,"&lt;"&amp;EDATE(A19,1))</x:f>
        <x:v>87</x:v>
      </x:c>
    </x:row>
    <x:row r="20">
      <x:c r="A20" s="119" t="n">
        <x:v>45352</x:v>
      </x:c>
      <x:c r="B20" s="74" t="n">
        <x:f>SUMIFS('Event Detail'!$P$4:$P$1003,'Event Detail'!$B$4:$B$1003,"&gt;="&amp;A20,'Event Detail'!$B$4:$B$1003,"&lt;"&amp;EDATE(A20,1))</x:f>
        <x:v>3053.7085693101853</x:v>
      </x:c>
      <x:c r="C20" s="74" t="n">
        <x:f>SUMIFS('Event Detail'!$I$4:$I$1003,'Event Detail'!$B$4:$B$1003,"&gt;="&amp;A20,'Event Detail'!$B$4:$B$1003,"&lt;"&amp;EDATE(A20,1))</x:f>
        <x:v>6875.766053880262</x:v>
      </x:c>
      <x:c r="D20" s="120" t="n">
        <x:f>COUNTIFS('Event Detail'!$B$4:$B$1003,"&gt;="&amp;A20,'Event Detail'!$B$4:$B$1003,"&lt;"&amp;EDATE(A20,1))</x:f>
        <x:v>93</x:v>
      </x:c>
    </x:row>
    <x:row r="21">
      <x:c r="A21" s="119" t="n">
        <x:v>45383</x:v>
      </x:c>
      <x:c r="B21" s="74" t="n">
        <x:f>SUMIFS('Event Detail'!$P$4:$P$1003,'Event Detail'!$B$4:$B$1003,"&gt;="&amp;A21,'Event Detail'!$B$4:$B$1003,"&lt;"&amp;EDATE(A21,1))</x:f>
        <x:v>3277.1254163923054</x:v>
      </x:c>
      <x:c r="C21" s="74" t="n">
        <x:f>SUMIFS('Event Detail'!$I$4:$I$1003,'Event Detail'!$B$4:$B$1003,"&gt;="&amp;A21,'Event Detail'!$B$4:$B$1003,"&lt;"&amp;EDATE(A21,1))</x:f>
        <x:v>7159.34027455628</x:v>
      </x:c>
      <x:c r="D21" s="120" t="n">
        <x:f>COUNTIFS('Event Detail'!$B$4:$B$1003,"&gt;="&amp;A21,'Event Detail'!$B$4:$B$1003,"&lt;"&amp;EDATE(A21,1))</x:f>
        <x:v>90</x:v>
      </x:c>
    </x:row>
    <x:row r="22">
      <x:c r="A22" s="119" t="n">
        <x:v>45413</x:v>
      </x:c>
      <x:c r="B22" s="74" t="n">
        <x:f>SUMIFS('Event Detail'!$P$4:$P$1003,'Event Detail'!$B$4:$B$1003,"&gt;="&amp;A22,'Event Detail'!$B$4:$B$1003,"&lt;"&amp;EDATE(A22,1))</x:f>
        <x:v>3381.041089228593</x:v>
      </x:c>
      <x:c r="C22" s="74" t="n">
        <x:f>SUMIFS('Event Detail'!$I$4:$I$1003,'Event Detail'!$B$4:$B$1003,"&gt;="&amp;A22,'Event Detail'!$B$4:$B$1003,"&lt;"&amp;EDATE(A22,1))</x:f>
        <x:v>7454.112480421284</x:v>
      </x:c>
      <x:c r="D22" s="120" t="n">
        <x:f>COUNTIFS('Event Detail'!$B$4:$B$1003,"&gt;="&amp;A22,'Event Detail'!$B$4:$B$1003,"&lt;"&amp;EDATE(A22,1))</x:f>
        <x:v>93</x:v>
      </x:c>
    </x:row>
    <x:row r="23">
      <x:c r="A23" s="119" t="n">
        <x:v>45444</x:v>
      </x:c>
      <x:c r="B23" s="74" t="n">
        <x:f>SUMIFS('Event Detail'!$P$4:$P$1003,'Event Detail'!$B$4:$B$1003,"&gt;="&amp;A23,'Event Detail'!$B$4:$B$1003,"&lt;"&amp;EDATE(A23,1))</x:f>
        <x:v>2866.390341772368</x:v>
      </x:c>
      <x:c r="C23" s="74" t="n">
        <x:f>SUMIFS('Event Detail'!$I$4:$I$1003,'Event Detail'!$B$4:$B$1003,"&gt;="&amp;A23,'Event Detail'!$B$4:$B$1003,"&lt;"&amp;EDATE(A23,1))</x:f>
        <x:v>6415.039949289028</x:v>
      </x:c>
      <x:c r="D23" s="120" t="n">
        <x:f>COUNTIFS('Event Detail'!$B$4:$B$1003,"&gt;="&amp;A23,'Event Detail'!$B$4:$B$1003,"&lt;"&amp;EDATE(A23,1))</x:f>
        <x:v>90</x:v>
      </x:c>
    </x:row>
    <x:row r="24">
      <x:c r="A24" s="119" t="n">
        <x:v>45474</x:v>
      </x:c>
      <x:c r="B24" s="74" t="n">
        <x:f>SUMIFS('Event Detail'!$P$4:$P$1003,'Event Detail'!$B$4:$B$1003,"&gt;="&amp;A24,'Event Detail'!$B$4:$B$1003,"&lt;"&amp;EDATE(A24,1))</x:f>
        <x:v>2796.9789917968915</x:v>
      </x:c>
      <x:c r="C24" s="74" t="n">
        <x:f>SUMIFS('Event Detail'!$I$4:$I$1003,'Event Detail'!$B$4:$B$1003,"&gt;="&amp;A24,'Event Detail'!$B$4:$B$1003,"&lt;"&amp;EDATE(A24,1))</x:f>
        <x:v>6588.143920011055</x:v>
      </x:c>
      <x:c r="D24" s="120" t="n">
        <x:f>COUNTIFS('Event Detail'!$B$4:$B$1003,"&gt;="&amp;A24,'Event Detail'!$B$4:$B$1003,"&lt;"&amp;EDATE(A24,1))</x:f>
        <x:v>93</x:v>
      </x:c>
    </x:row>
    <x:row r="25">
      <x:c r="A25" s="119" t="n">
        <x:v>45505</x:v>
      </x:c>
      <x:c r="B25" s="74" t="n">
        <x:f>SUMIFS('Event Detail'!$P$4:$P$1003,'Event Detail'!$B$4:$B$1003,"&gt;="&amp;A25,'Event Detail'!$B$4:$B$1003,"&lt;"&amp;EDATE(A25,1))</x:f>
        <x:v>3063.0455125261133</x:v>
      </x:c>
      <x:c r="C25" s="74" t="n">
        <x:f>SUMIFS('Event Detail'!$I$4:$I$1003,'Event Detail'!$B$4:$B$1003,"&gt;="&amp;A25,'Event Detail'!$B$4:$B$1003,"&lt;"&amp;EDATE(A25,1))</x:f>
        <x:v>6725.2799259785115</x:v>
      </x:c>
      <x:c r="D25" s="120" t="n">
        <x:f>COUNTIFS('Event Detail'!$B$4:$B$1003,"&gt;="&amp;A25,'Event Detail'!$B$4:$B$1003,"&lt;"&amp;EDATE(A25,1))</x:f>
        <x:v>93</x:v>
      </x:c>
    </x:row>
    <x:row r="26">
      <x:c r="A26" s="119" t="n">
        <x:v>45536</x:v>
      </x:c>
      <x:c r="B26" s="74" t="n">
        <x:f>SUMIFS('Event Detail'!$P$4:$P$1003,'Event Detail'!$B$4:$B$1003,"&gt;="&amp;A26,'Event Detail'!$B$4:$B$1003,"&lt;"&amp;EDATE(A26,1))</x:f>
        <x:v>3457.098159766839</x:v>
      </x:c>
      <x:c r="C26" s="74" t="n">
        <x:f>SUMIFS('Event Detail'!$I$4:$I$1003,'Event Detail'!$B$4:$B$1003,"&gt;="&amp;A26,'Event Detail'!$B$4:$B$1003,"&lt;"&amp;EDATE(A26,1))</x:f>
        <x:v>7372.605628001205</x:v>
      </x:c>
      <x:c r="D26" s="120" t="n">
        <x:f>COUNTIFS('Event Detail'!$B$4:$B$1003,"&gt;="&amp;A26,'Event Detail'!$B$4:$B$1003,"&lt;"&amp;EDATE(A26,1))</x:f>
        <x:v>90</x:v>
      </x:c>
    </x:row>
    <x:row r="27">
      <x:c r="A27" s="119" t="n">
        <x:v>45566</x:v>
      </x:c>
      <x:c r="B27" s="74" t="n">
        <x:f>SUMIFS('Event Detail'!$P$4:$P$1003,'Event Detail'!$B$4:$B$1003,"&gt;="&amp;A27,'Event Detail'!$B$4:$B$1003,"&lt;"&amp;EDATE(A27,1))</x:f>
        <x:v>3268.5230141332404</x:v>
      </x:c>
      <x:c r="C27" s="74" t="n">
        <x:f>SUMIFS('Event Detail'!$I$4:$I$1003,'Event Detail'!$B$4:$B$1003,"&gt;="&amp;A27,'Event Detail'!$B$4:$B$1003,"&lt;"&amp;EDATE(A27,1))</x:f>
        <x:v>7319.348254349592</x:v>
      </x:c>
      <x:c r="D27" s="120" t="n">
        <x:f>COUNTIFS('Event Detail'!$B$4:$B$1003,"&gt;="&amp;A27,'Event Detail'!$B$4:$B$1003,"&lt;"&amp;EDATE(A27,1))</x:f>
        <x:v>93</x:v>
      </x:c>
    </x:row>
    <x:row r="28">
      <x:c r="A28" s="119" t="n">
        <x:v>45597</x:v>
      </x:c>
      <x:c r="B28" s="74" t="n">
        <x:f>SUMIFS('Event Detail'!$P$4:$P$1003,'Event Detail'!$B$4:$B$1003,"&gt;="&amp;A28,'Event Detail'!$B$4:$B$1003,"&lt;"&amp;EDATE(A28,1))</x:f>
        <x:v>3066.4773209670216</x:v>
      </x:c>
      <x:c r="C28" s="74" t="n">
        <x:f>SUMIFS('Event Detail'!$I$4:$I$1003,'Event Detail'!$B$4:$B$1003,"&gt;="&amp;A28,'Event Detail'!$B$4:$B$1003,"&lt;"&amp;EDATE(A28,1))</x:f>
        <x:v>6770.172433338632</x:v>
      </x:c>
      <x:c r="D28" s="120" t="n">
        <x:f>COUNTIFS('Event Detail'!$B$4:$B$1003,"&gt;="&amp;A28,'Event Detail'!$B$4:$B$1003,"&lt;"&amp;EDATE(A28,1))</x:f>
        <x:v>85</x:v>
      </x:c>
    </x:row>
    <x:row r="29">
      <x:c r="A29" s="119" t="n">
        <x:v>45627</x:v>
      </x:c>
      <x:c r="B29" s="74" t="n">
        <x:f>SUMIFS('Event Detail'!$P$4:$P$1003,'Event Detail'!$B$4:$B$1003,"&gt;="&amp;A29,'Event Detail'!$B$4:$B$1003,"&lt;"&amp;EDATE(A29,1))</x:f>
        <x:v>0</x:v>
      </x:c>
      <x:c r="C29" s="74" t="n">
        <x:f>SUMIFS('Event Detail'!$I$4:$I$1003,'Event Detail'!$B$4:$B$1003,"&gt;="&amp;A29,'Event Detail'!$B$4:$B$1003,"&lt;"&amp;EDATE(A29,1))</x:f>
        <x:v>0</x:v>
      </x:c>
      <x:c r="D29" s="120" t="n">
        <x:f>COUNTIFS('Event Detail'!$B$4:$B$1003,"&gt;="&amp;A29,'Event Detail'!$B$4:$B$1003,"&lt;"&amp;EDATE(A29,1))</x:f>
        <x:v>0</x:v>
      </x:c>
    </x:row>
  </x:sheetData>
  <x:mergeCells>
    <x:mergeCell ref="A1:M1"/>
    <x:mergeCell ref="A3:D3"/>
    <x:mergeCell ref="F3:I3"/>
    <x:mergeCell ref="A16:D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5" max="5" width="20" hidden="0" customWidth="1"/>
    <x:col min="6" max="6" width="15" hidden="0" customWidth="1"/>
    <x:col min="7" max="7" width="15" hidden="0" customWidth="1"/>
    <x:col min="9" max="9" width="18" hidden="0" customWidth="1"/>
    <x:col min="10" max="10" width="16" hidden="0" customWidth="1"/>
  </x:cols>
  <x:sheetData>
    <x:row r="1" ht="30" customHeight="1">
      <x:c r="A1" s="4" t="str">
        <x:v>Reference Tables | Lookup Dimensions</x:v>
      </x:c>
      <x:c r="B1" s="4" t="str">
        <x:v>Reference Tables | Lookup Dimensions</x:v>
      </x:c>
      <x:c r="C1" s="4" t="str">
        <x:v>Reference Tables | Lookup Dimensions</x:v>
      </x:c>
      <x:c r="D1" s="4" t="str">
        <x:v>Reference Tables | Lookup Dimensions</x:v>
      </x:c>
      <x:c r="E1" s="4" t="str">
        <x:v>Reference Tables | Lookup Dimensions</x:v>
      </x:c>
      <x:c r="F1" s="4" t="str">
        <x:v>Reference Tables | Lookup Dimensions</x:v>
      </x:c>
      <x:c r="G1" s="4" t="str">
        <x:v>Reference Tables | Lookup Dimensions</x:v>
      </x:c>
      <x:c r="H1" s="4" t="str">
        <x:v>Reference Tables | Lookup Dimensions</x:v>
      </x:c>
    </x:row>
    <x:row r="3" ht="30" customHeight="1">
      <x:c r="A3" s="16" t="str">
        <x:v>Country</x:v>
      </x:c>
      <x:c r="B3" s="17" t="str">
        <x:v>Region</x:v>
      </x:c>
      <x:c r="C3" s="18" t="str">
        <x:v>Country Factor</x:v>
      </x:c>
      <x:c r="E3" s="16" t="str">
        <x:v>Peril</x:v>
      </x:c>
      <x:c r="F3" s="17" t="str">
        <x:v>Insured Share</x:v>
      </x:c>
      <x:c r="G3" s="18" t="str">
        <x:v>Capital Factor</x:v>
      </x:c>
      <x:c r="I3" s="16" t="str">
        <x:v>Region</x:v>
      </x:c>
      <x:c r="J3" s="18" t="str">
        <x:v>Risk Band</x:v>
      </x:c>
    </x:row>
    <x:row r="4">
      <x:c r="A4" s="20" t="str">
        <x:v>Brazil</x:v>
      </x:c>
      <x:c r="B4" s="20" t="str">
        <x:v>Latin America</x:v>
      </x:c>
      <x:c r="C4" s="21" t="n">
        <x:v>0.82</x:v>
      </x:c>
      <x:c r="E4" s="20" t="str">
        <x:v>Wildfire</x:v>
      </x:c>
      <x:c r="F4" s="22" t="n">
        <x:v>0.1</x:v>
      </x:c>
      <x:c r="G4" s="21" t="n">
        <x:v>1.15</x:v>
      </x:c>
      <x:c r="I4" s="19" t="str">
        <x:v>Asia Pacific</x:v>
      </x:c>
      <x:c r="J4" s="19" t="str">
        <x:v>High</x:v>
      </x:c>
    </x:row>
    <x:row r="5">
      <x:c r="A5" s="20" t="str">
        <x:v>Indonesia</x:v>
      </x:c>
      <x:c r="B5" s="20" t="str">
        <x:v>Asia Pacific</x:v>
      </x:c>
      <x:c r="C5" s="21" t="n">
        <x:v>1.03</x:v>
      </x:c>
      <x:c r="E5" s="20" t="str">
        <x:v>Hurricane</x:v>
      </x:c>
      <x:c r="F5" s="22" t="n">
        <x:v>0.18</x:v>
      </x:c>
      <x:c r="G5" s="21" t="n">
        <x:v>1.4</x:v>
      </x:c>
      <x:c r="I5" s="19" t="str">
        <x:v>North America</x:v>
      </x:c>
      <x:c r="J5" s="19" t="str">
        <x:v>High</x:v>
      </x:c>
    </x:row>
    <x:row r="6">
      <x:c r="A6" s="20" t="str">
        <x:v>China</x:v>
      </x:c>
      <x:c r="B6" s="20" t="str">
        <x:v>Asia Pacific</x:v>
      </x:c>
      <x:c r="C6" s="21" t="n">
        <x:v>1.08</x:v>
      </x:c>
      <x:c r="E6" s="20" t="str">
        <x:v>Tornado</x:v>
      </x:c>
      <x:c r="F6" s="22" t="n">
        <x:v>0.09</x:v>
      </x:c>
      <x:c r="G6" s="21" t="n">
        <x:v>1.05</x:v>
      </x:c>
      <x:c r="I6" s="19" t="str">
        <x:v>Latin America</x:v>
      </x:c>
      <x:c r="J6" s="19" t="str">
        <x:v>Moderate</x:v>
      </x:c>
    </x:row>
    <x:row r="7">
      <x:c r="A7" s="20" t="str">
        <x:v>India</x:v>
      </x:c>
      <x:c r="B7" s="20" t="str">
        <x:v>Asia Pacific</x:v>
      </x:c>
      <x:c r="C7" s="21" t="n">
        <x:v>0.91</x:v>
      </x:c>
      <x:c r="E7" s="20" t="str">
        <x:v>Flood</x:v>
      </x:c>
      <x:c r="F7" s="22" t="n">
        <x:v>0.12</x:v>
      </x:c>
      <x:c r="G7" s="21" t="n">
        <x:v>1.25</x:v>
      </x:c>
      <x:c r="I7" s="19" t="str">
        <x:v>Europe</x:v>
      </x:c>
      <x:c r="J7" s="19" t="str">
        <x:v>Moderate</x:v>
      </x:c>
    </x:row>
    <x:row r="8">
      <x:c r="A8" s="20" t="str">
        <x:v>United States</x:v>
      </x:c>
      <x:c r="B8" s="20" t="str">
        <x:v>North America</x:v>
      </x:c>
      <x:c r="C8" s="21" t="n">
        <x:v>1.25</x:v>
      </x:c>
      <x:c r="E8" s="20" t="str">
        <x:v>Earthquake</x:v>
      </x:c>
      <x:c r="F8" s="22" t="n">
        <x:v>0.14</x:v>
      </x:c>
      <x:c r="G8" s="21" t="n">
        <x:v>1.5</x:v>
      </x:c>
      <x:c r="I8" s="19" t="str">
        <x:v>EMEA</x:v>
      </x:c>
      <x:c r="J8" s="19" t="str">
        <x:v>Elevated</x:v>
      </x:c>
    </x:row>
    <x:row r="9">
      <x:c r="A9" s="20" t="str">
        <x:v>Australia</x:v>
      </x:c>
      <x:c r="B9" s="20" t="str">
        <x:v>Asia Pacific</x:v>
      </x:c>
      <x:c r="C9" s="21" t="n">
        <x:v>0.94</x:v>
      </x:c>
      <x:c r="E9" s="20" t="str">
        <x:v>Tsunami</x:v>
      </x:c>
      <x:c r="F9" s="22" t="n">
        <x:v>0.08</x:v>
      </x:c>
      <x:c r="G9" s="21" t="n">
        <x:v>1.35</x:v>
      </x:c>
      <x:c r="I9" s="19" t="str">
        <x:v>Other</x:v>
      </x:c>
      <x:c r="J9" s="19" t="str">
        <x:v>Moderate</x:v>
      </x:c>
    </x:row>
    <x:row r="10">
      <x:c r="A10" s="20" t="str">
        <x:v>Japan</x:v>
      </x:c>
      <x:c r="B10" s="20" t="str">
        <x:v>Asia Pacific</x:v>
      </x:c>
      <x:c r="C10" s="21" t="n">
        <x:v>1.18</x:v>
      </x:c>
      <x:c r="E10" s="20" t="str">
        <x:v>Volcanic Eruption</x:v>
      </x:c>
      <x:c r="F10" s="22" t="n">
        <x:v>0.06</x:v>
      </x:c>
      <x:c r="G10" s="21" t="n">
        <x:v>1.2</x:v>
      </x:c>
    </x:row>
    <x:row r="11">
      <x:c r="A11" s="20" t="str">
        <x:v>Mexico</x:v>
      </x:c>
      <x:c r="B11" s="20" t="str">
        <x:v>Latin America</x:v>
      </x:c>
      <x:c r="C11" s="21" t="n">
        <x:v>0.86</x:v>
      </x:c>
      <x:c r="E11" s="20" t="str">
        <x:v>Drought</x:v>
      </x:c>
      <x:c r="F11" s="22" t="n">
        <x:v>0.04</x:v>
      </x:c>
      <x:c r="G11" s="21" t="n">
        <x:v>0.85</x:v>
      </x:c>
    </x:row>
    <x:row r="12">
      <x:c r="A12" s="20" t="str">
        <x:v>Canada</x:v>
      </x:c>
      <x:c r="B12" s="20" t="str">
        <x:v>North America</x:v>
      </x:c>
      <x:c r="C12" s="21" t="n">
        <x:v>1.08</x:v>
      </x:c>
      <x:c r="E12" s="20" t="str">
        <x:v>Landslide</x:v>
      </x:c>
      <x:c r="F12" s="22" t="n">
        <x:v>0.07</x:v>
      </x:c>
      <x:c r="G12" s="21" t="n">
        <x:v>0.95</x:v>
      </x:c>
    </x:row>
    <x:row r="13">
      <x:c r="A13" s="20" t="str">
        <x:v>Germany</x:v>
      </x:c>
      <x:c r="B13" s="20" t="str">
        <x:v>Europe</x:v>
      </x:c>
      <x:c r="C13" s="21" t="n">
        <x:v>0.98</x:v>
      </x:c>
    </x:row>
    <x:row r="14">
      <x:c r="A14" s="20" t="str">
        <x:v>Italy</x:v>
      </x:c>
      <x:c r="B14" s="20" t="str">
        <x:v>Europe</x:v>
      </x:c>
      <x:c r="C14" s="21" t="n">
        <x:v>0.91</x:v>
      </x:c>
    </x:row>
    <x:row r="15">
      <x:c r="A15" s="20" t="str">
        <x:v>Philippines</x:v>
      </x:c>
      <x:c r="B15" s="20" t="str">
        <x:v>Asia Pacific</x:v>
      </x:c>
      <x:c r="C15" s="21" t="n">
        <x:v>0.88</x:v>
      </x:c>
    </x:row>
    <x:row r="16">
      <x:c r="A16" s="20" t="str">
        <x:v>Turkey</x:v>
      </x:c>
      <x:c r="B16" s="20" t="str">
        <x:v>EMEA</x:v>
      </x:c>
      <x:c r="C16" s="21" t="n">
        <x:v>0.83</x:v>
      </x:c>
    </x:row>
    <x:row r="17">
      <x:c r="A17" s="20" t="str">
        <x:v>South Africa</x:v>
      </x:c>
      <x:c r="B17" s="20" t="str">
        <x:v>EMEA</x:v>
      </x:c>
      <x:c r="C17" s="21" t="n">
        <x:v>0.76</x:v>
      </x:c>
    </x:row>
    <x:row r="18">
      <x:c r="A18" s="20" t="str">
        <x:v>Argentina</x:v>
      </x:c>
      <x:c r="B18" s="20" t="str">
        <x:v>Latin America</x:v>
      </x:c>
      <x:c r="C18" s="21" t="n">
        <x:v>0.72</x:v>
      </x:c>
    </x:row>
    <x:row r="19">
      <x:c r="A19" s="20" t="str">
        <x:v>France</x:v>
      </x:c>
      <x:c r="B19" s="20" t="str">
        <x:v>Europe</x:v>
      </x:c>
      <x:c r="C19" s="21" t="n">
        <x:v>1.04</x:v>
      </x:c>
    </x:row>
    <x:row r="20">
      <x:c r="A20" s="20" t="str">
        <x:v>United Kingdom</x:v>
      </x:c>
      <x:c r="B20" s="20" t="str">
        <x:v>Europe</x:v>
      </x:c>
      <x:c r="C20" s="21" t="n">
        <x:v>1.11</x:v>
      </x:c>
    </x:row>
    <x:row r="21">
      <x:c r="A21" s="20" t="str">
        <x:v>Nigeria</x:v>
      </x:c>
      <x:c r="B21" s="20" t="str">
        <x:v>EMEA</x:v>
      </x:c>
      <x:c r="C21" s="21" t="n">
        <x:v>0.68</x:v>
      </x:c>
    </x:row>
    <x:row r="22">
      <x:c r="A22" s="20" t="str">
        <x:v>Pakistan</x:v>
      </x:c>
      <x:c r="B22" s="20" t="str">
        <x:v>Asia Pacific</x:v>
      </x:c>
      <x:c r="C22" s="21" t="n">
        <x:v>0.74</x:v>
      </x:c>
    </x:row>
    <x:row r="23">
      <x:c r="A23" s="20" t="str">
        <x:v>Bangladesh</x:v>
      </x:c>
      <x:c r="B23" s="20" t="str">
        <x:v>Asia Pacific</x:v>
      </x:c>
      <x:c r="C23" s="21" t="n">
        <x:v>0.69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4" hidden="0" customWidth="1"/>
    <x:col min="4" max="4" width="14" hidden="0" customWidth="1"/>
    <x:col min="5" max="5" width="3" hidden="0" customWidth="1"/>
    <x:col min="6" max="6" width="20" hidden="0" customWidth="1"/>
    <x:col min="7" max="7" width="30" hidden="0" customWidth="1"/>
    <x:col min="8" max="8" width="16" hidden="0" customWidth="1"/>
  </x:cols>
  <x:sheetData>
    <x:row r="1" ht="30" customHeight="1">
      <x:c r="A1" s="4" t="str">
        <x:v>CAT Risk Insight Dashboard | Project Guide &amp; Assumptions</x:v>
      </x:c>
      <x:c r="B1" s="4" t="str">
        <x:v>CAT Risk Insight Dashboard | Project Guide &amp; Assumptions</x:v>
      </x:c>
      <x:c r="C1" s="4" t="str">
        <x:v>CAT Risk Insight Dashboard | Project Guide &amp; Assumptions</x:v>
      </x:c>
      <x:c r="D1" s="4" t="str">
        <x:v>CAT Risk Insight Dashboard | Project Guide &amp; Assumptions</x:v>
      </x:c>
      <x:c r="E1" s="4" t="str">
        <x:v>CAT Risk Insight Dashboard | Project Guide &amp; Assumptions</x:v>
      </x:c>
      <x:c r="F1" s="4" t="str">
        <x:v>CAT Risk Insight Dashboard | Project Guide &amp; Assumptions</x:v>
      </x:c>
      <x:c r="G1" s="4" t="str">
        <x:v>CAT Risk Insight Dashboard | Project Guide &amp; Assumptions</x:v>
      </x:c>
      <x:c r="H1" s="4" t="str">
        <x:v>CAT Risk Insight Dashboard | Project Guide &amp; Assumptions</x:v>
      </x:c>
    </x:row>
    <x:row r="3" ht="20" customHeight="1">
      <x:c r="A3" s="23" t="str">
        <x:v>Model Assumptions (blue font = editable inputs)</x:v>
      </x:c>
      <x:c r="B3" s="23" t="str">
        <x:v>Model Assumptions (blue font = editable inputs)</x:v>
      </x:c>
      <x:c r="C3" s="23" t="str">
        <x:v>Model Assumptions (blue font = editable inputs)</x:v>
      </x:c>
      <x:c r="D3" s="23" t="str">
        <x:v>Model Assumptions (blue font = editable inputs)</x:v>
      </x:c>
      <x:c r="F3" s="23" t="str">
        <x:v>Formula color key</x:v>
      </x:c>
      <x:c r="G3" s="23" t="str">
        <x:v>Formula color key</x:v>
      </x:c>
      <x:c r="H3" s="23" t="str">
        <x:v>Formula color key</x:v>
      </x:c>
    </x:row>
    <x:row r="4">
      <x:c r="A4" s="25" t="str">
        <x:v>Gross portfolio participation</x:v>
      </x:c>
      <x:c r="B4" s="29" t="n">
        <x:v>0.16</x:v>
      </x:c>
      <x:c r="F4" s="58" t="str">
        <x:v>Blue font</x:v>
      </x:c>
      <x:c r="G4" t="str">
        <x:v>Editable assumption</x:v>
      </x:c>
    </x:row>
    <x:row r="5">
      <x:c r="A5" s="25" t="str">
        <x:v>Event deductible (USD m)</x:v>
      </x:c>
      <x:c r="B5" s="30" t="n">
        <x:v>15</x:v>
      </x:c>
      <x:c r="F5" s="58" t="str">
        <x:v>Green font</x:v>
      </x:c>
      <x:c r="G5" t="str">
        <x:v>Cross-sheet reference</x:v>
      </x:c>
    </x:row>
    <x:row r="6">
      <x:c r="A6" s="25" t="str">
        <x:v>Per-event limit as % of exposure</x:v>
      </x:c>
      <x:c r="B6" s="30" t="n">
        <x:v>0.55</x:v>
      </x:c>
      <x:c r="F6" s="58" t="str">
        <x:v>Black font</x:v>
      </x:c>
      <x:c r="G6" t="str">
        <x:v>Formula / calculation</x:v>
      </x:c>
    </x:row>
    <x:row r="7">
      <x:c r="A7" s="25" t="str">
        <x:v>Reinsurance attachment (USD m)</x:v>
      </x:c>
      <x:c r="B7" s="30" t="n">
        <x:v>60</x:v>
      </x:c>
      <x:c r="F7" s="58" t="str">
        <x:v>Yellow fill</x:v>
      </x:c>
      <x:c r="G7" t="str">
        <x:v>Input or attention</x:v>
      </x:c>
    </x:row>
    <x:row r="8">
      <x:c r="A8" s="25" t="str">
        <x:v>Technical premium rate</x:v>
      </x:c>
      <x:c r="B8" s="30" t="n">
        <x:v>0.018</x:v>
      </x:c>
    </x:row>
    <x:row r="9">
      <x:c r="A9" s="25" t="str">
        <x:v>High loss ratio alert</x:v>
      </x:c>
      <x:c r="B9" s="29" t="n">
        <x:v>0.75</x:v>
      </x:c>
    </x:row>
    <x:row r="12" ht="20" customHeight="1">
      <x:c r="A12" s="23" t="str">
        <x:v>Resume-ready project narrative</x:v>
      </x:c>
      <x:c r="B12" s="23" t="str">
        <x:v>Resume-ready project narrative</x:v>
      </x:c>
      <x:c r="C12" s="23" t="str">
        <x:v>Resume-ready project narrative</x:v>
      </x:c>
      <x:c r="D12" s="23" t="str">
        <x:v>Resume-ready project narrative</x:v>
      </x:c>
      <x:c r="E12" s="23" t="str">
        <x:v>Resume-ready project narrative</x:v>
      </x:c>
      <x:c r="F12" s="23" t="str">
        <x:v>Resume-ready project narrative</x:v>
      </x:c>
      <x:c r="G12" s="23" t="str">
        <x:v>Resume-ready project narrative</x:v>
      </x:c>
      <x:c r="H12" s="23" t="str">
        <x:v>Resume-ready project narrative</x:v>
      </x:c>
    </x:row>
    <x:row r="13">
      <x:c r="A13" s="49" t="str">
        <x:v>Purpose: an insurer CAT portfolio risk dashboard using Kaggle's 2024 natural-disaster event data as an external hazard proxy. Portfolio exposure, insurance participation, deductible, limit and reinsurance assumptions are illustrative—not an actual insurer's CAT model.
Skills demonstrated: advanced Excel tables; XLOOKUP and VLOOKUP mapping; SUMIFS / COUNTIFS aggregation; IF / MIN / MAX loss layer logic; formula-driven pivot-style summaries; conditional formatting; executive dashboard charts and quality checks.
How to update: replace or append the Event Detail source rows, extend formulas, then refresh the Pivot Analysis ranges and dashboard visuals. Source: https://www.kaggle.com/datasets/umeradnaan/prediction-of-disaster-management-in-2024</x:v>
      </x:c>
      <x:c r="B13" s="50"/>
      <x:c r="C13" s="50"/>
      <x:c r="D13" s="50"/>
      <x:c r="E13" s="50"/>
      <x:c r="F13" s="50"/>
      <x:c r="G13" s="50"/>
      <x:c r="H13" s="51"/>
    </x:row>
    <x:row r="14">
      <x:c r="A14" s="52"/>
      <x:c r="B14" s="53"/>
      <x:c r="C14" s="53"/>
      <x:c r="D14" s="53"/>
      <x:c r="E14" s="53"/>
      <x:c r="F14" s="53"/>
      <x:c r="G14" s="53"/>
      <x:c r="H14" s="54"/>
    </x:row>
    <x:row r="15">
      <x:c r="A15" s="52"/>
      <x:c r="B15" s="53"/>
      <x:c r="C15" s="53"/>
      <x:c r="D15" s="53"/>
      <x:c r="E15" s="53"/>
      <x:c r="F15" s="53"/>
      <x:c r="G15" s="53"/>
      <x:c r="H15" s="54"/>
    </x:row>
    <x:row r="16">
      <x:c r="A16" s="52"/>
      <x:c r="B16" s="53"/>
      <x:c r="C16" s="53"/>
      <x:c r="D16" s="53"/>
      <x:c r="E16" s="53"/>
      <x:c r="F16" s="53"/>
      <x:c r="G16" s="53"/>
      <x:c r="H16" s="54"/>
    </x:row>
    <x:row r="17">
      <x:c r="A17" s="52"/>
      <x:c r="B17" s="53"/>
      <x:c r="C17" s="53"/>
      <x:c r="D17" s="53"/>
      <x:c r="E17" s="53"/>
      <x:c r="F17" s="53"/>
      <x:c r="G17" s="53"/>
      <x:c r="H17" s="54"/>
    </x:row>
    <x:row r="18">
      <x:c r="A18" s="55"/>
      <x:c r="B18" s="56"/>
      <x:c r="C18" s="56"/>
      <x:c r="D18" s="56"/>
      <x:c r="E18" s="56"/>
      <x:c r="F18" s="56"/>
      <x:c r="G18" s="56"/>
      <x:c r="H18" s="57"/>
    </x:row>
  </x:sheetData>
  <x:mergeCells>
    <x:mergeCell ref="A1:H1"/>
    <x:mergeCell ref="A3:D3"/>
    <x:mergeCell ref="A12:H12"/>
    <x:mergeCell ref="A13:H18"/>
    <x:mergeCell ref="F3:H3"/>
  </x:mergeCells>
  <x:pageMargins left="0.7" right="0.7" top="0.75" bottom="0.75" header="0.3" footer="0.3"/>
</x:worksheet>
</file>